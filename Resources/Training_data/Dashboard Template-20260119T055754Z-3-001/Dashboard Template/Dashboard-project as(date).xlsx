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0490" windowHeight="7155" activeTab="1"/>
  </bookViews>
  <sheets>
    <sheet name="S-curve (Mitigation)" sheetId="16" r:id="rId1"/>
    <sheet name="Dashboard" sheetId="4" r:id="rId2"/>
    <sheet name="Cashflow" sheetId="11" r:id="rId3"/>
    <sheet name="Baseline" sheetId="14" r:id="rId4"/>
    <sheet name="Daily Manpower - Mitigation R4" sheetId="18" r:id="rId5"/>
    <sheet name="Initial" sheetId="10" r:id="rId6"/>
    <sheet name="Sheet3" sheetId="13" r:id="rId7"/>
    <sheet name="Sheet1" sheetId="17" r:id="rId8"/>
  </sheets>
  <definedNames>
    <definedName name="_xlnm.Print_Area" localSheetId="1">Dashboard!$A$1:$P$52</definedName>
  </definedNames>
  <calcPr calcId="152511"/>
</workbook>
</file>

<file path=xl/calcChain.xml><?xml version="1.0" encoding="utf-8"?>
<calcChain xmlns="http://schemas.openxmlformats.org/spreadsheetml/2006/main">
  <c r="S54" i="4" l="1"/>
  <c r="S53" i="4"/>
  <c r="S39" i="4" l="1"/>
  <c r="BJ8" i="11"/>
  <c r="BJ13" i="11"/>
  <c r="BJ7" i="11" s="1"/>
  <c r="BI8" i="11"/>
  <c r="BI13" i="11"/>
  <c r="BI7" i="11" s="1"/>
  <c r="BH8" i="11"/>
  <c r="BH13" i="11"/>
  <c r="BH7" i="11" s="1"/>
  <c r="E92" i="4" l="1"/>
  <c r="BG8" i="11" l="1"/>
  <c r="BG13" i="11"/>
  <c r="BG7" i="11" s="1"/>
  <c r="B3" i="18"/>
  <c r="C3" i="18"/>
  <c r="D3" i="18"/>
  <c r="E3" i="18"/>
  <c r="F3" i="18"/>
  <c r="G3" i="18"/>
  <c r="H3" i="18"/>
  <c r="I3" i="18"/>
  <c r="J3" i="18"/>
  <c r="K3" i="18"/>
  <c r="L3" i="18"/>
  <c r="M3" i="18"/>
  <c r="N3" i="18"/>
  <c r="O3" i="18"/>
  <c r="P3" i="18"/>
  <c r="Q3" i="18"/>
  <c r="R3" i="18"/>
  <c r="S3" i="18"/>
  <c r="T3" i="18"/>
  <c r="U3" i="18"/>
  <c r="V3" i="18"/>
  <c r="W3" i="18"/>
  <c r="X3" i="18"/>
  <c r="Y3" i="18"/>
  <c r="Z3" i="18"/>
  <c r="AA3" i="18"/>
  <c r="AB3" i="18"/>
  <c r="AC3" i="18"/>
  <c r="AD3" i="18"/>
  <c r="AE3" i="18"/>
  <c r="AF3" i="18"/>
  <c r="AG3" i="18"/>
  <c r="AH3" i="18"/>
  <c r="AI3" i="18"/>
  <c r="AJ3" i="18"/>
  <c r="AK3" i="18"/>
  <c r="AL3" i="18"/>
  <c r="AM3" i="18"/>
  <c r="AN3" i="18"/>
  <c r="AO3" i="18"/>
  <c r="AP3" i="18"/>
  <c r="AQ3" i="18"/>
  <c r="AR3" i="18"/>
  <c r="AS3" i="18"/>
  <c r="AT3" i="18"/>
  <c r="AU3" i="18"/>
  <c r="AV3" i="18"/>
  <c r="AW3" i="18"/>
  <c r="AX3" i="18"/>
  <c r="AY3" i="18"/>
  <c r="AZ3" i="18"/>
  <c r="BA3" i="18"/>
  <c r="BB3" i="18"/>
  <c r="BC3" i="18"/>
  <c r="BD3" i="18"/>
  <c r="BE3" i="18"/>
  <c r="BF3" i="18"/>
  <c r="BG3" i="18"/>
  <c r="BH3" i="18"/>
  <c r="BI3" i="18"/>
  <c r="BJ3" i="18"/>
  <c r="BK3" i="18"/>
  <c r="BL3" i="18"/>
  <c r="BM3" i="18"/>
  <c r="BN3" i="18"/>
  <c r="BO3" i="18"/>
  <c r="BP3" i="18"/>
  <c r="BQ3" i="18"/>
  <c r="BR3" i="18"/>
  <c r="BS3" i="18"/>
  <c r="BT3" i="18"/>
  <c r="BU3" i="18"/>
  <c r="BV3" i="18"/>
  <c r="BW3" i="18"/>
  <c r="BX3" i="18"/>
  <c r="BY3" i="18"/>
  <c r="BZ3" i="18"/>
  <c r="CA3" i="18"/>
  <c r="CB3" i="18"/>
  <c r="CC3" i="18"/>
  <c r="CD3" i="18"/>
  <c r="CE3" i="18"/>
  <c r="CF3" i="18"/>
  <c r="CG3" i="18"/>
  <c r="CH3" i="18"/>
  <c r="CI3" i="18"/>
  <c r="CJ3" i="18"/>
  <c r="CK3" i="18"/>
  <c r="CL3" i="18"/>
  <c r="CM3" i="18"/>
  <c r="CN3" i="18"/>
  <c r="CO3" i="18"/>
  <c r="CP3" i="18"/>
  <c r="CQ3" i="18"/>
  <c r="CR3" i="18"/>
  <c r="CS3" i="18"/>
  <c r="CT3" i="18"/>
  <c r="CU3" i="18"/>
  <c r="CV3" i="18"/>
  <c r="CW3" i="18"/>
  <c r="CX3" i="18"/>
  <c r="CY3" i="18"/>
  <c r="CZ3" i="18"/>
  <c r="DA3" i="18"/>
  <c r="DB3" i="18"/>
  <c r="DC3" i="18"/>
  <c r="DD3" i="18"/>
  <c r="DE3" i="18"/>
  <c r="DF3" i="18"/>
  <c r="DG3" i="18"/>
  <c r="DH3" i="18"/>
  <c r="DI3" i="18"/>
  <c r="DJ3" i="18"/>
  <c r="DK3" i="18"/>
  <c r="DL3" i="18"/>
  <c r="DM3" i="18"/>
  <c r="DN3" i="18"/>
  <c r="DO3" i="18"/>
  <c r="DP3" i="18"/>
  <c r="DQ3" i="18"/>
  <c r="DR3" i="18"/>
  <c r="DS3" i="18"/>
  <c r="DT3" i="18"/>
  <c r="DU3" i="18"/>
  <c r="DV3" i="18"/>
  <c r="DW3" i="18"/>
  <c r="DX3" i="18"/>
  <c r="DY3" i="18"/>
  <c r="DZ3" i="18"/>
  <c r="EA3" i="18"/>
  <c r="EB3" i="18"/>
  <c r="EC3" i="18"/>
  <c r="ED3" i="18"/>
  <c r="EE3" i="18"/>
  <c r="EF3" i="18"/>
  <c r="EG3" i="18"/>
  <c r="EH3" i="18"/>
  <c r="EI3" i="18"/>
  <c r="EJ3" i="18"/>
  <c r="EK3" i="18"/>
  <c r="EL3" i="18"/>
  <c r="EM3" i="18"/>
  <c r="EN3" i="18"/>
  <c r="EO3" i="18"/>
  <c r="EP3" i="18"/>
  <c r="EQ3" i="18"/>
  <c r="ER3" i="18"/>
  <c r="ES3" i="18"/>
  <c r="ET3" i="18"/>
  <c r="EU3" i="18"/>
  <c r="EV3" i="18"/>
  <c r="EW3" i="18"/>
  <c r="EX3" i="18"/>
  <c r="EY3" i="18"/>
  <c r="EZ3" i="18"/>
  <c r="FA3" i="18"/>
  <c r="FB3" i="18"/>
  <c r="FC3" i="18"/>
  <c r="FD3" i="18"/>
  <c r="FE3" i="18"/>
  <c r="FF3" i="18"/>
  <c r="FG3" i="18"/>
  <c r="FH3" i="18"/>
  <c r="FI3" i="18"/>
  <c r="FJ3" i="18"/>
  <c r="FK3" i="18"/>
  <c r="FL3" i="18"/>
  <c r="FM3" i="18"/>
  <c r="FN3" i="18"/>
  <c r="FO3" i="18"/>
  <c r="FP3" i="18"/>
  <c r="FQ3" i="18"/>
  <c r="FR3" i="18"/>
  <c r="FS3" i="18"/>
  <c r="FT3" i="18"/>
  <c r="FU3" i="18"/>
  <c r="FV3" i="18"/>
  <c r="FW3" i="18"/>
  <c r="FX3" i="18"/>
  <c r="FY3" i="18"/>
  <c r="FZ3" i="18"/>
  <c r="GA3" i="18"/>
  <c r="GB3" i="18"/>
  <c r="GC3" i="18"/>
  <c r="GD3" i="18"/>
  <c r="GE3" i="18"/>
  <c r="GF3" i="18"/>
  <c r="GG3" i="18"/>
  <c r="GH3" i="18"/>
  <c r="GI3" i="18"/>
  <c r="GJ3" i="18"/>
  <c r="GK3" i="18"/>
  <c r="GL3" i="18"/>
  <c r="GM3" i="18"/>
  <c r="GN3" i="18"/>
  <c r="GO3" i="18"/>
  <c r="GP3" i="18"/>
  <c r="GQ3" i="18"/>
  <c r="GR3" i="18"/>
  <c r="GS3" i="18"/>
  <c r="GT3" i="18"/>
  <c r="GU3" i="18"/>
  <c r="GV3" i="18"/>
  <c r="GW3" i="18"/>
  <c r="GX3" i="18"/>
  <c r="GY3" i="18"/>
  <c r="GZ3" i="18"/>
  <c r="HA3" i="18"/>
  <c r="HB3" i="18"/>
  <c r="HC3" i="18"/>
  <c r="HD3" i="18"/>
  <c r="HE3" i="18"/>
  <c r="HF3" i="18"/>
  <c r="HG3" i="18"/>
  <c r="HH3" i="18"/>
  <c r="HI3" i="18"/>
  <c r="HJ3" i="18"/>
  <c r="HK3" i="18"/>
  <c r="HL3" i="18"/>
  <c r="HM3" i="18"/>
  <c r="HN3" i="18"/>
  <c r="HO3" i="18"/>
  <c r="HP3" i="18"/>
  <c r="HQ3" i="18"/>
  <c r="HR3" i="18"/>
  <c r="HS3" i="18"/>
  <c r="HT3" i="18"/>
  <c r="HU3" i="18"/>
  <c r="HV3" i="18"/>
  <c r="HW3" i="18"/>
  <c r="HX3" i="18"/>
  <c r="HY3" i="18"/>
  <c r="HZ3" i="18"/>
  <c r="IA3" i="18"/>
  <c r="IB3" i="18"/>
  <c r="IC3" i="18"/>
  <c r="ID3" i="18"/>
  <c r="IE3" i="18"/>
  <c r="IF3" i="18"/>
  <c r="IG3" i="18"/>
  <c r="IH3" i="18"/>
  <c r="II3" i="18"/>
  <c r="IJ3" i="18"/>
  <c r="IK3" i="18"/>
  <c r="IL3" i="18"/>
  <c r="IM3" i="18"/>
  <c r="IN3" i="18"/>
  <c r="IO3" i="18"/>
  <c r="IP3" i="18"/>
  <c r="IQ3" i="18"/>
  <c r="IR3" i="18"/>
  <c r="IS3" i="18"/>
  <c r="IT3" i="18"/>
  <c r="IU3" i="18"/>
  <c r="IV3" i="18"/>
  <c r="IW3" i="18"/>
  <c r="IX3" i="18"/>
  <c r="IY3" i="18"/>
  <c r="IZ3" i="18"/>
  <c r="JA3" i="18"/>
  <c r="JB3" i="18"/>
  <c r="JC3" i="18"/>
  <c r="JD3" i="18"/>
  <c r="JE3" i="18"/>
  <c r="JF3" i="18"/>
  <c r="JG3" i="18"/>
  <c r="JH3" i="18"/>
  <c r="JI3" i="18"/>
  <c r="JJ3" i="18"/>
  <c r="JK3" i="18"/>
  <c r="JL3" i="18"/>
  <c r="JM3" i="18"/>
  <c r="JN3" i="18"/>
  <c r="JO3" i="18"/>
  <c r="JP3" i="18"/>
  <c r="JQ3" i="18"/>
  <c r="JR3" i="18"/>
  <c r="JS3" i="18"/>
  <c r="JT3" i="18"/>
  <c r="JU3" i="18"/>
  <c r="JV3" i="18"/>
  <c r="JW3" i="18"/>
  <c r="JX3" i="18"/>
  <c r="JY3" i="18"/>
  <c r="JZ3" i="18"/>
  <c r="KA3" i="18"/>
  <c r="KB3" i="18"/>
  <c r="KC3" i="18"/>
  <c r="KD3" i="18"/>
  <c r="KE3" i="18"/>
  <c r="KF3" i="18"/>
  <c r="KG3" i="18"/>
  <c r="KH3" i="18"/>
  <c r="KI3" i="18"/>
  <c r="KJ3" i="18"/>
  <c r="KK3" i="18"/>
  <c r="KL3" i="18"/>
  <c r="KM3" i="18"/>
  <c r="KN3" i="18"/>
  <c r="KO3" i="18"/>
  <c r="KP3" i="18"/>
  <c r="KQ3" i="18"/>
  <c r="KR3" i="18"/>
  <c r="KS3" i="18"/>
  <c r="KT3" i="18"/>
  <c r="KU3" i="18"/>
  <c r="KV3" i="18"/>
  <c r="KW3" i="18"/>
  <c r="KX3" i="18"/>
  <c r="KY3" i="18"/>
  <c r="KZ3" i="18"/>
  <c r="LA3" i="18"/>
  <c r="LB3" i="18"/>
  <c r="LC3" i="18"/>
  <c r="LD3" i="18"/>
  <c r="LE3" i="18"/>
  <c r="LF3" i="18"/>
  <c r="LG3" i="18"/>
  <c r="LH3" i="18"/>
  <c r="LI3" i="18"/>
  <c r="LJ3" i="18"/>
  <c r="LK3" i="18"/>
  <c r="LL3" i="18"/>
  <c r="LM3" i="18"/>
  <c r="LN3" i="18"/>
  <c r="LO3" i="18"/>
  <c r="LP3" i="18"/>
  <c r="LQ3" i="18"/>
  <c r="LR3" i="18"/>
  <c r="LS3" i="18"/>
  <c r="LT3" i="18"/>
  <c r="LU3" i="18"/>
  <c r="LV3" i="18"/>
  <c r="LW3" i="18"/>
  <c r="LX3" i="18"/>
  <c r="LY3" i="18"/>
  <c r="LZ3" i="18"/>
  <c r="MA3" i="18"/>
  <c r="MB3" i="18"/>
  <c r="MC3" i="18"/>
  <c r="MD3" i="18"/>
  <c r="ME3" i="18"/>
  <c r="MF3" i="18"/>
  <c r="MG3" i="18"/>
  <c r="MH3" i="18"/>
  <c r="MI3" i="18"/>
  <c r="MJ3" i="18"/>
  <c r="MK3" i="18"/>
  <c r="ML3" i="18"/>
  <c r="MM3" i="18"/>
  <c r="MN3" i="18"/>
  <c r="MO3" i="18"/>
  <c r="MP3" i="18"/>
  <c r="MQ3" i="18"/>
  <c r="MR3" i="18"/>
  <c r="MS3" i="18"/>
  <c r="MT3" i="18"/>
  <c r="MU3" i="18"/>
  <c r="MV3" i="18"/>
  <c r="MW3" i="18"/>
  <c r="MX3" i="18"/>
  <c r="BF8" i="11"/>
  <c r="BF13" i="11"/>
  <c r="BF7" i="11" s="1"/>
  <c r="S19" i="4" l="1"/>
  <c r="S20" i="4"/>
  <c r="BE13" i="11" l="1"/>
  <c r="BE7" i="11" s="1"/>
  <c r="BE8" i="11"/>
  <c r="BD9" i="11"/>
  <c r="BD11" i="11"/>
  <c r="BD13" i="11"/>
  <c r="BD7" i="11" s="1"/>
  <c r="BB8" i="11"/>
  <c r="BA8" i="11"/>
  <c r="AZ8" i="11"/>
  <c r="AY8" i="11"/>
  <c r="AX8" i="11"/>
  <c r="AW8" i="11"/>
  <c r="BC8" i="11"/>
  <c r="BD8" i="11" l="1"/>
  <c r="BC13" i="11"/>
  <c r="BC7" i="11" s="1"/>
  <c r="BA13" i="11"/>
  <c r="BA7" i="11" s="1"/>
  <c r="AZ13" i="11"/>
  <c r="AZ7" i="11" s="1"/>
  <c r="AY13" i="11"/>
  <c r="AY7" i="11" s="1"/>
  <c r="AX13" i="11"/>
  <c r="AX7" i="11" s="1"/>
  <c r="AW13" i="11"/>
  <c r="AW7" i="11" s="1"/>
  <c r="AV13" i="11"/>
  <c r="AU13" i="11"/>
  <c r="AT13" i="11"/>
  <c r="AS13" i="11"/>
  <c r="AR13" i="11"/>
  <c r="AQ13" i="11"/>
  <c r="AP13" i="11"/>
  <c r="AO13" i="11"/>
  <c r="AN13" i="11"/>
  <c r="AM13" i="11"/>
  <c r="AL13" i="11"/>
  <c r="AK13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BB13" i="11"/>
  <c r="BB7" i="11" s="1"/>
  <c r="E11" i="11" l="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J11" i="11"/>
  <c r="AK11" i="11"/>
  <c r="AL11" i="11"/>
  <c r="AM11" i="11"/>
  <c r="AN11" i="11"/>
  <c r="AO11" i="11"/>
  <c r="AP11" i="11"/>
  <c r="AQ11" i="11"/>
  <c r="AR11" i="11"/>
  <c r="AS11" i="11"/>
  <c r="AT11" i="11"/>
  <c r="AU11" i="11"/>
  <c r="AV11" i="11"/>
  <c r="AW11" i="11"/>
  <c r="AX11" i="11"/>
  <c r="AY11" i="11"/>
  <c r="AZ11" i="11"/>
  <c r="BA11" i="11"/>
  <c r="BB11" i="11"/>
  <c r="BC11" i="11"/>
  <c r="BE11" i="11"/>
  <c r="BF11" i="11"/>
  <c r="BG11" i="11"/>
  <c r="BH11" i="11"/>
  <c r="BI11" i="11"/>
  <c r="BJ11" i="11"/>
  <c r="BK11" i="11"/>
  <c r="BL11" i="11"/>
  <c r="BM11" i="11"/>
  <c r="BN11" i="11"/>
  <c r="BO11" i="11"/>
  <c r="BP11" i="11"/>
  <c r="BQ11" i="11"/>
  <c r="BR11" i="11"/>
  <c r="BS11" i="11"/>
  <c r="BT11" i="11"/>
  <c r="BU11" i="11"/>
  <c r="BV11" i="11"/>
  <c r="BW11" i="11"/>
  <c r="BX11" i="11"/>
  <c r="BY11" i="11"/>
  <c r="BZ11" i="11"/>
  <c r="CA11" i="11"/>
  <c r="CB11" i="11"/>
  <c r="CC11" i="11"/>
  <c r="CD11" i="11"/>
  <c r="CE11" i="11"/>
  <c r="CF11" i="11"/>
  <c r="CG11" i="11"/>
  <c r="CH11" i="11"/>
  <c r="CI11" i="11"/>
  <c r="CJ11" i="11"/>
  <c r="CK11" i="11"/>
  <c r="CL11" i="11"/>
  <c r="CM11" i="11"/>
  <c r="CN11" i="11"/>
  <c r="CO11" i="11"/>
  <c r="CP11" i="11"/>
  <c r="CQ11" i="11"/>
  <c r="CR11" i="11"/>
  <c r="CS11" i="11"/>
  <c r="CT11" i="11"/>
  <c r="CU11" i="11"/>
  <c r="CV11" i="11"/>
  <c r="CW11" i="11"/>
  <c r="CX11" i="11"/>
  <c r="CY11" i="11"/>
  <c r="CZ11" i="11"/>
  <c r="DA11" i="11"/>
  <c r="DB11" i="11"/>
  <c r="DC11" i="11"/>
  <c r="DD11" i="11"/>
  <c r="D11" i="11"/>
  <c r="D12" i="11" s="1"/>
  <c r="E12" i="11" s="1"/>
  <c r="F12" i="11" s="1"/>
  <c r="DD9" i="11"/>
  <c r="D8" i="11"/>
  <c r="E8" i="11" s="1"/>
  <c r="F8" i="11" s="1"/>
  <c r="G8" i="11" s="1"/>
  <c r="H8" i="11" s="1"/>
  <c r="I8" i="11" s="1"/>
  <c r="J8" i="11" s="1"/>
  <c r="K8" i="11" s="1"/>
  <c r="L8" i="11" s="1"/>
  <c r="M8" i="11" s="1"/>
  <c r="N8" i="11" s="1"/>
  <c r="O8" i="11" s="1"/>
  <c r="P8" i="11" s="1"/>
  <c r="Q8" i="11" s="1"/>
  <c r="R8" i="11" s="1"/>
  <c r="S8" i="11" s="1"/>
  <c r="T8" i="11" s="1"/>
  <c r="U8" i="11" s="1"/>
  <c r="V8" i="11" s="1"/>
  <c r="W8" i="11" s="1"/>
  <c r="X8" i="11" s="1"/>
  <c r="Y8" i="11" s="1"/>
  <c r="Z8" i="11" s="1"/>
  <c r="AA8" i="11" s="1"/>
  <c r="AB8" i="11" s="1"/>
  <c r="AC8" i="11" s="1"/>
  <c r="AD8" i="11" s="1"/>
  <c r="AE8" i="11" s="1"/>
  <c r="AF8" i="11" s="1"/>
  <c r="AG8" i="11" s="1"/>
  <c r="AH8" i="11" s="1"/>
  <c r="AI8" i="11" s="1"/>
  <c r="AJ8" i="11" s="1"/>
  <c r="AK8" i="11" s="1"/>
  <c r="AL8" i="11" s="1"/>
  <c r="AM8" i="11" s="1"/>
  <c r="AN8" i="11" s="1"/>
  <c r="AO8" i="11" s="1"/>
  <c r="AP8" i="11" s="1"/>
  <c r="AQ8" i="11" s="1"/>
  <c r="AR8" i="11" s="1"/>
  <c r="AS8" i="11" s="1"/>
  <c r="AT8" i="11" s="1"/>
  <c r="AU8" i="11" s="1"/>
  <c r="AV8" i="11" s="1"/>
  <c r="S22" i="4"/>
  <c r="G12" i="11" l="1"/>
  <c r="H12" i="11" s="1"/>
  <c r="I12" i="11" s="1"/>
  <c r="J12" i="11" s="1"/>
  <c r="K12" i="11" s="1"/>
  <c r="L12" i="11" s="1"/>
  <c r="M12" i="11" s="1"/>
  <c r="N12" i="11" s="1"/>
  <c r="O12" i="11" s="1"/>
  <c r="P12" i="11" s="1"/>
  <c r="Q12" i="11" s="1"/>
  <c r="R12" i="11" s="1"/>
  <c r="S12" i="11" s="1"/>
  <c r="T12" i="11" s="1"/>
  <c r="U12" i="11" s="1"/>
  <c r="V12" i="11" s="1"/>
  <c r="W12" i="11" s="1"/>
  <c r="X12" i="11" s="1"/>
  <c r="Y12" i="11" s="1"/>
  <c r="Z12" i="11" s="1"/>
  <c r="AA12" i="11" s="1"/>
  <c r="AB12" i="11" s="1"/>
  <c r="AC12" i="11" s="1"/>
  <c r="AD12" i="11" s="1"/>
  <c r="AE12" i="11" s="1"/>
  <c r="AF12" i="11" s="1"/>
  <c r="AG12" i="11" s="1"/>
  <c r="AH12" i="11" s="1"/>
  <c r="AI12" i="11" s="1"/>
  <c r="AJ12" i="11" s="1"/>
  <c r="AK12" i="11" s="1"/>
  <c r="AL12" i="11" s="1"/>
  <c r="AM12" i="11" s="1"/>
  <c r="AN12" i="11" s="1"/>
  <c r="AO12" i="11" s="1"/>
  <c r="AP12" i="11" s="1"/>
  <c r="AQ12" i="11" s="1"/>
  <c r="AR12" i="11" s="1"/>
  <c r="AS12" i="11" s="1"/>
  <c r="AT12" i="11" s="1"/>
  <c r="AU12" i="11" s="1"/>
  <c r="AV12" i="11" s="1"/>
  <c r="AW12" i="11" s="1"/>
  <c r="AX12" i="11" s="1"/>
  <c r="AY12" i="11" s="1"/>
  <c r="AZ12" i="11" s="1"/>
  <c r="BA12" i="11" s="1"/>
  <c r="BB12" i="11" s="1"/>
  <c r="BC12" i="11" s="1"/>
  <c r="BD12" i="11" s="1"/>
  <c r="BE12" i="11" s="1"/>
  <c r="BF12" i="11" s="1"/>
  <c r="BG12" i="11" s="1"/>
  <c r="Y46" i="4"/>
  <c r="X46" i="4"/>
  <c r="AE31" i="4"/>
  <c r="BH12" i="11" l="1"/>
  <c r="BG15" i="11"/>
  <c r="X40" i="4"/>
  <c r="X41" i="4"/>
  <c r="Z31" i="4" s="1"/>
  <c r="Y40" i="4"/>
  <c r="Y41" i="4"/>
  <c r="Z32" i="4" s="1"/>
  <c r="BI12" i="11" l="1"/>
  <c r="BH15" i="11"/>
  <c r="R73" i="4"/>
  <c r="BJ12" i="11" l="1"/>
  <c r="BI15" i="11"/>
  <c r="R12" i="4"/>
  <c r="Y32" i="4"/>
  <c r="Y31" i="4"/>
  <c r="BK12" i="11" l="1"/>
  <c r="BL12" i="11" s="1"/>
  <c r="BM12" i="11" s="1"/>
  <c r="BN12" i="11" s="1"/>
  <c r="BO12" i="11" s="1"/>
  <c r="BP12" i="11" s="1"/>
  <c r="BQ12" i="11" s="1"/>
  <c r="BR12" i="11" s="1"/>
  <c r="BS12" i="11" s="1"/>
  <c r="BT12" i="11" s="1"/>
  <c r="BU12" i="11" s="1"/>
  <c r="BV12" i="11" s="1"/>
  <c r="BW12" i="11" s="1"/>
  <c r="BX12" i="11" s="1"/>
  <c r="BY12" i="11" s="1"/>
  <c r="BZ12" i="11" s="1"/>
  <c r="CA12" i="11" s="1"/>
  <c r="CB12" i="11" s="1"/>
  <c r="CC12" i="11" s="1"/>
  <c r="CD12" i="11" s="1"/>
  <c r="CE12" i="11" s="1"/>
  <c r="CF12" i="11" s="1"/>
  <c r="CG12" i="11" s="1"/>
  <c r="CH12" i="11" s="1"/>
  <c r="CI12" i="11" s="1"/>
  <c r="CJ12" i="11" s="1"/>
  <c r="CK12" i="11" s="1"/>
  <c r="CL12" i="11" s="1"/>
  <c r="CM12" i="11" s="1"/>
  <c r="CN12" i="11" s="1"/>
  <c r="CO12" i="11" s="1"/>
  <c r="CP12" i="11" s="1"/>
  <c r="CQ12" i="11" s="1"/>
  <c r="CR12" i="11" s="1"/>
  <c r="CS12" i="11" s="1"/>
  <c r="CT12" i="11" s="1"/>
  <c r="CU12" i="11" s="1"/>
  <c r="CV12" i="11" s="1"/>
  <c r="CW12" i="11" s="1"/>
  <c r="CX12" i="11" s="1"/>
  <c r="CY12" i="11" s="1"/>
  <c r="CZ12" i="11" s="1"/>
  <c r="DA12" i="11" s="1"/>
  <c r="DB12" i="11" s="1"/>
  <c r="DC12" i="11" s="1"/>
  <c r="DD12" i="11" s="1"/>
  <c r="BJ15" i="11"/>
  <c r="F83" i="4"/>
  <c r="E83" i="4" l="1"/>
  <c r="E82" i="4"/>
  <c r="Y47" i="4" l="1"/>
  <c r="AF32" i="4" s="1"/>
  <c r="X47" i="4"/>
  <c r="AF31" i="4" l="1"/>
  <c r="AE32" i="4"/>
  <c r="E102" i="4" l="1"/>
  <c r="E101" i="4"/>
  <c r="X42" i="4" l="1"/>
  <c r="AA31" i="4" s="1"/>
  <c r="Y39" i="4" l="1"/>
  <c r="X39" i="4"/>
  <c r="X31" i="4" s="1"/>
  <c r="Y45" i="4"/>
  <c r="AC32" i="4" s="1"/>
  <c r="X45" i="4"/>
  <c r="AC31" i="4" s="1"/>
  <c r="Y44" i="4"/>
  <c r="AD32" i="4" s="1"/>
  <c r="X44" i="4"/>
  <c r="AD31" i="4" s="1"/>
  <c r="Y43" i="4"/>
  <c r="AB32" i="4" s="1"/>
  <c r="X43" i="4"/>
  <c r="AB31" i="4" s="1"/>
  <c r="Y42" i="4"/>
  <c r="AA32" i="4" s="1"/>
  <c r="Y36" i="4"/>
  <c r="U32" i="4" s="1"/>
  <c r="Y37" i="4"/>
  <c r="W32" i="4" s="1"/>
  <c r="Y38" i="4"/>
  <c r="V32" i="4" s="1"/>
  <c r="Y35" i="4"/>
  <c r="T32" i="4" s="1"/>
  <c r="X36" i="4"/>
  <c r="U31" i="4" s="1"/>
  <c r="X37" i="4"/>
  <c r="W31" i="4" s="1"/>
  <c r="X38" i="4"/>
  <c r="V31" i="4" s="1"/>
  <c r="X35" i="4"/>
  <c r="T31" i="4" s="1"/>
  <c r="E100" i="4" l="1"/>
  <c r="E91" i="4" l="1"/>
  <c r="E93" i="4" l="1"/>
  <c r="F84" i="4" l="1"/>
  <c r="F82" i="4" l="1"/>
  <c r="D76" i="4" l="1"/>
  <c r="E76" i="4" s="1"/>
  <c r="F76" i="4" s="1"/>
  <c r="G76" i="4" s="1"/>
  <c r="H76" i="4" s="1"/>
  <c r="I76" i="4" s="1"/>
  <c r="H81" i="4"/>
  <c r="G81" i="4"/>
  <c r="E81" i="4" l="1"/>
  <c r="I81" i="4" l="1"/>
  <c r="E9" i="11" l="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J9" i="11"/>
  <c r="AK9" i="11"/>
  <c r="AL9" i="11"/>
  <c r="AM9" i="11"/>
  <c r="AN9" i="11"/>
  <c r="AO9" i="11"/>
  <c r="AP9" i="11"/>
  <c r="AQ9" i="11"/>
  <c r="AR9" i="11"/>
  <c r="AS9" i="11"/>
  <c r="AT9" i="11"/>
  <c r="AU9" i="11"/>
  <c r="AV9" i="11"/>
  <c r="AW9" i="11"/>
  <c r="AX9" i="11"/>
  <c r="AY9" i="11"/>
  <c r="AZ9" i="11"/>
  <c r="BA9" i="11"/>
  <c r="BB9" i="11"/>
  <c r="BC9" i="11"/>
  <c r="BE9" i="11"/>
  <c r="BF9" i="11"/>
  <c r="BG9" i="11"/>
  <c r="BH9" i="11"/>
  <c r="BI9" i="11"/>
  <c r="BJ9" i="11"/>
  <c r="BK9" i="11"/>
  <c r="BL9" i="11"/>
  <c r="BM9" i="11"/>
  <c r="BN9" i="11"/>
  <c r="BO9" i="11"/>
  <c r="BP9" i="11"/>
  <c r="BQ9" i="11"/>
  <c r="BR9" i="11"/>
  <c r="BS9" i="11"/>
  <c r="BT9" i="11"/>
  <c r="BU9" i="11"/>
  <c r="BV9" i="11"/>
  <c r="BW9" i="11"/>
  <c r="BX9" i="11"/>
  <c r="BY9" i="11"/>
  <c r="BZ9" i="11"/>
  <c r="CA9" i="11"/>
  <c r="CB9" i="11"/>
  <c r="CC9" i="11"/>
  <c r="CD9" i="11"/>
  <c r="CE9" i="11"/>
  <c r="CF9" i="11"/>
  <c r="CG9" i="11"/>
  <c r="CH9" i="11"/>
  <c r="CI9" i="11"/>
  <c r="CJ9" i="11"/>
  <c r="CK9" i="11"/>
  <c r="CL9" i="11"/>
  <c r="CM9" i="11"/>
  <c r="CN9" i="11"/>
  <c r="CO9" i="11"/>
  <c r="CP9" i="11"/>
  <c r="CQ9" i="11"/>
  <c r="CR9" i="11"/>
  <c r="CS9" i="11"/>
  <c r="CT9" i="11"/>
  <c r="CU9" i="11"/>
  <c r="CV9" i="11"/>
  <c r="CW9" i="11"/>
  <c r="CX9" i="11"/>
  <c r="CY9" i="11"/>
  <c r="CZ9" i="11"/>
  <c r="DA9" i="11"/>
  <c r="DB9" i="11"/>
  <c r="DC9" i="11"/>
  <c r="D9" i="11"/>
  <c r="D10" i="11" s="1"/>
  <c r="E10" i="11" l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AI10" i="11" s="1"/>
  <c r="AJ10" i="11" s="1"/>
  <c r="AK10" i="11" s="1"/>
  <c r="AL10" i="11" s="1"/>
  <c r="AM10" i="11" s="1"/>
  <c r="AN10" i="11" s="1"/>
  <c r="AO10" i="11" s="1"/>
  <c r="AP10" i="11" s="1"/>
  <c r="AQ10" i="11" s="1"/>
  <c r="AR10" i="11" s="1"/>
  <c r="AS10" i="11" s="1"/>
  <c r="AT10" i="11" s="1"/>
  <c r="AU10" i="11" s="1"/>
  <c r="AV10" i="11" s="1"/>
  <c r="AW10" i="11" s="1"/>
  <c r="AX10" i="11" s="1"/>
  <c r="AY10" i="11" s="1"/>
  <c r="AZ10" i="11" s="1"/>
  <c r="BA10" i="11" s="1"/>
  <c r="BB10" i="11" s="1"/>
  <c r="BC10" i="11" s="1"/>
  <c r="BD10" i="11" s="1"/>
  <c r="S26" i="4" l="1"/>
  <c r="J82" i="4" l="1"/>
  <c r="J83" i="4"/>
  <c r="J84" i="4"/>
  <c r="F81" i="4"/>
  <c r="J81" i="4" l="1"/>
  <c r="U27" i="4"/>
  <c r="S27" i="4" l="1"/>
  <c r="S28" i="4" s="1"/>
  <c r="S23" i="4" l="1"/>
  <c r="BE10" i="11" l="1"/>
  <c r="BF10" i="11" s="1"/>
  <c r="BG10" i="11" s="1"/>
  <c r="BH10" i="11" l="1"/>
  <c r="BG16" i="11"/>
  <c r="BI10" i="11" l="1"/>
  <c r="BH16" i="11"/>
  <c r="BJ10" i="11" l="1"/>
  <c r="BI16" i="11"/>
  <c r="BK10" i="11" l="1"/>
  <c r="BL10" i="11" s="1"/>
  <c r="BM10" i="11" s="1"/>
  <c r="BN10" i="11" s="1"/>
  <c r="BO10" i="11" s="1"/>
  <c r="BP10" i="11" s="1"/>
  <c r="BQ10" i="11" s="1"/>
  <c r="BR10" i="11" s="1"/>
  <c r="BS10" i="11" s="1"/>
  <c r="BT10" i="11" s="1"/>
  <c r="BU10" i="11" s="1"/>
  <c r="BV10" i="11" s="1"/>
  <c r="BW10" i="11" s="1"/>
  <c r="BX10" i="11" s="1"/>
  <c r="BY10" i="11" s="1"/>
  <c r="BZ10" i="11" s="1"/>
  <c r="CA10" i="11" s="1"/>
  <c r="CB10" i="11" s="1"/>
  <c r="CC10" i="11" s="1"/>
  <c r="CD10" i="11" s="1"/>
  <c r="CE10" i="11" s="1"/>
  <c r="CF10" i="11" s="1"/>
  <c r="CG10" i="11" s="1"/>
  <c r="CH10" i="11" s="1"/>
  <c r="CI10" i="11" s="1"/>
  <c r="CJ10" i="11" s="1"/>
  <c r="CK10" i="11" s="1"/>
  <c r="CL10" i="11" s="1"/>
  <c r="CM10" i="11" s="1"/>
  <c r="CN10" i="11" s="1"/>
  <c r="CO10" i="11" s="1"/>
  <c r="CP10" i="11" s="1"/>
  <c r="CQ10" i="11" s="1"/>
  <c r="CR10" i="11" s="1"/>
  <c r="CS10" i="11" s="1"/>
  <c r="CT10" i="11" s="1"/>
  <c r="CU10" i="11" s="1"/>
  <c r="CV10" i="11" s="1"/>
  <c r="CW10" i="11" s="1"/>
  <c r="CX10" i="11" s="1"/>
  <c r="CY10" i="11" s="1"/>
  <c r="CZ10" i="11" s="1"/>
  <c r="DA10" i="11" s="1"/>
  <c r="DB10" i="11" s="1"/>
  <c r="DC10" i="11" s="1"/>
  <c r="DD10" i="11" s="1"/>
  <c r="BJ16" i="11"/>
</calcChain>
</file>

<file path=xl/sharedStrings.xml><?xml version="1.0" encoding="utf-8"?>
<sst xmlns="http://schemas.openxmlformats.org/spreadsheetml/2006/main" count="710" uniqueCount="278">
  <si>
    <t>ACTUAL</t>
  </si>
  <si>
    <t>MONTH</t>
  </si>
  <si>
    <t>CONTRACT AMOUNT</t>
  </si>
  <si>
    <t>PROJECT START DATE</t>
  </si>
  <si>
    <t>PROJECT COMPLETION DATE</t>
  </si>
  <si>
    <t>INVOICED AMOUNT</t>
  </si>
  <si>
    <t>REMAINING INVOICE</t>
  </si>
  <si>
    <t>PROJECT DURATION</t>
  </si>
  <si>
    <t>COMPLETED DURATION</t>
  </si>
  <si>
    <t>REMAINING DURATION</t>
  </si>
  <si>
    <t>TOTAL AMOUNT</t>
  </si>
  <si>
    <t>ELECTRICAL</t>
  </si>
  <si>
    <t>TOTAL NO</t>
  </si>
  <si>
    <t>SUBMITTED</t>
  </si>
  <si>
    <t>APPROVED</t>
  </si>
  <si>
    <t>REVISE</t>
  </si>
  <si>
    <t>PENDING</t>
  </si>
  <si>
    <t>YET TO SUBMIT</t>
  </si>
  <si>
    <t>MATERIAL SUBMITTALS</t>
  </si>
  <si>
    <t>INSPECTION REQUEST</t>
  </si>
  <si>
    <t xml:space="preserve">SUBMITTED </t>
  </si>
  <si>
    <t xml:space="preserve">PLANNED </t>
  </si>
  <si>
    <t xml:space="preserve">ACTUAL </t>
  </si>
  <si>
    <t>NOT APPROVED</t>
  </si>
  <si>
    <t>MECHANICAL</t>
  </si>
  <si>
    <t>SHOP DRAWING</t>
  </si>
  <si>
    <t>CIVIL</t>
  </si>
  <si>
    <t xml:space="preserve"> PROGRESS AS ON </t>
  </si>
  <si>
    <t>FORECASTED COMPLETION DATE</t>
  </si>
  <si>
    <t>DELAY IN CALENDAR DAYS</t>
  </si>
  <si>
    <t>CONTRACTOR: BOJAMHOOR TRADING &amp; CONTRACTING CO. W.L.L.</t>
  </si>
  <si>
    <t>PRELIMINARIES</t>
  </si>
  <si>
    <t>Activity Name</t>
  </si>
  <si>
    <t>Start</t>
  </si>
  <si>
    <t>Finish</t>
  </si>
  <si>
    <t xml:space="preserve">    PRELIMINARIES</t>
  </si>
  <si>
    <t xml:space="preserve">    C1-OFFICERS BUILDING-1</t>
  </si>
  <si>
    <t xml:space="preserve">      SUBSTRUCTURE WORK</t>
  </si>
  <si>
    <t xml:space="preserve">    F1-OFFICERS BUILDING-2</t>
  </si>
  <si>
    <t>Activity ID</t>
  </si>
  <si>
    <t xml:space="preserve">    MANPOWER</t>
  </si>
  <si>
    <t xml:space="preserve">      Carpenter-Conc</t>
  </si>
  <si>
    <t xml:space="preserve">      Steel Fixer - Conc</t>
  </si>
  <si>
    <t xml:space="preserve">      Mason - Conc</t>
  </si>
  <si>
    <t xml:space="preserve">      Labour - BTCC</t>
  </si>
  <si>
    <t xml:space="preserve">      Mason - Block</t>
  </si>
  <si>
    <t xml:space="preserve">      Mason - Plaster</t>
  </si>
  <si>
    <t xml:space="preserve">      Painter - BTCC</t>
  </si>
  <si>
    <t xml:space="preserve">      Mason - Tile Sitter</t>
  </si>
  <si>
    <t xml:space="preserve">      Heavy Equipment Operator</t>
  </si>
  <si>
    <t xml:space="preserve">      Subcon - Excavation</t>
  </si>
  <si>
    <t xml:space="preserve">      Subcon - Backfilling</t>
  </si>
  <si>
    <t xml:space="preserve">      Subcon - Aluminium &amp; Glass</t>
  </si>
  <si>
    <t xml:space="preserve">      Subcon - Wooden Door</t>
  </si>
  <si>
    <t xml:space="preserve">      Subcon - Veneer MDF</t>
  </si>
  <si>
    <t xml:space="preserve">      Subcon - Toilet Cubicle</t>
  </si>
  <si>
    <t xml:space="preserve">      Subcon - Kitchen Cabinet</t>
  </si>
  <si>
    <t xml:space="preserve">      Subcon - Steel Door</t>
  </si>
  <si>
    <t xml:space="preserve">      Subcon - Steel Railing</t>
  </si>
  <si>
    <t xml:space="preserve">      Subcon - Structural Steel &amp; Metal Decking</t>
  </si>
  <si>
    <t xml:space="preserve">      Subcon - Vanity Counter</t>
  </si>
  <si>
    <t xml:space="preserve">      Subcon - False Ceiling</t>
  </si>
  <si>
    <t xml:space="preserve">      Subcon - Landscape</t>
  </si>
  <si>
    <t xml:space="preserve">      Subcon - Mirror</t>
  </si>
  <si>
    <t xml:space="preserve">      Subcon - Electrical</t>
  </si>
  <si>
    <t xml:space="preserve">      Subcon - Plumbing</t>
  </si>
  <si>
    <t xml:space="preserve">      Subcon - HVAC</t>
  </si>
  <si>
    <t xml:space="preserve">      Subcon - Fire Fighting</t>
  </si>
  <si>
    <t xml:space="preserve">      Subcon - Lift &amp; Esc.</t>
  </si>
  <si>
    <t xml:space="preserve">      Subcon - Water Proofing</t>
  </si>
  <si>
    <t xml:space="preserve">      Subcon - Anti-termite</t>
  </si>
  <si>
    <t xml:space="preserve">      Subcon - GRC Works</t>
  </si>
  <si>
    <t xml:space="preserve">      Subcon - Kitchen Equipment</t>
  </si>
  <si>
    <t xml:space="preserve">      Subcon - Swimming Pool Equipment</t>
  </si>
  <si>
    <t xml:space="preserve">      Subcon - Irrigation</t>
  </si>
  <si>
    <t>Resource Name</t>
  </si>
  <si>
    <t xml:space="preserve">        CIVIL WORKS</t>
  </si>
  <si>
    <t xml:space="preserve">          AREA-1 (EARTHWORKS &amp; CONCRETE WORKS)</t>
  </si>
  <si>
    <t xml:space="preserve">            EARTHWORK</t>
  </si>
  <si>
    <t xml:space="preserve">              SUB.A1.EW.01</t>
  </si>
  <si>
    <t>Excavation for Area-1 up to bottom of Footings Blinding</t>
  </si>
  <si>
    <t xml:space="preserve">              SUB.A1.EW.02</t>
  </si>
  <si>
    <t>Disposal of Excavated Materials at Area-1</t>
  </si>
  <si>
    <t xml:space="preserve">              SUB.A1.EW.03</t>
  </si>
  <si>
    <t>Preparation &amp; Apply Termite Control below Footings at Area-1</t>
  </si>
  <si>
    <t>Civil Materials</t>
  </si>
  <si>
    <t xml:space="preserve">            FOOTINGS &amp; LIFT BASES</t>
  </si>
  <si>
    <t xml:space="preserve">              SUB.A1.FT.01</t>
  </si>
  <si>
    <t>Blinding for Footings &amp; Lift Bases</t>
  </si>
  <si>
    <t xml:space="preserve">              SUB.A1.FT.05</t>
  </si>
  <si>
    <t>Pouring for Footings &amp; Lift Bases</t>
  </si>
  <si>
    <t xml:space="preserve">              SUB.A1.FT.04</t>
  </si>
  <si>
    <t>Reinforcing Bars for Footings &amp; Lift Bases</t>
  </si>
  <si>
    <t xml:space="preserve">              SUB.A1.FT.03</t>
  </si>
  <si>
    <t>Shuttering for Footings &amp; Lift Bases</t>
  </si>
  <si>
    <t xml:space="preserve">              SUB.A1.FT.02</t>
  </si>
  <si>
    <t xml:space="preserve">          AREA-2 (EARTHWORKS &amp; CONCRETE WORKS)</t>
  </si>
  <si>
    <t xml:space="preserve">              SUB.A2.EW.01</t>
  </si>
  <si>
    <t>Excavation for Area-2 up to bottom of footings blinding</t>
  </si>
  <si>
    <t xml:space="preserve">              SUB.A2.EW.02</t>
  </si>
  <si>
    <t>Disposal of Excavated Materials at Area-2</t>
  </si>
  <si>
    <t xml:space="preserve">              SUB.A2.EW.03</t>
  </si>
  <si>
    <t>Preparation &amp; Apply Termite Control below Footings at Area-2</t>
  </si>
  <si>
    <t xml:space="preserve">              SUB.A2.FT.05</t>
  </si>
  <si>
    <t xml:space="preserve">              SUB.A2.FT.01</t>
  </si>
  <si>
    <t xml:space="preserve">              SUB.A2.FT.04</t>
  </si>
  <si>
    <t xml:space="preserve">              SUB.A2.FT.03</t>
  </si>
  <si>
    <t xml:space="preserve">              SUB.A2.FT.02</t>
  </si>
  <si>
    <t xml:space="preserve">          AREA-3 (EARTHWORKS &amp; CONCRETE WORKS)</t>
  </si>
  <si>
    <t xml:space="preserve">              SUB.A3.EW.01</t>
  </si>
  <si>
    <t>Excavation for Area-3 up to bottom of footings blinding</t>
  </si>
  <si>
    <t xml:space="preserve">              SUB.A3.EW.02</t>
  </si>
  <si>
    <t>Disposal of Excavated Materials at Area-3</t>
  </si>
  <si>
    <t xml:space="preserve">              SUB.A3.EW.03</t>
  </si>
  <si>
    <t>Preparation &amp; Apply Termite Control below Footings at Area-3</t>
  </si>
  <si>
    <t xml:space="preserve">              SUB.A3.FT.01</t>
  </si>
  <si>
    <t xml:space="preserve">              SUB.A3.FT.05</t>
  </si>
  <si>
    <t xml:space="preserve">              SUB.A3.FT.04</t>
  </si>
  <si>
    <t xml:space="preserve">              SUB.A3.FT.03</t>
  </si>
  <si>
    <t xml:space="preserve">              SUB.A3.FT.02</t>
  </si>
  <si>
    <t xml:space="preserve">          EARTHWORK</t>
  </si>
  <si>
    <t xml:space="preserve">            SUB.B2.EW.1</t>
  </si>
  <si>
    <t xml:space="preserve">            SUB.B2.EW.2</t>
  </si>
  <si>
    <t>Disposal of Excavated Materials</t>
  </si>
  <si>
    <t xml:space="preserve">            SUB.B2.EW.3</t>
  </si>
  <si>
    <t>Preparation &amp; Termite Control for Blinding of Footing</t>
  </si>
  <si>
    <t>Planned</t>
  </si>
  <si>
    <t>Actual</t>
  </si>
  <si>
    <t xml:space="preserve">      PRE.PDBC.002</t>
  </si>
  <si>
    <t>Preliminaries for Contract Period</t>
  </si>
  <si>
    <t>Running Cost</t>
  </si>
  <si>
    <t xml:space="preserve">      PRE.PDBC.009</t>
  </si>
  <si>
    <t>Taking Over of Site</t>
  </si>
  <si>
    <t xml:space="preserve">      PRE.PDBC.007</t>
  </si>
  <si>
    <t>Execution Temporary Site Facilities</t>
  </si>
  <si>
    <t xml:space="preserve">      PRE.PDBC.008</t>
  </si>
  <si>
    <t>Submission of Performance Bond &amp; Insurances</t>
  </si>
  <si>
    <t>Horizontal Rubberized above Blinding for Footings &amp; Lift Bases</t>
  </si>
  <si>
    <t xml:space="preserve">              SUB.A1.FT.06</t>
  </si>
  <si>
    <t>Polythene Sheet above Blinding for Footings &amp; Lift Bases</t>
  </si>
  <si>
    <t xml:space="preserve">            NECK COLUMNS &amp; SOLID BLOCKS</t>
  </si>
  <si>
    <t xml:space="preserve">              SUB.A1.NC.05</t>
  </si>
  <si>
    <t>Hard Board  Cover &amp; Polythene Sheet for Footing, Neck Column &amp; Solid Block</t>
  </si>
  <si>
    <t xml:space="preserve">              SUB.A1.NC.04</t>
  </si>
  <si>
    <t>Rubberized Waterproofing for Footing, Neck Column &amp; Solid Block</t>
  </si>
  <si>
    <t xml:space="preserve">              SUB.A1.NC.02</t>
  </si>
  <si>
    <t>Reinforcing Bars for Neck Columns</t>
  </si>
  <si>
    <t xml:space="preserve">              SUB.A1.NC.03</t>
  </si>
  <si>
    <t>Shuttering for Neck Columns</t>
  </si>
  <si>
    <t xml:space="preserve">              SUB.A1.NC.06</t>
  </si>
  <si>
    <t>Pouring for Neck Columns</t>
  </si>
  <si>
    <t xml:space="preserve">              SUB.A1.NC.01</t>
  </si>
  <si>
    <t>Installation of Solid Block</t>
  </si>
  <si>
    <t xml:space="preserve">            FOOTINGS</t>
  </si>
  <si>
    <t>Horizontal Rubberized above Blinding for Footings</t>
  </si>
  <si>
    <t xml:space="preserve">              SUB.A2.FT.06</t>
  </si>
  <si>
    <t>Pouring for Footings</t>
  </si>
  <si>
    <t>Reinforcing Bars for Footings</t>
  </si>
  <si>
    <t>Blinding for Footings</t>
  </si>
  <si>
    <t>Shuttering for Footings</t>
  </si>
  <si>
    <t>Polythene Sheet above Blinding for Footings</t>
  </si>
  <si>
    <t xml:space="preserve">              SUB.A2.NC.06</t>
  </si>
  <si>
    <t xml:space="preserve">              SUB.A2.NC.04</t>
  </si>
  <si>
    <t xml:space="preserve">              SUB.A2.NC.02</t>
  </si>
  <si>
    <t xml:space="preserve">              SUB.A2.NC.03</t>
  </si>
  <si>
    <t xml:space="preserve">              SUB.A2.NC.05</t>
  </si>
  <si>
    <t xml:space="preserve">              SUB.A2.NC.01</t>
  </si>
  <si>
    <t xml:space="preserve">              SUB.A3.FT.06</t>
  </si>
  <si>
    <t xml:space="preserve">              SUB.A3.NC.05</t>
  </si>
  <si>
    <t xml:space="preserve">              SUB.A3.NC.04</t>
  </si>
  <si>
    <t xml:space="preserve">              SUB.A3.NC.02</t>
  </si>
  <si>
    <t xml:space="preserve">              SUB.A3.NC.06</t>
  </si>
  <si>
    <t xml:space="preserve">              SUB.A3.NC.01</t>
  </si>
  <si>
    <t xml:space="preserve">              SUB.A3.NC.03</t>
  </si>
  <si>
    <t>Excavation for up to bottom of Blinding for Footings</t>
  </si>
  <si>
    <t xml:space="preserve">          FOOTINGS</t>
  </si>
  <si>
    <t xml:space="preserve">            SUB.B2.FT.01</t>
  </si>
  <si>
    <t>Concrete Pump</t>
  </si>
  <si>
    <t xml:space="preserve">            SUB.B2.FT.04</t>
  </si>
  <si>
    <t xml:space="preserve">            SUB.B2.FT.05</t>
  </si>
  <si>
    <t xml:space="preserve">            SUB.B2.FT.06</t>
  </si>
  <si>
    <t xml:space="preserve">            SUB.B2.FT.02</t>
  </si>
  <si>
    <t>Horizontal Rubberized Waterproofing above Blinding for Footings</t>
  </si>
  <si>
    <t xml:space="preserve">            SUB.B2.FT.03</t>
  </si>
  <si>
    <t xml:space="preserve">          SWIMMING POOL SLAB &amp; BALANCE TANK</t>
  </si>
  <si>
    <t xml:space="preserve">            SUB.B2.SPS.01</t>
  </si>
  <si>
    <t>Blinding for Swimming Pool Slab &amp; Balance Tank</t>
  </si>
  <si>
    <t xml:space="preserve">            SUB.B2.SPS.05</t>
  </si>
  <si>
    <t>Reinforcing Bars for Swimming Pool Slab &amp; Balance Tank</t>
  </si>
  <si>
    <t xml:space="preserve">            SUB.B2.SPS.06</t>
  </si>
  <si>
    <t>Pouring for Swimming Pool Slab &amp; Balance Tank</t>
  </si>
  <si>
    <t xml:space="preserve">            SUB.B2.SPS.02</t>
  </si>
  <si>
    <t>Horizontal Rubberized Waterproofing for Swimming Pool Slab &amp; Balance Tank</t>
  </si>
  <si>
    <t xml:space="preserve">            SUB.B2.SPS.04</t>
  </si>
  <si>
    <t>Screed Works above Blinding for Swimming Pool Slab &amp; Balance Tank</t>
  </si>
  <si>
    <t xml:space="preserve">            SUB.B2.SPS.03</t>
  </si>
  <si>
    <t>Polytene Sheet for Swimming Pool Slab &amp; Balance Tank</t>
  </si>
  <si>
    <t xml:space="preserve">          SWIMMING POOL WALL &amp; BALANCE TANK</t>
  </si>
  <si>
    <t xml:space="preserve">            SUB.B2.SPW.1</t>
  </si>
  <si>
    <t>Reinforcing Bars for Swimming Pool Walls &amp; Balance Tank</t>
  </si>
  <si>
    <t xml:space="preserve">            SUB.B2.SPW.2</t>
  </si>
  <si>
    <t>Shuttering for Swimming Pool Walls &amp; Balance Tank</t>
  </si>
  <si>
    <t xml:space="preserve">            SUB.B2.SPW.3</t>
  </si>
  <si>
    <t>Pouring for Swimming Pool Walls &amp; Balance Tank</t>
  </si>
  <si>
    <t xml:space="preserve">          NECK COLUMNS &amp; SOLID BLOCKS</t>
  </si>
  <si>
    <t xml:space="preserve">            SUB.B2.NC.01</t>
  </si>
  <si>
    <t xml:space="preserve">            SUB.B2.NC.04</t>
  </si>
  <si>
    <t xml:space="preserve">            SUB.B2.NC.03</t>
  </si>
  <si>
    <t xml:space="preserve">            SUB.B2.NC.02</t>
  </si>
  <si>
    <t xml:space="preserve">            SUB.B2.NC.05</t>
  </si>
  <si>
    <t>Rubberized Waterproofing &amp; Polythene Sheet for Footings, Solid Block, Pool, Tank &amp; Neck Columns</t>
  </si>
  <si>
    <t xml:space="preserve">            SUB.B2.NC.06</t>
  </si>
  <si>
    <t>Hard Board Cover for Footings, Solid Block, Pool, Tank &amp; Neck Columns</t>
  </si>
  <si>
    <t>B2-CONCRETE WORKS</t>
  </si>
  <si>
    <t>Earthworks</t>
  </si>
  <si>
    <t>Thermal &amp; Moisture</t>
  </si>
  <si>
    <t>B2-EARTHWORKS</t>
  </si>
  <si>
    <t>Submitted</t>
  </si>
  <si>
    <t>Approved</t>
  </si>
  <si>
    <t>Revised</t>
  </si>
  <si>
    <t>Pending</t>
  </si>
  <si>
    <t>Remaining</t>
  </si>
  <si>
    <t>Total</t>
  </si>
  <si>
    <t>Structural</t>
  </si>
  <si>
    <t>Architectural</t>
  </si>
  <si>
    <t>Electrical</t>
  </si>
  <si>
    <t>Plumbing</t>
  </si>
  <si>
    <t>HVAC</t>
  </si>
  <si>
    <t>Fire Fighting, Irrigation, Pool &amp; Lift</t>
  </si>
  <si>
    <t>Coordination</t>
  </si>
  <si>
    <t>B1-EARTHWORKS</t>
  </si>
  <si>
    <t>B1-CONCRETE WORKS</t>
  </si>
  <si>
    <t>B1-BLOCK WORKS</t>
  </si>
  <si>
    <t>B1-THERMAL &amp; WATERPROOFING</t>
  </si>
  <si>
    <t>B2-BLOCK WORKS</t>
  </si>
  <si>
    <t>B2-THERMAL &amp; WATERPROOFING</t>
  </si>
  <si>
    <t>Concrete Works</t>
  </si>
  <si>
    <t>Solid Block</t>
  </si>
  <si>
    <t>MEP Work</t>
  </si>
  <si>
    <t>B1-MEP WORK</t>
  </si>
  <si>
    <t>PLANNED PROGRESS (Mitigation)</t>
  </si>
  <si>
    <t>Spreadsheet Field</t>
  </si>
  <si>
    <t>15-Oct-14 A</t>
  </si>
  <si>
    <t>Budgeted Cost</t>
  </si>
  <si>
    <t>B2-MEP WORK</t>
  </si>
  <si>
    <t>Finishes</t>
  </si>
  <si>
    <t>B1-FINISHES</t>
  </si>
  <si>
    <t xml:space="preserve">External Work </t>
  </si>
  <si>
    <t>B1-EXTERNAL WORK</t>
  </si>
  <si>
    <t>B2-FINISHES</t>
  </si>
  <si>
    <t xml:space="preserve">Planned Mo. Cashflow </t>
  </si>
  <si>
    <t xml:space="preserve">Planned Mo. Cum. Cashflow </t>
  </si>
  <si>
    <t>CONSTRUCTION, COMPLETION &amp; MAINTENANCE OF OFFICER'S BUILDING 1&amp;2 AT BARZAN CAMP</t>
  </si>
  <si>
    <t>Cum Budgeted Cost</t>
  </si>
  <si>
    <t xml:space="preserve">No Type of work-8 </t>
  </si>
  <si>
    <t>08-Nov-14 A</t>
  </si>
  <si>
    <t xml:space="preserve">Mitigation Mo. Cashflow </t>
  </si>
  <si>
    <t xml:space="preserve">Mitigation Mo. Cum. Cashflow </t>
  </si>
  <si>
    <t xml:space="preserve">Actual Mo. Cashflow </t>
  </si>
  <si>
    <t xml:space="preserve">Actual Mo. Cum. Cashflow </t>
  </si>
  <si>
    <t>Planned Mo. Progress %</t>
  </si>
  <si>
    <t>Planned Mo. Cum. Progress %</t>
  </si>
  <si>
    <t>Mitigation Mo. Progress %</t>
  </si>
  <si>
    <t>Mitigation Mo. Cum. Progress %</t>
  </si>
  <si>
    <t>Actual Mo. Progress %</t>
  </si>
  <si>
    <t>Actual Mo. Cum. Progress %</t>
  </si>
  <si>
    <t>ACTUAL PROGRESS (Mitigation)</t>
  </si>
  <si>
    <t>PLANNED PROGRESS (Baseline)</t>
  </si>
  <si>
    <t>VARIANCE (Baseline)</t>
  </si>
  <si>
    <t>VARIANCE (Mitigation)</t>
  </si>
  <si>
    <t>PLANNED (Baseline)</t>
  </si>
  <si>
    <t>PLANNED (Mitigation)</t>
  </si>
  <si>
    <t>B1-3rd FLOOR BEAMS &amp; SLAB, 1F BLOCKWORK &amp; GF-1F MEP WORKS, AREA-1, BUILDING-1</t>
  </si>
  <si>
    <t xml:space="preserve"> B2-SHUTTERING FOR ROOF BEAM &amp; SLAB, GF-RF BLOCKWORK &amp; MEP WORK AT AREA-2, BUILDING-2</t>
  </si>
  <si>
    <t>B1-SHUTTERING ROOF FLOOR SLAB, 1F BLOCKWORK &amp; GF-1F MEP WORKS AT AREA-2, BUILDING-1</t>
  </si>
  <si>
    <t>B1-CASTED 3RD FLOOR COLUMNS, GF-1F MEP WORKS AT AREA-3, BUILDING-1</t>
  </si>
  <si>
    <t xml:space="preserve">CLIENT: </t>
  </si>
  <si>
    <t xml:space="preserve">CONSULTANT: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</si>
</sst>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(* #,##0.00_);_(* \(#,##0.00\);_(* &quot;-&quot;??_);_(@_)"/>
    <numFmt numFmtId="164" formatCode="_-* #,##0.00_-;\-* #,##0.00_-;_-* &quot;-&quot;??_-;_-@_-"/>
    <numFmt numFmtId="165" formatCode="[$-409]mmm\-yy;@"/>
    <numFmt numFmtId="166" formatCode="[$-409]dd/mmm/yy;@"/>
    <numFmt numFmtId="167" formatCode="dd/mm/yy;@"/>
    <numFmt numFmtId="168" formatCode="[$-409]d\-mmm\-yy;@"/>
    <numFmt numFmtId="169" formatCode="[$-409]dd\-mmm\-yy;@"/>
    <numFmt numFmtId="170" formatCode="0.0%"/>
    <numFmt numFmtId="171" formatCode="_(* #,##0_);_(* \(#,##0\);_(* &quot;-&quot;??_);_(@_)"/>
    <numFmt numFmtId="172" formatCode="_-* #,##0_-;\-* #,##0_-;_-* &quot;-&quot;??_-;_-@_-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 val="double"/>
      <sz val="18"/>
      <color theme="1"/>
      <name val="Cambria"/>
      <family val="1"/>
      <scheme val="major"/>
    </font>
    <font>
      <b/>
      <u val="double"/>
      <sz val="14"/>
      <color theme="1"/>
      <name val="Cambria"/>
      <family val="1"/>
      <scheme val="maj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8"/>
      <color theme="1"/>
      <name val="Arial Narrow"/>
      <family val="2"/>
    </font>
    <font>
      <b/>
      <u val="double"/>
      <sz val="14"/>
      <color theme="1"/>
      <name val="Bell Gothic Std Black"/>
      <family val="2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Black"/>
      <family val="2"/>
    </font>
    <font>
      <sz val="6"/>
      <color theme="1"/>
      <name val="Calibri"/>
      <family val="2"/>
      <scheme val="minor"/>
    </font>
    <font>
      <b/>
      <u val="double"/>
      <sz val="12"/>
      <color theme="1"/>
      <name val="Bell Gothic Std Black"/>
      <family val="2"/>
    </font>
    <font>
      <b/>
      <u val="double"/>
      <sz val="11"/>
      <color theme="1"/>
      <name val="Bell Gothic Std Black"/>
      <family val="2"/>
    </font>
    <font>
      <b/>
      <u val="double"/>
      <sz val="10"/>
      <color theme="1"/>
      <name val="Bell Gothic Std Black"/>
      <family val="2"/>
    </font>
    <font>
      <sz val="10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Times New Roman"/>
      <family val="1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1FBFB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9" fillId="0" borderId="0" applyFont="0" applyFill="0" applyBorder="0" applyAlignment="0" applyProtection="0"/>
  </cellStyleXfs>
  <cellXfs count="132">
    <xf numFmtId="0" fontId="0" fillId="0" borderId="0" xfId="0"/>
    <xf numFmtId="0" fontId="0" fillId="0" borderId="0" xfId="0" applyBorder="1"/>
    <xf numFmtId="4" fontId="0" fillId="0" borderId="0" xfId="0" applyNumberFormat="1"/>
    <xf numFmtId="0" fontId="4" fillId="0" borderId="0" xfId="0" applyFont="1"/>
    <xf numFmtId="10" fontId="0" fillId="0" borderId="0" xfId="1" applyNumberFormat="1" applyFont="1"/>
    <xf numFmtId="4" fontId="7" fillId="0" borderId="1" xfId="0" applyNumberFormat="1" applyFont="1" applyBorder="1" applyAlignment="1">
      <alignment horizontal="center" vertical="center"/>
    </xf>
    <xf numFmtId="4" fontId="7" fillId="0" borderId="1" xfId="0" applyNumberFormat="1" applyFont="1" applyFill="1" applyBorder="1" applyAlignment="1">
      <alignment horizontal="center" vertical="center"/>
    </xf>
    <xf numFmtId="1" fontId="6" fillId="3" borderId="8" xfId="0" applyNumberFormat="1" applyFont="1" applyFill="1" applyBorder="1" applyAlignment="1">
      <alignment vertical="center"/>
    </xf>
    <xf numFmtId="0" fontId="3" fillId="0" borderId="0" xfId="2" applyFont="1" applyFill="1" applyBorder="1" applyAlignment="1">
      <alignment vertical="center"/>
    </xf>
    <xf numFmtId="0" fontId="2" fillId="0" borderId="0" xfId="2" applyFont="1" applyFill="1" applyBorder="1" applyAlignment="1">
      <alignment vertical="center"/>
    </xf>
    <xf numFmtId="0" fontId="0" fillId="0" borderId="0" xfId="0" applyFill="1" applyBorder="1"/>
    <xf numFmtId="4" fontId="5" fillId="0" borderId="1" xfId="0" applyNumberFormat="1" applyFont="1" applyBorder="1" applyAlignment="1">
      <alignment horizontal="left" vertical="center"/>
    </xf>
    <xf numFmtId="0" fontId="10" fillId="5" borderId="14" xfId="0" applyFont="1" applyFill="1" applyBorder="1" applyAlignment="1">
      <alignment horizontal="left" vertical="center"/>
    </xf>
    <xf numFmtId="0" fontId="10" fillId="5" borderId="18" xfId="0" applyFont="1" applyFill="1" applyBorder="1" applyAlignment="1">
      <alignment vertical="center"/>
    </xf>
    <xf numFmtId="1" fontId="10" fillId="7" borderId="19" xfId="0" applyNumberFormat="1" applyFont="1" applyFill="1" applyBorder="1" applyAlignment="1">
      <alignment horizontal="center" vertical="center"/>
    </xf>
    <xf numFmtId="1" fontId="10" fillId="7" borderId="20" xfId="0" applyNumberFormat="1" applyFont="1" applyFill="1" applyBorder="1" applyAlignment="1">
      <alignment horizontal="center" vertical="center"/>
    </xf>
    <xf numFmtId="1" fontId="10" fillId="7" borderId="21" xfId="0" applyNumberFormat="1" applyFont="1" applyFill="1" applyBorder="1" applyAlignment="1">
      <alignment horizontal="center" vertical="center"/>
    </xf>
    <xf numFmtId="1" fontId="10" fillId="7" borderId="15" xfId="0" applyNumberFormat="1" applyFont="1" applyFill="1" applyBorder="1" applyAlignment="1">
      <alignment horizontal="center" vertical="center"/>
    </xf>
    <xf numFmtId="2" fontId="6" fillId="2" borderId="22" xfId="0" applyNumberFormat="1" applyFont="1" applyFill="1" applyBorder="1" applyAlignment="1">
      <alignment vertical="center"/>
    </xf>
    <xf numFmtId="2" fontId="7" fillId="0" borderId="9" xfId="0" applyNumberFormat="1" applyFont="1" applyBorder="1" applyAlignment="1">
      <alignment horizontal="center" vertical="center"/>
    </xf>
    <xf numFmtId="2" fontId="7" fillId="0" borderId="9" xfId="0" applyNumberFormat="1" applyFont="1" applyFill="1" applyBorder="1" applyAlignment="1">
      <alignment horizontal="center" vertical="center"/>
    </xf>
    <xf numFmtId="0" fontId="6" fillId="3" borderId="8" xfId="0" applyFont="1" applyFill="1" applyBorder="1" applyAlignment="1">
      <alignment vertical="center"/>
    </xf>
    <xf numFmtId="166" fontId="12" fillId="0" borderId="0" xfId="0" applyNumberFormat="1" applyFont="1" applyFill="1" applyBorder="1" applyAlignment="1">
      <alignment horizontal="center" vertical="center"/>
    </xf>
    <xf numFmtId="14" fontId="0" fillId="0" borderId="0" xfId="0" applyNumberFormat="1"/>
    <xf numFmtId="3" fontId="0" fillId="0" borderId="0" xfId="0" applyNumberFormat="1"/>
    <xf numFmtId="1" fontId="0" fillId="0" borderId="0" xfId="0" applyNumberFormat="1"/>
    <xf numFmtId="0" fontId="5" fillId="0" borderId="23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8" fillId="0" borderId="23" xfId="2" applyFont="1" applyFill="1" applyBorder="1" applyAlignment="1">
      <alignment horizontal="center" vertical="center"/>
    </xf>
    <xf numFmtId="0" fontId="8" fillId="0" borderId="11" xfId="2" applyFont="1" applyFill="1" applyBorder="1" applyAlignment="1">
      <alignment horizontal="center" vertical="center"/>
    </xf>
    <xf numFmtId="0" fontId="0" fillId="8" borderId="11" xfId="0" applyFill="1" applyBorder="1"/>
    <xf numFmtId="0" fontId="0" fillId="8" borderId="10" xfId="0" applyFill="1" applyBorder="1"/>
    <xf numFmtId="0" fontId="0" fillId="8" borderId="12" xfId="0" applyFill="1" applyBorder="1"/>
    <xf numFmtId="0" fontId="0" fillId="8" borderId="0" xfId="0" applyFill="1" applyBorder="1"/>
    <xf numFmtId="0" fontId="0" fillId="8" borderId="2" xfId="0" applyFill="1" applyBorder="1"/>
    <xf numFmtId="0" fontId="0" fillId="8" borderId="3" xfId="0" applyFill="1" applyBorder="1"/>
    <xf numFmtId="0" fontId="0" fillId="8" borderId="0" xfId="0" applyFill="1" applyBorder="1" applyAlignment="1">
      <alignment vertical="center"/>
    </xf>
    <xf numFmtId="0" fontId="0" fillId="8" borderId="5" xfId="0" applyFill="1" applyBorder="1"/>
    <xf numFmtId="0" fontId="0" fillId="8" borderId="4" xfId="0" applyFill="1" applyBorder="1"/>
    <xf numFmtId="0" fontId="0" fillId="8" borderId="6" xfId="0" applyFill="1" applyBorder="1"/>
    <xf numFmtId="2" fontId="0" fillId="0" borderId="0" xfId="0" applyNumberFormat="1"/>
    <xf numFmtId="0" fontId="15" fillId="0" borderId="11" xfId="2" applyFont="1" applyFill="1" applyBorder="1" applyAlignment="1">
      <alignment horizontal="left" vertical="center"/>
    </xf>
    <xf numFmtId="9" fontId="0" fillId="0" borderId="0" xfId="0" applyNumberFormat="1"/>
    <xf numFmtId="0" fontId="8" fillId="0" borderId="13" xfId="2" applyFont="1" applyFill="1" applyBorder="1" applyAlignment="1">
      <alignment horizontal="center" vertical="center"/>
    </xf>
    <xf numFmtId="0" fontId="8" fillId="0" borderId="27" xfId="2" applyFont="1" applyFill="1" applyBorder="1" applyAlignment="1">
      <alignment horizontal="center" vertical="center"/>
    </xf>
    <xf numFmtId="0" fontId="0" fillId="8" borderId="29" xfId="0" applyFill="1" applyBorder="1"/>
    <xf numFmtId="0" fontId="5" fillId="0" borderId="13" xfId="0" applyFont="1" applyBorder="1" applyAlignment="1">
      <alignment horizontal="left" vertical="center"/>
    </xf>
    <xf numFmtId="0" fontId="0" fillId="8" borderId="30" xfId="0" applyFill="1" applyBorder="1"/>
    <xf numFmtId="0" fontId="0" fillId="0" borderId="31" xfId="0" applyBorder="1"/>
    <xf numFmtId="0" fontId="0" fillId="0" borderId="29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0" fontId="0" fillId="0" borderId="0" xfId="0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0" fontId="5" fillId="0" borderId="28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7" fontId="0" fillId="0" borderId="0" xfId="0" applyNumberFormat="1"/>
    <xf numFmtId="165" fontId="11" fillId="6" borderId="17" xfId="0" applyNumberFormat="1" applyFont="1" applyFill="1" applyBorder="1" applyAlignment="1">
      <alignment vertical="center"/>
    </xf>
    <xf numFmtId="164" fontId="0" fillId="0" borderId="0" xfId="3" applyFont="1"/>
    <xf numFmtId="164" fontId="12" fillId="0" borderId="0" xfId="3" applyFont="1" applyFill="1" applyBorder="1" applyAlignment="1">
      <alignment horizontal="center" vertical="center"/>
    </xf>
    <xf numFmtId="0" fontId="0" fillId="0" borderId="0" xfId="0" quotePrefix="1" applyAlignment="1">
      <alignment horizontal="right"/>
    </xf>
    <xf numFmtId="15" fontId="0" fillId="0" borderId="0" xfId="0" applyNumberFormat="1"/>
    <xf numFmtId="10" fontId="0" fillId="0" borderId="0" xfId="0" applyNumberFormat="1"/>
    <xf numFmtId="1" fontId="7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Fill="1" applyBorder="1" applyAlignment="1">
      <alignment horizontal="center" vertical="center"/>
    </xf>
    <xf numFmtId="0" fontId="0" fillId="0" borderId="29" xfId="0" applyBorder="1" applyAlignment="1"/>
    <xf numFmtId="0" fontId="0" fillId="0" borderId="0" xfId="0" applyBorder="1" applyAlignment="1">
      <alignment horizontal="left"/>
    </xf>
    <xf numFmtId="0" fontId="5" fillId="3" borderId="28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169" fontId="5" fillId="3" borderId="1" xfId="0" applyNumberFormat="1" applyFont="1" applyFill="1" applyBorder="1" applyAlignment="1">
      <alignment horizontal="left" vertical="center"/>
    </xf>
    <xf numFmtId="0" fontId="5" fillId="3" borderId="1" xfId="0" applyNumberFormat="1" applyFont="1" applyFill="1" applyBorder="1" applyAlignment="1">
      <alignment horizontal="left" vertical="center"/>
    </xf>
    <xf numFmtId="168" fontId="5" fillId="0" borderId="1" xfId="0" applyNumberFormat="1" applyFont="1" applyBorder="1" applyAlignment="1">
      <alignment horizontal="left" vertical="center"/>
    </xf>
    <xf numFmtId="0" fontId="17" fillId="0" borderId="1" xfId="0" applyFont="1" applyBorder="1"/>
    <xf numFmtId="15" fontId="4" fillId="0" borderId="0" xfId="0" applyNumberFormat="1" applyFont="1"/>
    <xf numFmtId="15" fontId="17" fillId="0" borderId="1" xfId="0" applyNumberFormat="1" applyFont="1" applyBorder="1"/>
    <xf numFmtId="3" fontId="17" fillId="0" borderId="1" xfId="0" applyNumberFormat="1" applyFont="1" applyBorder="1"/>
    <xf numFmtId="4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/>
    <xf numFmtId="43" fontId="0" fillId="0" borderId="0" xfId="0" applyNumberFormat="1"/>
    <xf numFmtId="168" fontId="17" fillId="0" borderId="0" xfId="0" applyNumberFormat="1" applyFont="1" applyFill="1" applyBorder="1" applyAlignment="1">
      <alignment horizontal="center" vertical="center"/>
    </xf>
    <xf numFmtId="168" fontId="17" fillId="0" borderId="0" xfId="0" applyNumberFormat="1" applyFont="1"/>
    <xf numFmtId="1" fontId="17" fillId="0" borderId="0" xfId="0" applyNumberFormat="1" applyFont="1"/>
    <xf numFmtId="4" fontId="17" fillId="0" borderId="0" xfId="0" applyNumberFormat="1" applyFont="1"/>
    <xf numFmtId="15" fontId="17" fillId="3" borderId="1" xfId="0" applyNumberFormat="1" applyFont="1" applyFill="1" applyBorder="1"/>
    <xf numFmtId="3" fontId="17" fillId="3" borderId="1" xfId="0" applyNumberFormat="1" applyFont="1" applyFill="1" applyBorder="1"/>
    <xf numFmtId="0" fontId="17" fillId="3" borderId="1" xfId="0" applyFont="1" applyFill="1" applyBorder="1"/>
    <xf numFmtId="0" fontId="0" fillId="3" borderId="0" xfId="0" applyFill="1"/>
    <xf numFmtId="9" fontId="0" fillId="0" borderId="0" xfId="1" applyFont="1"/>
    <xf numFmtId="170" fontId="0" fillId="0" borderId="0" xfId="1" applyNumberFormat="1" applyFont="1"/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0" fontId="18" fillId="0" borderId="0" xfId="1" applyNumberFormat="1" applyFont="1"/>
    <xf numFmtId="10" fontId="18" fillId="0" borderId="0" xfId="0" applyNumberFormat="1" applyFont="1"/>
    <xf numFmtId="171" fontId="0" fillId="0" borderId="0" xfId="3" applyNumberFormat="1" applyFont="1"/>
    <xf numFmtId="0" fontId="16" fillId="0" borderId="0" xfId="0" applyFont="1"/>
    <xf numFmtId="43" fontId="16" fillId="0" borderId="0" xfId="0" applyNumberFormat="1" applyFont="1"/>
    <xf numFmtId="15" fontId="4" fillId="0" borderId="1" xfId="0" applyNumberFormat="1" applyFont="1" applyBorder="1"/>
    <xf numFmtId="0" fontId="4" fillId="0" borderId="1" xfId="0" applyFont="1" applyBorder="1"/>
    <xf numFmtId="10" fontId="17" fillId="0" borderId="0" xfId="1" applyNumberFormat="1" applyFont="1"/>
    <xf numFmtId="10" fontId="17" fillId="0" borderId="0" xfId="0" applyNumberFormat="1" applyFont="1"/>
    <xf numFmtId="15" fontId="17" fillId="0" borderId="0" xfId="0" applyNumberFormat="1" applyFont="1"/>
    <xf numFmtId="172" fontId="17" fillId="0" borderId="0" xfId="3" applyNumberFormat="1" applyFont="1"/>
    <xf numFmtId="0" fontId="18" fillId="0" borderId="0" xfId="0" applyFont="1"/>
    <xf numFmtId="168" fontId="21" fillId="0" borderId="1" xfId="0" applyNumberFormat="1" applyFont="1" applyBorder="1" applyAlignment="1">
      <alignment horizontal="left" vertical="center"/>
    </xf>
    <xf numFmtId="0" fontId="20" fillId="9" borderId="0" xfId="0" applyFont="1" applyFill="1" applyAlignment="1">
      <alignment horizontal="center" vertical="center"/>
    </xf>
    <xf numFmtId="15" fontId="22" fillId="9" borderId="1" xfId="0" applyNumberFormat="1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horizontal="center" vertical="center"/>
    </xf>
    <xf numFmtId="0" fontId="0" fillId="0" borderId="0" xfId="0" applyAlignment="1" applyProtection="1">
      <alignment horizontal="right"/>
    </xf>
    <xf numFmtId="0" fontId="23" fillId="0" borderId="31" xfId="0" applyFont="1" applyBorder="1"/>
    <xf numFmtId="165" fontId="11" fillId="6" borderId="17" xfId="0" applyNumberFormat="1" applyFont="1" applyFill="1" applyBorder="1" applyAlignment="1">
      <alignment horizontal="center" vertical="center"/>
    </xf>
    <xf numFmtId="165" fontId="11" fillId="6" borderId="15" xfId="0" applyNumberFormat="1" applyFont="1" applyFill="1" applyBorder="1" applyAlignment="1">
      <alignment horizontal="center" vertical="center"/>
    </xf>
    <xf numFmtId="165" fontId="11" fillId="6" borderId="16" xfId="0" applyNumberFormat="1" applyFont="1" applyFill="1" applyBorder="1" applyAlignment="1">
      <alignment horizontal="center" vertical="center"/>
    </xf>
    <xf numFmtId="165" fontId="11" fillId="6" borderId="31" xfId="0" applyNumberFormat="1" applyFont="1" applyFill="1" applyBorder="1" applyAlignment="1">
      <alignment horizontal="center" vertical="center"/>
    </xf>
    <xf numFmtId="165" fontId="11" fillId="6" borderId="0" xfId="0" applyNumberFormat="1" applyFont="1" applyFill="1" applyBorder="1" applyAlignment="1">
      <alignment horizontal="center" vertical="center"/>
    </xf>
    <xf numFmtId="0" fontId="17" fillId="0" borderId="0" xfId="0" applyFont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 wrapText="1"/>
    </xf>
    <xf numFmtId="0" fontId="13" fillId="4" borderId="24" xfId="2" applyFont="1" applyFill="1" applyBorder="1" applyAlignment="1">
      <alignment horizontal="center" vertical="center"/>
    </xf>
    <xf numFmtId="0" fontId="13" fillId="4" borderId="25" xfId="2" applyFont="1" applyFill="1" applyBorder="1" applyAlignment="1">
      <alignment horizontal="center" vertical="center"/>
    </xf>
    <xf numFmtId="0" fontId="13" fillId="4" borderId="26" xfId="2" applyFont="1" applyFill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9" fillId="8" borderId="10" xfId="0" applyFont="1" applyFill="1" applyBorder="1" applyAlignment="1">
      <alignment horizontal="center"/>
    </xf>
    <xf numFmtId="0" fontId="9" fillId="8" borderId="11" xfId="0" applyFont="1" applyFill="1" applyBorder="1" applyAlignment="1">
      <alignment horizontal="center"/>
    </xf>
    <xf numFmtId="0" fontId="9" fillId="8" borderId="27" xfId="0" applyFont="1" applyFill="1" applyBorder="1" applyAlignment="1">
      <alignment horizontal="center"/>
    </xf>
    <xf numFmtId="0" fontId="14" fillId="0" borderId="23" xfId="2" applyFont="1" applyFill="1" applyBorder="1" applyAlignment="1">
      <alignment horizontal="right" vertical="center"/>
    </xf>
    <xf numFmtId="168" fontId="14" fillId="0" borderId="23" xfId="2" applyNumberFormat="1" applyFont="1" applyFill="1" applyBorder="1" applyAlignment="1">
      <alignment horizontal="left" vertical="center"/>
    </xf>
    <xf numFmtId="0" fontId="4" fillId="0" borderId="3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</cellXfs>
  <cellStyles count="8">
    <cellStyle name="Comma" xfId="3" builtinId="3"/>
    <cellStyle name="Normal" xfId="0" builtinId="0"/>
    <cellStyle name="Normal 2" xfId="2"/>
    <cellStyle name="Normal 3" xfId="4"/>
    <cellStyle name="Percent" xfId="1" builtinId="5"/>
    <cellStyle name="Percent 2" xfId="5"/>
    <cellStyle name="Percent 3" xfId="6"/>
    <cellStyle name="Percent 4" xfId="7"/>
  </cellStyles>
  <dxfs count="0"/>
  <tableStyles count="0" defaultTableStyle="TableStyleMedium9" defaultPivotStyle="PivotStyleLight16"/>
  <colors>
    <mruColors>
      <color rgb="FF063CEA"/>
      <color rgb="FF81FBFB"/>
      <color rgb="FF1DB93B"/>
      <color rgb="FF174DF9"/>
      <color rgb="FF76FACE"/>
      <color rgb="FF36ACFC"/>
      <color rgb="FF14F3F8"/>
      <color rgb="FF1308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4.xml"/><Relationship Id="rId10" Type="http://schemas.openxmlformats.org/officeDocument/2006/relationships/styles" Target="styles.xml"/><Relationship Id="rId4" Type="http://schemas.openxmlformats.org/officeDocument/2006/relationships/worksheet" Target="worksheets/sheet3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34075823650086"/>
          <c:y val="0.18148146558077863"/>
          <c:w val="0.82095130520735937"/>
          <c:h val="0.62363350035790976"/>
        </c:manualLayout>
      </c:layout>
      <c:lineChart>
        <c:grouping val="standard"/>
        <c:varyColors val="0"/>
        <c:ser>
          <c:idx val="2"/>
          <c:order val="0"/>
          <c:tx>
            <c:v>PLANNED</c:v>
          </c:tx>
          <c:spPr>
            <a:ln>
              <a:solidFill>
                <a:srgbClr val="1DB93B"/>
              </a:solidFill>
            </a:ln>
          </c:spPr>
          <c:marker>
            <c:symbol val="none"/>
          </c:marker>
          <c:cat>
            <c:numRef>
              <c:f>Cashflow!$D$2:$DD$2</c:f>
              <c:numCache>
                <c:formatCode>d\-mmm\-yy</c:formatCode>
                <c:ptCount val="105"/>
                <c:pt idx="0">
                  <c:v>41924</c:v>
                </c:pt>
                <c:pt idx="1">
                  <c:v>41931</c:v>
                </c:pt>
                <c:pt idx="2">
                  <c:v>41938</c:v>
                </c:pt>
                <c:pt idx="3">
                  <c:v>41945</c:v>
                </c:pt>
                <c:pt idx="4">
                  <c:v>41952</c:v>
                </c:pt>
                <c:pt idx="5">
                  <c:v>41959</c:v>
                </c:pt>
                <c:pt idx="6">
                  <c:v>41966</c:v>
                </c:pt>
                <c:pt idx="7">
                  <c:v>41973</c:v>
                </c:pt>
                <c:pt idx="8">
                  <c:v>41980</c:v>
                </c:pt>
                <c:pt idx="9">
                  <c:v>41987</c:v>
                </c:pt>
                <c:pt idx="10">
                  <c:v>41994</c:v>
                </c:pt>
                <c:pt idx="11">
                  <c:v>42001</c:v>
                </c:pt>
                <c:pt idx="12">
                  <c:v>42008</c:v>
                </c:pt>
                <c:pt idx="13">
                  <c:v>42015</c:v>
                </c:pt>
                <c:pt idx="14">
                  <c:v>42022</c:v>
                </c:pt>
                <c:pt idx="15">
                  <c:v>42029</c:v>
                </c:pt>
                <c:pt idx="16">
                  <c:v>42036</c:v>
                </c:pt>
                <c:pt idx="17">
                  <c:v>42043</c:v>
                </c:pt>
                <c:pt idx="18">
                  <c:v>42050</c:v>
                </c:pt>
                <c:pt idx="19">
                  <c:v>42057</c:v>
                </c:pt>
                <c:pt idx="20">
                  <c:v>42064</c:v>
                </c:pt>
                <c:pt idx="21">
                  <c:v>42071</c:v>
                </c:pt>
                <c:pt idx="22">
                  <c:v>42078</c:v>
                </c:pt>
                <c:pt idx="23">
                  <c:v>42085</c:v>
                </c:pt>
                <c:pt idx="24">
                  <c:v>42092</c:v>
                </c:pt>
                <c:pt idx="25">
                  <c:v>42099</c:v>
                </c:pt>
                <c:pt idx="26">
                  <c:v>42106</c:v>
                </c:pt>
                <c:pt idx="27">
                  <c:v>42113</c:v>
                </c:pt>
                <c:pt idx="28">
                  <c:v>42120</c:v>
                </c:pt>
                <c:pt idx="29">
                  <c:v>42127</c:v>
                </c:pt>
                <c:pt idx="30">
                  <c:v>42134</c:v>
                </c:pt>
                <c:pt idx="31">
                  <c:v>42141</c:v>
                </c:pt>
                <c:pt idx="32">
                  <c:v>42148</c:v>
                </c:pt>
                <c:pt idx="33">
                  <c:v>42155</c:v>
                </c:pt>
                <c:pt idx="34">
                  <c:v>42162</c:v>
                </c:pt>
                <c:pt idx="35">
                  <c:v>42169</c:v>
                </c:pt>
                <c:pt idx="36">
                  <c:v>42176</c:v>
                </c:pt>
                <c:pt idx="37">
                  <c:v>42183</c:v>
                </c:pt>
                <c:pt idx="38">
                  <c:v>42190</c:v>
                </c:pt>
                <c:pt idx="39">
                  <c:v>42197</c:v>
                </c:pt>
                <c:pt idx="40">
                  <c:v>42204</c:v>
                </c:pt>
                <c:pt idx="41">
                  <c:v>42211</c:v>
                </c:pt>
                <c:pt idx="42">
                  <c:v>42218</c:v>
                </c:pt>
                <c:pt idx="43">
                  <c:v>42225</c:v>
                </c:pt>
                <c:pt idx="44">
                  <c:v>42232</c:v>
                </c:pt>
                <c:pt idx="45">
                  <c:v>42239</c:v>
                </c:pt>
                <c:pt idx="46">
                  <c:v>42246</c:v>
                </c:pt>
                <c:pt idx="47">
                  <c:v>42253</c:v>
                </c:pt>
                <c:pt idx="48">
                  <c:v>42260</c:v>
                </c:pt>
                <c:pt idx="49">
                  <c:v>42267</c:v>
                </c:pt>
                <c:pt idx="50">
                  <c:v>42274</c:v>
                </c:pt>
                <c:pt idx="51">
                  <c:v>42281</c:v>
                </c:pt>
                <c:pt idx="52">
                  <c:v>42288</c:v>
                </c:pt>
                <c:pt idx="53">
                  <c:v>42295</c:v>
                </c:pt>
                <c:pt idx="54">
                  <c:v>42302</c:v>
                </c:pt>
                <c:pt idx="55">
                  <c:v>42309</c:v>
                </c:pt>
                <c:pt idx="56">
                  <c:v>42316</c:v>
                </c:pt>
                <c:pt idx="57">
                  <c:v>42323</c:v>
                </c:pt>
                <c:pt idx="58">
                  <c:v>42330</c:v>
                </c:pt>
                <c:pt idx="59">
                  <c:v>42337</c:v>
                </c:pt>
                <c:pt idx="60">
                  <c:v>42344</c:v>
                </c:pt>
                <c:pt idx="61">
                  <c:v>42351</c:v>
                </c:pt>
                <c:pt idx="62">
                  <c:v>42358</c:v>
                </c:pt>
                <c:pt idx="63">
                  <c:v>42365</c:v>
                </c:pt>
                <c:pt idx="64">
                  <c:v>42372</c:v>
                </c:pt>
                <c:pt idx="65">
                  <c:v>42379</c:v>
                </c:pt>
                <c:pt idx="66">
                  <c:v>42386</c:v>
                </c:pt>
                <c:pt idx="67">
                  <c:v>42393</c:v>
                </c:pt>
                <c:pt idx="68">
                  <c:v>42400</c:v>
                </c:pt>
                <c:pt idx="69">
                  <c:v>42407</c:v>
                </c:pt>
                <c:pt idx="70">
                  <c:v>42414</c:v>
                </c:pt>
                <c:pt idx="71">
                  <c:v>42421</c:v>
                </c:pt>
                <c:pt idx="72">
                  <c:v>42428</c:v>
                </c:pt>
                <c:pt idx="73">
                  <c:v>42435</c:v>
                </c:pt>
                <c:pt idx="74">
                  <c:v>42442</c:v>
                </c:pt>
                <c:pt idx="75">
                  <c:v>42449</c:v>
                </c:pt>
                <c:pt idx="76">
                  <c:v>42456</c:v>
                </c:pt>
                <c:pt idx="77">
                  <c:v>42463</c:v>
                </c:pt>
                <c:pt idx="78">
                  <c:v>42470</c:v>
                </c:pt>
                <c:pt idx="79">
                  <c:v>42477</c:v>
                </c:pt>
                <c:pt idx="80">
                  <c:v>42484</c:v>
                </c:pt>
                <c:pt idx="81">
                  <c:v>42491</c:v>
                </c:pt>
                <c:pt idx="82">
                  <c:v>42498</c:v>
                </c:pt>
                <c:pt idx="83">
                  <c:v>42505</c:v>
                </c:pt>
                <c:pt idx="84">
                  <c:v>42512</c:v>
                </c:pt>
                <c:pt idx="85">
                  <c:v>42519</c:v>
                </c:pt>
                <c:pt idx="86">
                  <c:v>42526</c:v>
                </c:pt>
                <c:pt idx="87">
                  <c:v>42533</c:v>
                </c:pt>
                <c:pt idx="88">
                  <c:v>42540</c:v>
                </c:pt>
                <c:pt idx="89">
                  <c:v>42547</c:v>
                </c:pt>
                <c:pt idx="90">
                  <c:v>42554</c:v>
                </c:pt>
                <c:pt idx="91">
                  <c:v>42561</c:v>
                </c:pt>
                <c:pt idx="92">
                  <c:v>42568</c:v>
                </c:pt>
                <c:pt idx="93">
                  <c:v>42575</c:v>
                </c:pt>
                <c:pt idx="94">
                  <c:v>42582</c:v>
                </c:pt>
                <c:pt idx="95">
                  <c:v>42589</c:v>
                </c:pt>
                <c:pt idx="96">
                  <c:v>42596</c:v>
                </c:pt>
                <c:pt idx="97">
                  <c:v>42603</c:v>
                </c:pt>
                <c:pt idx="98">
                  <c:v>42610</c:v>
                </c:pt>
                <c:pt idx="99">
                  <c:v>42617</c:v>
                </c:pt>
                <c:pt idx="100">
                  <c:v>42624</c:v>
                </c:pt>
                <c:pt idx="101">
                  <c:v>42631</c:v>
                </c:pt>
                <c:pt idx="102">
                  <c:v>42638</c:v>
                </c:pt>
                <c:pt idx="103">
                  <c:v>42645</c:v>
                </c:pt>
                <c:pt idx="104" formatCode="General">
                  <c:v>42652</c:v>
                </c:pt>
              </c:numCache>
            </c:numRef>
          </c:cat>
          <c:val>
            <c:numRef>
              <c:f>Cashflow!$D$10:$DD$10</c:f>
              <c:numCache>
                <c:formatCode>0.00%</c:formatCode>
                <c:ptCount val="105"/>
                <c:pt idx="0">
                  <c:v>3.2209060549157065E-4</c:v>
                </c:pt>
                <c:pt idx="1">
                  <c:v>1.0155574612210273E-3</c:v>
                </c:pt>
                <c:pt idx="2">
                  <c:v>2.0335451451395539E-3</c:v>
                </c:pt>
                <c:pt idx="3">
                  <c:v>3.0515328290580805E-3</c:v>
                </c:pt>
                <c:pt idx="4">
                  <c:v>1.0096335411485576E-2</c:v>
                </c:pt>
                <c:pt idx="5">
                  <c:v>1.9292247262640269E-2</c:v>
                </c:pt>
                <c:pt idx="6">
                  <c:v>2.2391001140516457E-2</c:v>
                </c:pt>
                <c:pt idx="7">
                  <c:v>2.3103902887167564E-2</c:v>
                </c:pt>
                <c:pt idx="8">
                  <c:v>2.3820714308987835E-2</c:v>
                </c:pt>
                <c:pt idx="9">
                  <c:v>2.4518516302882796E-2</c:v>
                </c:pt>
                <c:pt idx="10">
                  <c:v>2.5275706349785258E-2</c:v>
                </c:pt>
                <c:pt idx="11">
                  <c:v>2.6284826740794399E-2</c:v>
                </c:pt>
                <c:pt idx="12">
                  <c:v>2.7448700068162673E-2</c:v>
                </c:pt>
                <c:pt idx="13">
                  <c:v>2.9364516698294086E-2</c:v>
                </c:pt>
                <c:pt idx="14">
                  <c:v>3.2229914775071963E-2</c:v>
                </c:pt>
                <c:pt idx="15">
                  <c:v>3.3999003413927455E-2</c:v>
                </c:pt>
                <c:pt idx="16">
                  <c:v>3.592590514457536E-2</c:v>
                </c:pt>
                <c:pt idx="17">
                  <c:v>3.8275295919674157E-2</c:v>
                </c:pt>
                <c:pt idx="18">
                  <c:v>4.0831484632981099E-2</c:v>
                </c:pt>
                <c:pt idx="19">
                  <c:v>4.3049084746899148E-2</c:v>
                </c:pt>
                <c:pt idx="20">
                  <c:v>4.5172659929262178E-2</c:v>
                </c:pt>
                <c:pt idx="21">
                  <c:v>4.8267873696257547E-2</c:v>
                </c:pt>
                <c:pt idx="22">
                  <c:v>5.1516468244534604E-2</c:v>
                </c:pt>
                <c:pt idx="23">
                  <c:v>5.4431038832698841E-2</c:v>
                </c:pt>
                <c:pt idx="24">
                  <c:v>5.6324027063299698E-2</c:v>
                </c:pt>
                <c:pt idx="25">
                  <c:v>5.8626850980246059E-2</c:v>
                </c:pt>
                <c:pt idx="26">
                  <c:v>6.1118002917898484E-2</c:v>
                </c:pt>
                <c:pt idx="27">
                  <c:v>6.3632214795264402E-2</c:v>
                </c:pt>
                <c:pt idx="28">
                  <c:v>6.6565309090253516E-2</c:v>
                </c:pt>
                <c:pt idx="29">
                  <c:v>7.0467165120016204E-2</c:v>
                </c:pt>
                <c:pt idx="30">
                  <c:v>7.5581552368855748E-2</c:v>
                </c:pt>
                <c:pt idx="31">
                  <c:v>8.0010700981470201E-2</c:v>
                </c:pt>
                <c:pt idx="32">
                  <c:v>8.5776732164905473E-2</c:v>
                </c:pt>
                <c:pt idx="33">
                  <c:v>9.1640715673900669E-2</c:v>
                </c:pt>
                <c:pt idx="34">
                  <c:v>9.7634850218954863E-2</c:v>
                </c:pt>
                <c:pt idx="35">
                  <c:v>0.10554897699247145</c:v>
                </c:pt>
                <c:pt idx="36">
                  <c:v>0.1136894843223952</c:v>
                </c:pt>
                <c:pt idx="37">
                  <c:v>0.11974782904535396</c:v>
                </c:pt>
                <c:pt idx="38">
                  <c:v>0.12853252953944369</c:v>
                </c:pt>
                <c:pt idx="39">
                  <c:v>0.13648749710434141</c:v>
                </c:pt>
                <c:pt idx="40">
                  <c:v>0.14056742398798761</c:v>
                </c:pt>
                <c:pt idx="41">
                  <c:v>0.14889749881336531</c:v>
                </c:pt>
                <c:pt idx="42">
                  <c:v>0.16235110015055804</c:v>
                </c:pt>
                <c:pt idx="43">
                  <c:v>0.171934148101651</c:v>
                </c:pt>
                <c:pt idx="44">
                  <c:v>0.1771609109489706</c:v>
                </c:pt>
                <c:pt idx="45">
                  <c:v>0.1823607680254665</c:v>
                </c:pt>
                <c:pt idx="46">
                  <c:v>0.18963753301943709</c:v>
                </c:pt>
                <c:pt idx="47">
                  <c:v>0.19669600638676837</c:v>
                </c:pt>
                <c:pt idx="48">
                  <c:v>0.20407069079988965</c:v>
                </c:pt>
                <c:pt idx="49">
                  <c:v>0.20827989641849873</c:v>
                </c:pt>
                <c:pt idx="50">
                  <c:v>0.21414716529495453</c:v>
                </c:pt>
                <c:pt idx="51">
                  <c:v>0.22296318910468224</c:v>
                </c:pt>
                <c:pt idx="52">
                  <c:v>0.23194551100819932</c:v>
                </c:pt>
                <c:pt idx="53">
                  <c:v>0.24361062059701868</c:v>
                </c:pt>
                <c:pt idx="54">
                  <c:v>0.25758556485545986</c:v>
                </c:pt>
                <c:pt idx="55">
                  <c:v>0.27148951220003004</c:v>
                </c:pt>
                <c:pt idx="56">
                  <c:v>0.28344168788110519</c:v>
                </c:pt>
                <c:pt idx="57">
                  <c:v>0.29844184847563232</c:v>
                </c:pt>
                <c:pt idx="58">
                  <c:v>0.31293085588571973</c:v>
                </c:pt>
                <c:pt idx="59">
                  <c:v>0.32895821127903169</c:v>
                </c:pt>
                <c:pt idx="60">
                  <c:v>0.34418976608703988</c:v>
                </c:pt>
                <c:pt idx="61">
                  <c:v>0.36034021620101486</c:v>
                </c:pt>
                <c:pt idx="62">
                  <c:v>0.37836785630507958</c:v>
                </c:pt>
                <c:pt idx="63">
                  <c:v>0.39747117008314642</c:v>
                </c:pt>
                <c:pt idx="64">
                  <c:v>0.41677150402554364</c:v>
                </c:pt>
                <c:pt idx="65">
                  <c:v>0.44209444689297184</c:v>
                </c:pt>
                <c:pt idx="66">
                  <c:v>0.47216608646620273</c:v>
                </c:pt>
                <c:pt idx="67">
                  <c:v>0.50310575359143572</c:v>
                </c:pt>
                <c:pt idx="68">
                  <c:v>0.53136754297700095</c:v>
                </c:pt>
                <c:pt idx="69">
                  <c:v>0.56490427321645964</c:v>
                </c:pt>
                <c:pt idx="70">
                  <c:v>0.60187381117686445</c:v>
                </c:pt>
                <c:pt idx="71">
                  <c:v>0.63554717649157133</c:v>
                </c:pt>
                <c:pt idx="72">
                  <c:v>0.66642778413569925</c:v>
                </c:pt>
                <c:pt idx="73">
                  <c:v>0.68992374902945441</c:v>
                </c:pt>
                <c:pt idx="74">
                  <c:v>0.71324479385801043</c:v>
                </c:pt>
                <c:pt idx="75">
                  <c:v>0.73557148195293709</c:v>
                </c:pt>
                <c:pt idx="76">
                  <c:v>0.75582712910409211</c:v>
                </c:pt>
                <c:pt idx="77">
                  <c:v>0.77257272587145642</c:v>
                </c:pt>
                <c:pt idx="78">
                  <c:v>0.78932118479329594</c:v>
                </c:pt>
                <c:pt idx="79">
                  <c:v>0.81008954600363137</c:v>
                </c:pt>
                <c:pt idx="80">
                  <c:v>0.83054801651907384</c:v>
                </c:pt>
                <c:pt idx="81">
                  <c:v>0.85036323085925947</c:v>
                </c:pt>
                <c:pt idx="82">
                  <c:v>0.86911144384084638</c:v>
                </c:pt>
                <c:pt idx="83">
                  <c:v>0.88929338140875369</c:v>
                </c:pt>
                <c:pt idx="84">
                  <c:v>0.90611640337109589</c:v>
                </c:pt>
                <c:pt idx="85">
                  <c:v>0.92219330941824906</c:v>
                </c:pt>
                <c:pt idx="86">
                  <c:v>0.9387063566618542</c:v>
                </c:pt>
                <c:pt idx="87">
                  <c:v>0.95015293999008632</c:v>
                </c:pt>
                <c:pt idx="88">
                  <c:v>0.95837784635342227</c:v>
                </c:pt>
                <c:pt idx="89">
                  <c:v>0.96675025154770178</c:v>
                </c:pt>
                <c:pt idx="90">
                  <c:v>0.97239676616060144</c:v>
                </c:pt>
                <c:pt idx="91">
                  <c:v>0.97652980209030815</c:v>
                </c:pt>
                <c:pt idx="92">
                  <c:v>0.97977273040804091</c:v>
                </c:pt>
                <c:pt idx="93">
                  <c:v>0.98284431406850126</c:v>
                </c:pt>
                <c:pt idx="94">
                  <c:v>0.98651853734048478</c:v>
                </c:pt>
                <c:pt idx="95">
                  <c:v>0.98994420873002276</c:v>
                </c:pt>
                <c:pt idx="96">
                  <c:v>0.99273753199708858</c:v>
                </c:pt>
                <c:pt idx="97">
                  <c:v>0.99436727703977668</c:v>
                </c:pt>
                <c:pt idx="98">
                  <c:v>0.99574581223403213</c:v>
                </c:pt>
                <c:pt idx="99">
                  <c:v>0.99647297672938906</c:v>
                </c:pt>
                <c:pt idx="100">
                  <c:v>0.99715277554241555</c:v>
                </c:pt>
                <c:pt idx="101">
                  <c:v>0.99799506620425016</c:v>
                </c:pt>
                <c:pt idx="102">
                  <c:v>0.9988359482186433</c:v>
                </c:pt>
                <c:pt idx="103">
                  <c:v>0.99955871471615554</c:v>
                </c:pt>
                <c:pt idx="104">
                  <c:v>1</c:v>
                </c:pt>
              </c:numCache>
            </c:numRef>
          </c:val>
          <c:smooth val="0"/>
        </c:ser>
        <c:ser>
          <c:idx val="3"/>
          <c:order val="1"/>
          <c:tx>
            <c:v>ACTUAL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Cashflow!$D$2:$DD$2</c:f>
              <c:numCache>
                <c:formatCode>d\-mmm\-yy</c:formatCode>
                <c:ptCount val="105"/>
                <c:pt idx="0">
                  <c:v>41924</c:v>
                </c:pt>
                <c:pt idx="1">
                  <c:v>41931</c:v>
                </c:pt>
                <c:pt idx="2">
                  <c:v>41938</c:v>
                </c:pt>
                <c:pt idx="3">
                  <c:v>41945</c:v>
                </c:pt>
                <c:pt idx="4">
                  <c:v>41952</c:v>
                </c:pt>
                <c:pt idx="5">
                  <c:v>41959</c:v>
                </c:pt>
                <c:pt idx="6">
                  <c:v>41966</c:v>
                </c:pt>
                <c:pt idx="7">
                  <c:v>41973</c:v>
                </c:pt>
                <c:pt idx="8">
                  <c:v>41980</c:v>
                </c:pt>
                <c:pt idx="9">
                  <c:v>41987</c:v>
                </c:pt>
                <c:pt idx="10">
                  <c:v>41994</c:v>
                </c:pt>
                <c:pt idx="11">
                  <c:v>42001</c:v>
                </c:pt>
                <c:pt idx="12">
                  <c:v>42008</c:v>
                </c:pt>
                <c:pt idx="13">
                  <c:v>42015</c:v>
                </c:pt>
                <c:pt idx="14">
                  <c:v>42022</c:v>
                </c:pt>
                <c:pt idx="15">
                  <c:v>42029</c:v>
                </c:pt>
                <c:pt idx="16">
                  <c:v>42036</c:v>
                </c:pt>
                <c:pt idx="17">
                  <c:v>42043</c:v>
                </c:pt>
                <c:pt idx="18">
                  <c:v>42050</c:v>
                </c:pt>
                <c:pt idx="19">
                  <c:v>42057</c:v>
                </c:pt>
                <c:pt idx="20">
                  <c:v>42064</c:v>
                </c:pt>
                <c:pt idx="21">
                  <c:v>42071</c:v>
                </c:pt>
                <c:pt idx="22">
                  <c:v>42078</c:v>
                </c:pt>
                <c:pt idx="23">
                  <c:v>42085</c:v>
                </c:pt>
                <c:pt idx="24">
                  <c:v>42092</c:v>
                </c:pt>
                <c:pt idx="25">
                  <c:v>42099</c:v>
                </c:pt>
                <c:pt idx="26">
                  <c:v>42106</c:v>
                </c:pt>
                <c:pt idx="27">
                  <c:v>42113</c:v>
                </c:pt>
                <c:pt idx="28">
                  <c:v>42120</c:v>
                </c:pt>
                <c:pt idx="29">
                  <c:v>42127</c:v>
                </c:pt>
                <c:pt idx="30">
                  <c:v>42134</c:v>
                </c:pt>
                <c:pt idx="31">
                  <c:v>42141</c:v>
                </c:pt>
                <c:pt idx="32">
                  <c:v>42148</c:v>
                </c:pt>
                <c:pt idx="33">
                  <c:v>42155</c:v>
                </c:pt>
                <c:pt idx="34">
                  <c:v>42162</c:v>
                </c:pt>
                <c:pt idx="35">
                  <c:v>42169</c:v>
                </c:pt>
                <c:pt idx="36">
                  <c:v>42176</c:v>
                </c:pt>
                <c:pt idx="37">
                  <c:v>42183</c:v>
                </c:pt>
                <c:pt idx="38">
                  <c:v>42190</c:v>
                </c:pt>
                <c:pt idx="39">
                  <c:v>42197</c:v>
                </c:pt>
                <c:pt idx="40">
                  <c:v>42204</c:v>
                </c:pt>
                <c:pt idx="41">
                  <c:v>42211</c:v>
                </c:pt>
                <c:pt idx="42">
                  <c:v>42218</c:v>
                </c:pt>
                <c:pt idx="43">
                  <c:v>42225</c:v>
                </c:pt>
                <c:pt idx="44">
                  <c:v>42232</c:v>
                </c:pt>
                <c:pt idx="45">
                  <c:v>42239</c:v>
                </c:pt>
                <c:pt idx="46">
                  <c:v>42246</c:v>
                </c:pt>
                <c:pt idx="47">
                  <c:v>42253</c:v>
                </c:pt>
                <c:pt idx="48">
                  <c:v>42260</c:v>
                </c:pt>
                <c:pt idx="49">
                  <c:v>42267</c:v>
                </c:pt>
                <c:pt idx="50">
                  <c:v>42274</c:v>
                </c:pt>
                <c:pt idx="51">
                  <c:v>42281</c:v>
                </c:pt>
                <c:pt idx="52">
                  <c:v>42288</c:v>
                </c:pt>
                <c:pt idx="53">
                  <c:v>42295</c:v>
                </c:pt>
                <c:pt idx="54">
                  <c:v>42302</c:v>
                </c:pt>
                <c:pt idx="55">
                  <c:v>42309</c:v>
                </c:pt>
                <c:pt idx="56">
                  <c:v>42316</c:v>
                </c:pt>
                <c:pt idx="57">
                  <c:v>42323</c:v>
                </c:pt>
                <c:pt idx="58">
                  <c:v>42330</c:v>
                </c:pt>
                <c:pt idx="59">
                  <c:v>42337</c:v>
                </c:pt>
                <c:pt idx="60">
                  <c:v>42344</c:v>
                </c:pt>
                <c:pt idx="61">
                  <c:v>42351</c:v>
                </c:pt>
                <c:pt idx="62">
                  <c:v>42358</c:v>
                </c:pt>
                <c:pt idx="63">
                  <c:v>42365</c:v>
                </c:pt>
                <c:pt idx="64">
                  <c:v>42372</c:v>
                </c:pt>
                <c:pt idx="65">
                  <c:v>42379</c:v>
                </c:pt>
                <c:pt idx="66">
                  <c:v>42386</c:v>
                </c:pt>
                <c:pt idx="67">
                  <c:v>42393</c:v>
                </c:pt>
                <c:pt idx="68">
                  <c:v>42400</c:v>
                </c:pt>
                <c:pt idx="69">
                  <c:v>42407</c:v>
                </c:pt>
                <c:pt idx="70">
                  <c:v>42414</c:v>
                </c:pt>
                <c:pt idx="71">
                  <c:v>42421</c:v>
                </c:pt>
                <c:pt idx="72">
                  <c:v>42428</c:v>
                </c:pt>
                <c:pt idx="73">
                  <c:v>42435</c:v>
                </c:pt>
                <c:pt idx="74">
                  <c:v>42442</c:v>
                </c:pt>
                <c:pt idx="75">
                  <c:v>42449</c:v>
                </c:pt>
                <c:pt idx="76">
                  <c:v>42456</c:v>
                </c:pt>
                <c:pt idx="77">
                  <c:v>42463</c:v>
                </c:pt>
                <c:pt idx="78">
                  <c:v>42470</c:v>
                </c:pt>
                <c:pt idx="79">
                  <c:v>42477</c:v>
                </c:pt>
                <c:pt idx="80">
                  <c:v>42484</c:v>
                </c:pt>
                <c:pt idx="81">
                  <c:v>42491</c:v>
                </c:pt>
                <c:pt idx="82">
                  <c:v>42498</c:v>
                </c:pt>
                <c:pt idx="83">
                  <c:v>42505</c:v>
                </c:pt>
                <c:pt idx="84">
                  <c:v>42512</c:v>
                </c:pt>
                <c:pt idx="85">
                  <c:v>42519</c:v>
                </c:pt>
                <c:pt idx="86">
                  <c:v>42526</c:v>
                </c:pt>
                <c:pt idx="87">
                  <c:v>42533</c:v>
                </c:pt>
                <c:pt idx="88">
                  <c:v>42540</c:v>
                </c:pt>
                <c:pt idx="89">
                  <c:v>42547</c:v>
                </c:pt>
                <c:pt idx="90">
                  <c:v>42554</c:v>
                </c:pt>
                <c:pt idx="91">
                  <c:v>42561</c:v>
                </c:pt>
                <c:pt idx="92">
                  <c:v>42568</c:v>
                </c:pt>
                <c:pt idx="93">
                  <c:v>42575</c:v>
                </c:pt>
                <c:pt idx="94">
                  <c:v>42582</c:v>
                </c:pt>
                <c:pt idx="95">
                  <c:v>42589</c:v>
                </c:pt>
                <c:pt idx="96">
                  <c:v>42596</c:v>
                </c:pt>
                <c:pt idx="97">
                  <c:v>42603</c:v>
                </c:pt>
                <c:pt idx="98">
                  <c:v>42610</c:v>
                </c:pt>
                <c:pt idx="99">
                  <c:v>42617</c:v>
                </c:pt>
                <c:pt idx="100">
                  <c:v>42624</c:v>
                </c:pt>
                <c:pt idx="101">
                  <c:v>42631</c:v>
                </c:pt>
                <c:pt idx="102">
                  <c:v>42638</c:v>
                </c:pt>
                <c:pt idx="103">
                  <c:v>42645</c:v>
                </c:pt>
                <c:pt idx="104" formatCode="General">
                  <c:v>42652</c:v>
                </c:pt>
              </c:numCache>
            </c:numRef>
          </c:cat>
          <c:val>
            <c:numRef>
              <c:f>Cashflow!$D$14:$DD$14</c:f>
              <c:numCache>
                <c:formatCode>0.00%</c:formatCode>
                <c:ptCount val="105"/>
                <c:pt idx="0">
                  <c:v>5.0838615782873803E-4</c:v>
                </c:pt>
                <c:pt idx="1">
                  <c:v>1.3881485658953621E-3</c:v>
                </c:pt>
                <c:pt idx="2">
                  <c:v>2.5924318021510566E-3</c:v>
                </c:pt>
                <c:pt idx="3">
                  <c:v>3.7967150384067504E-3</c:v>
                </c:pt>
                <c:pt idx="4">
                  <c:v>1.1027813173171416E-2</c:v>
                </c:pt>
                <c:pt idx="5">
                  <c:v>2.0410020576663274E-2</c:v>
                </c:pt>
                <c:pt idx="6">
                  <c:v>2.3570700655045566E-2</c:v>
                </c:pt>
                <c:pt idx="7">
                  <c:v>2.4320654731836557E-2</c:v>
                </c:pt>
                <c:pt idx="8">
                  <c:v>2.5070608808627555E-2</c:v>
                </c:pt>
                <c:pt idx="9">
                  <c:v>2.5820562885418549E-2</c:v>
                </c:pt>
                <c:pt idx="10">
                  <c:v>2.6570516962209544E-2</c:v>
                </c:pt>
                <c:pt idx="11">
                  <c:v>2.7320471039000538E-2</c:v>
                </c:pt>
                <c:pt idx="12">
                  <c:v>2.8070425115791532E-2</c:v>
                </c:pt>
                <c:pt idx="13">
                  <c:v>2.9011141167975305E-2</c:v>
                </c:pt>
                <c:pt idx="14">
                  <c:v>2.9920294278361528E-2</c:v>
                </c:pt>
                <c:pt idx="15">
                  <c:v>3.0859872528164401E-2</c:v>
                </c:pt>
                <c:pt idx="16">
                  <c:v>3.3419776853201424E-2</c:v>
                </c:pt>
                <c:pt idx="17">
                  <c:v>3.5365709457190912E-2</c:v>
                </c:pt>
                <c:pt idx="18">
                  <c:v>4.0152990263766938E-2</c:v>
                </c:pt>
                <c:pt idx="19">
                  <c:v>4.2114556365282906E-2</c:v>
                </c:pt>
                <c:pt idx="20">
                  <c:v>4.3896437581667475E-2</c:v>
                </c:pt>
                <c:pt idx="21">
                  <c:v>4.5937738444024927E-2</c:v>
                </c:pt>
                <c:pt idx="22">
                  <c:v>4.74117051119907E-2</c:v>
                </c:pt>
                <c:pt idx="23">
                  <c:v>4.87E-2</c:v>
                </c:pt>
                <c:pt idx="24">
                  <c:v>5.0299999999999997E-2</c:v>
                </c:pt>
                <c:pt idx="25">
                  <c:v>5.21E-2</c:v>
                </c:pt>
                <c:pt idx="26">
                  <c:v>5.3699999999999998E-2</c:v>
                </c:pt>
                <c:pt idx="27">
                  <c:v>5.5100000000000003E-2</c:v>
                </c:pt>
                <c:pt idx="28">
                  <c:v>5.7099999999999998E-2</c:v>
                </c:pt>
                <c:pt idx="29">
                  <c:v>5.8599999999999999E-2</c:v>
                </c:pt>
                <c:pt idx="30">
                  <c:v>6.0299999999999999E-2</c:v>
                </c:pt>
                <c:pt idx="31">
                  <c:v>6.2600000000000003E-2</c:v>
                </c:pt>
                <c:pt idx="32">
                  <c:v>6.5699999999999995E-2</c:v>
                </c:pt>
                <c:pt idx="33">
                  <c:v>6.8099999999999994E-2</c:v>
                </c:pt>
                <c:pt idx="34">
                  <c:v>7.1599999999999997E-2</c:v>
                </c:pt>
                <c:pt idx="35">
                  <c:v>7.5200000000000003E-2</c:v>
                </c:pt>
                <c:pt idx="36">
                  <c:v>7.8200000000000006E-2</c:v>
                </c:pt>
                <c:pt idx="37">
                  <c:v>8.2100000000000006E-2</c:v>
                </c:pt>
                <c:pt idx="38">
                  <c:v>8.539511848747755E-2</c:v>
                </c:pt>
                <c:pt idx="39">
                  <c:v>8.8256099367927415E-2</c:v>
                </c:pt>
                <c:pt idx="40">
                  <c:v>9.01E-2</c:v>
                </c:pt>
                <c:pt idx="41">
                  <c:v>9.3899999999999997E-2</c:v>
                </c:pt>
                <c:pt idx="42">
                  <c:v>9.7000000000000003E-2</c:v>
                </c:pt>
                <c:pt idx="43">
                  <c:v>0.1003</c:v>
                </c:pt>
                <c:pt idx="44">
                  <c:v>0.10440000000000001</c:v>
                </c:pt>
                <c:pt idx="45">
                  <c:v>0.108</c:v>
                </c:pt>
                <c:pt idx="46">
                  <c:v>0.1125</c:v>
                </c:pt>
                <c:pt idx="47">
                  <c:v>0.11749999999999999</c:v>
                </c:pt>
                <c:pt idx="48">
                  <c:v>0.1232</c:v>
                </c:pt>
                <c:pt idx="49">
                  <c:v>0.12839999999999999</c:v>
                </c:pt>
                <c:pt idx="50">
                  <c:v>0.13435967713728447</c:v>
                </c:pt>
                <c:pt idx="51">
                  <c:v>0.14034267933103964</c:v>
                </c:pt>
                <c:pt idx="52">
                  <c:v>0.14652297198026451</c:v>
                </c:pt>
                <c:pt idx="53">
                  <c:v>0.15380659675673916</c:v>
                </c:pt>
                <c:pt idx="54">
                  <c:v>0.16311955405701012</c:v>
                </c:pt>
                <c:pt idx="55">
                  <c:v>0.17335316926029049</c:v>
                </c:pt>
                <c:pt idx="56">
                  <c:v>0.18399039817036872</c:v>
                </c:pt>
                <c:pt idx="57">
                  <c:v>0.1946</c:v>
                </c:pt>
                <c:pt idx="58">
                  <c:v>0.20647682438535853</c:v>
                </c:pt>
              </c:numCache>
            </c:numRef>
          </c:val>
          <c:smooth val="0"/>
        </c:ser>
        <c:ser>
          <c:idx val="0"/>
          <c:order val="2"/>
          <c:tx>
            <c:v>MITIGATION</c:v>
          </c:tx>
          <c:spPr>
            <a:ln>
              <a:solidFill>
                <a:srgbClr val="063CEA"/>
              </a:solidFill>
            </a:ln>
          </c:spPr>
          <c:marker>
            <c:symbol val="none"/>
          </c:marker>
          <c:val>
            <c:numRef>
              <c:f>Cashflow!$D$12:$DD$12</c:f>
              <c:numCache>
                <c:formatCode>0.00%</c:formatCode>
                <c:ptCount val="105"/>
                <c:pt idx="0">
                  <c:v>3.2209060549157065E-4</c:v>
                </c:pt>
                <c:pt idx="1">
                  <c:v>1.0155574612210273E-3</c:v>
                </c:pt>
                <c:pt idx="2">
                  <c:v>2.0335451451395539E-3</c:v>
                </c:pt>
                <c:pt idx="3">
                  <c:v>3.0515328290580805E-3</c:v>
                </c:pt>
                <c:pt idx="4">
                  <c:v>1.0096335411485576E-2</c:v>
                </c:pt>
                <c:pt idx="5">
                  <c:v>1.9292247262640269E-2</c:v>
                </c:pt>
                <c:pt idx="6">
                  <c:v>2.2391001140516457E-2</c:v>
                </c:pt>
                <c:pt idx="7">
                  <c:v>2.3103902887167564E-2</c:v>
                </c:pt>
                <c:pt idx="8">
                  <c:v>2.3820714308987835E-2</c:v>
                </c:pt>
                <c:pt idx="9">
                  <c:v>2.4518516302882796E-2</c:v>
                </c:pt>
                <c:pt idx="10">
                  <c:v>2.5275706349785258E-2</c:v>
                </c:pt>
                <c:pt idx="11">
                  <c:v>2.6284826740794399E-2</c:v>
                </c:pt>
                <c:pt idx="12">
                  <c:v>2.7448700068162673E-2</c:v>
                </c:pt>
                <c:pt idx="13">
                  <c:v>2.9364516698294086E-2</c:v>
                </c:pt>
                <c:pt idx="14">
                  <c:v>3.2229914775071963E-2</c:v>
                </c:pt>
                <c:pt idx="15">
                  <c:v>3.3999003413927455E-2</c:v>
                </c:pt>
                <c:pt idx="16">
                  <c:v>3.592590514457536E-2</c:v>
                </c:pt>
                <c:pt idx="17">
                  <c:v>3.8008838380269472E-2</c:v>
                </c:pt>
                <c:pt idx="18">
                  <c:v>4.0508453382312695E-2</c:v>
                </c:pt>
                <c:pt idx="19">
                  <c:v>4.2669479784967018E-2</c:v>
                </c:pt>
                <c:pt idx="20">
                  <c:v>4.4610550607617545E-2</c:v>
                </c:pt>
                <c:pt idx="21">
                  <c:v>4.6836720872382095E-2</c:v>
                </c:pt>
                <c:pt idx="22">
                  <c:v>4.7958469284967775E-2</c:v>
                </c:pt>
                <c:pt idx="23">
                  <c:v>4.907136552190472E-2</c:v>
                </c:pt>
                <c:pt idx="24">
                  <c:v>4.9820142989035684E-2</c:v>
                </c:pt>
                <c:pt idx="25">
                  <c:v>5.1572406890225221E-2</c:v>
                </c:pt>
                <c:pt idx="26">
                  <c:v>5.2729150776843682E-2</c:v>
                </c:pt>
                <c:pt idx="27">
                  <c:v>5.4014032080402112E-2</c:v>
                </c:pt>
                <c:pt idx="28">
                  <c:v>5.6158204073371895E-2</c:v>
                </c:pt>
                <c:pt idx="29">
                  <c:v>5.8681875418387763E-2</c:v>
                </c:pt>
                <c:pt idx="30">
                  <c:v>6.0677168128421395E-2</c:v>
                </c:pt>
                <c:pt idx="31">
                  <c:v>6.3416483821641237E-2</c:v>
                </c:pt>
                <c:pt idx="32">
                  <c:v>6.5595478600308163E-2</c:v>
                </c:pt>
                <c:pt idx="33">
                  <c:v>6.9555535239832239E-2</c:v>
                </c:pt>
                <c:pt idx="34">
                  <c:v>7.2481335210461156E-2</c:v>
                </c:pt>
                <c:pt idx="35">
                  <c:v>7.5720533150767433E-2</c:v>
                </c:pt>
                <c:pt idx="36">
                  <c:v>7.9572252820729647E-2</c:v>
                </c:pt>
                <c:pt idx="37">
                  <c:v>8.1797573354819797E-2</c:v>
                </c:pt>
                <c:pt idx="38">
                  <c:v>8.4053646334597956E-2</c:v>
                </c:pt>
                <c:pt idx="39">
                  <c:v>8.5631396508492164E-2</c:v>
                </c:pt>
                <c:pt idx="40">
                  <c:v>8.7247758837982997E-2</c:v>
                </c:pt>
                <c:pt idx="41">
                  <c:v>9.0211776579487604E-2</c:v>
                </c:pt>
                <c:pt idx="42">
                  <c:v>9.3853531069352694E-2</c:v>
                </c:pt>
                <c:pt idx="43">
                  <c:v>9.7540063025898738E-2</c:v>
                </c:pt>
                <c:pt idx="44">
                  <c:v>0.10103893359777712</c:v>
                </c:pt>
                <c:pt idx="45">
                  <c:v>0.10488137998849036</c:v>
                </c:pt>
                <c:pt idx="46">
                  <c:v>0.1091510812279665</c:v>
                </c:pt>
                <c:pt idx="47">
                  <c:v>0.11399895574182177</c:v>
                </c:pt>
                <c:pt idx="48">
                  <c:v>0.11712930131944717</c:v>
                </c:pt>
                <c:pt idx="49">
                  <c:v>0.12100759347737032</c:v>
                </c:pt>
                <c:pt idx="50">
                  <c:v>0.12497518603617369</c:v>
                </c:pt>
                <c:pt idx="51">
                  <c:v>0.13033736206220362</c:v>
                </c:pt>
                <c:pt idx="52">
                  <c:v>0.13853052520161963</c:v>
                </c:pt>
                <c:pt idx="53">
                  <c:v>0.14978634515361086</c:v>
                </c:pt>
                <c:pt idx="54">
                  <c:v>0.16079121189903633</c:v>
                </c:pt>
                <c:pt idx="55">
                  <c:v>0.17084625363413672</c:v>
                </c:pt>
                <c:pt idx="56">
                  <c:v>0.18223886412306592</c:v>
                </c:pt>
                <c:pt idx="57">
                  <c:v>0.19523121266572754</c:v>
                </c:pt>
                <c:pt idx="58">
                  <c:v>0.20607676506990846</c:v>
                </c:pt>
                <c:pt idx="59">
                  <c:v>0.21696504651679541</c:v>
                </c:pt>
                <c:pt idx="60">
                  <c:v>0.23086982903728206</c:v>
                </c:pt>
                <c:pt idx="61">
                  <c:v>0.24634253734037209</c:v>
                </c:pt>
                <c:pt idx="62">
                  <c:v>0.26263699672934199</c:v>
                </c:pt>
                <c:pt idx="63">
                  <c:v>0.2798976079810811</c:v>
                </c:pt>
                <c:pt idx="64">
                  <c:v>0.30070735005572358</c:v>
                </c:pt>
                <c:pt idx="65">
                  <c:v>0.33492727163243785</c:v>
                </c:pt>
                <c:pt idx="66">
                  <c:v>0.36660343236067189</c:v>
                </c:pt>
                <c:pt idx="67">
                  <c:v>0.39439406876317334</c:v>
                </c:pt>
                <c:pt idx="68">
                  <c:v>0.43270722624887448</c:v>
                </c:pt>
                <c:pt idx="69">
                  <c:v>0.47057532876842684</c:v>
                </c:pt>
                <c:pt idx="70">
                  <c:v>0.50579976665137083</c:v>
                </c:pt>
                <c:pt idx="71">
                  <c:v>0.53818269784658634</c:v>
                </c:pt>
                <c:pt idx="72">
                  <c:v>0.56799016898523969</c:v>
                </c:pt>
                <c:pt idx="73">
                  <c:v>0.60695377768882741</c:v>
                </c:pt>
                <c:pt idx="74">
                  <c:v>0.64920130252567809</c:v>
                </c:pt>
                <c:pt idx="75">
                  <c:v>0.68323597683878179</c:v>
                </c:pt>
                <c:pt idx="76">
                  <c:v>0.71234939288448418</c:v>
                </c:pt>
                <c:pt idx="77">
                  <c:v>0.74119973238370518</c:v>
                </c:pt>
                <c:pt idx="78">
                  <c:v>0.77104766912442402</c:v>
                </c:pt>
                <c:pt idx="79">
                  <c:v>0.803123605529385</c:v>
                </c:pt>
                <c:pt idx="80">
                  <c:v>0.83288037091485745</c:v>
                </c:pt>
                <c:pt idx="81">
                  <c:v>0.85718247835802419</c:v>
                </c:pt>
                <c:pt idx="82">
                  <c:v>0.8733225200622573</c:v>
                </c:pt>
                <c:pt idx="83">
                  <c:v>0.88569237503794618</c:v>
                </c:pt>
                <c:pt idx="84">
                  <c:v>0.90595353626265918</c:v>
                </c:pt>
                <c:pt idx="85">
                  <c:v>0.92822441811097334</c:v>
                </c:pt>
                <c:pt idx="86">
                  <c:v>0.94489088150321887</c:v>
                </c:pt>
                <c:pt idx="87">
                  <c:v>0.95905765367430229</c:v>
                </c:pt>
                <c:pt idx="88">
                  <c:v>0.97072670570407438</c:v>
                </c:pt>
                <c:pt idx="89">
                  <c:v>0.97778717961233641</c:v>
                </c:pt>
                <c:pt idx="90">
                  <c:v>0.98040820372532345</c:v>
                </c:pt>
                <c:pt idx="91">
                  <c:v>0.98295213311368179</c:v>
                </c:pt>
                <c:pt idx="92">
                  <c:v>0.98637107971286553</c:v>
                </c:pt>
                <c:pt idx="93">
                  <c:v>0.98935185954329541</c:v>
                </c:pt>
                <c:pt idx="94">
                  <c:v>0.99129258491896177</c:v>
                </c:pt>
                <c:pt idx="95">
                  <c:v>0.99309452266208864</c:v>
                </c:pt>
                <c:pt idx="96">
                  <c:v>0.99453067247889482</c:v>
                </c:pt>
                <c:pt idx="97">
                  <c:v>0.99562434933376542</c:v>
                </c:pt>
                <c:pt idx="98">
                  <c:v>0.99642286202594321</c:v>
                </c:pt>
                <c:pt idx="99">
                  <c:v>0.99714414886004532</c:v>
                </c:pt>
                <c:pt idx="100">
                  <c:v>0.9978280152005673</c:v>
                </c:pt>
                <c:pt idx="101">
                  <c:v>0.99846233531695694</c:v>
                </c:pt>
                <c:pt idx="102">
                  <c:v>0.99903372825383807</c:v>
                </c:pt>
                <c:pt idx="103">
                  <c:v>0.99959738677829191</c:v>
                </c:pt>
                <c:pt idx="104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352432"/>
        <c:axId val="157352992"/>
      </c:lineChart>
      <c:catAx>
        <c:axId val="157352432"/>
        <c:scaling>
          <c:orientation val="minMax"/>
        </c:scaling>
        <c:delete val="0"/>
        <c:axPos val="b"/>
        <c:majorGridlines/>
        <c:numFmt formatCode="[$-409]mmm\-yy;@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lang="en-GB" sz="800"/>
            </a:pPr>
            <a:endParaRPr lang="en-US"/>
          </a:p>
        </c:txPr>
        <c:crossAx val="157352992"/>
        <c:crosses val="autoZero"/>
        <c:auto val="1"/>
        <c:lblAlgn val="ctr"/>
        <c:lblOffset val="100"/>
        <c:tickLblSkip val="1"/>
        <c:noMultiLvlLbl val="0"/>
      </c:catAx>
      <c:valAx>
        <c:axId val="157352992"/>
        <c:scaling>
          <c:orientation val="minMax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lang="en-GB" sz="900"/>
            </a:pPr>
            <a:endParaRPr lang="en-US"/>
          </a:p>
        </c:txPr>
        <c:crossAx val="157352432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2625124108950392"/>
          <c:y val="0.33059112940964402"/>
          <c:w val="8.8110766656559966E-2"/>
          <c:h val="8.5423759375254926E-2"/>
        </c:manualLayout>
      </c:layout>
      <c:overlay val="0"/>
      <c:spPr>
        <a:solidFill>
          <a:schemeClr val="bg1">
            <a:lumMod val="85000"/>
          </a:schemeClr>
        </a:solidFill>
        <a:ln w="12700">
          <a:solidFill>
            <a:schemeClr val="tx1"/>
          </a:solidFill>
        </a:ln>
      </c:spPr>
      <c:txPr>
        <a:bodyPr/>
        <a:lstStyle/>
        <a:p>
          <a:pPr>
            <a:defRPr lang="en-GB" sz="800"/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5E9EFF"/>
        </a:gs>
        <a:gs pos="0">
          <a:srgbClr val="85C2FF"/>
        </a:gs>
        <a:gs pos="51000">
          <a:srgbClr val="C4D6EB">
            <a:lumMod val="0"/>
            <a:lumOff val="100000"/>
          </a:srgbClr>
        </a:gs>
        <a:gs pos="100000">
          <a:srgbClr val="FFEBFA"/>
        </a:gs>
      </a:gsLst>
      <a:lin ang="5400000" scaled="0"/>
    </a:gradFill>
  </c:sp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34075823650091"/>
          <c:y val="0.16649968385986882"/>
          <c:w val="0.82095130520735937"/>
          <c:h val="0.6020853452533369"/>
        </c:manualLayout>
      </c:layout>
      <c:lineChart>
        <c:grouping val="standard"/>
        <c:varyColors val="0"/>
        <c:ser>
          <c:idx val="2"/>
          <c:order val="0"/>
          <c:tx>
            <c:v>PLANNED(Baseline)</c:v>
          </c:tx>
          <c:spPr>
            <a:ln>
              <a:solidFill>
                <a:srgbClr val="1DB93B"/>
              </a:solidFill>
            </a:ln>
          </c:spPr>
          <c:marker>
            <c:symbol val="none"/>
          </c:marker>
          <c:cat>
            <c:numRef>
              <c:f>Cashflow!$D$2:$DC$2</c:f>
              <c:numCache>
                <c:formatCode>d\-mmm\-yy</c:formatCode>
                <c:ptCount val="104"/>
                <c:pt idx="0">
                  <c:v>41924</c:v>
                </c:pt>
                <c:pt idx="1">
                  <c:v>41931</c:v>
                </c:pt>
                <c:pt idx="2">
                  <c:v>41938</c:v>
                </c:pt>
                <c:pt idx="3">
                  <c:v>41945</c:v>
                </c:pt>
                <c:pt idx="4">
                  <c:v>41952</c:v>
                </c:pt>
                <c:pt idx="5">
                  <c:v>41959</c:v>
                </c:pt>
                <c:pt idx="6">
                  <c:v>41966</c:v>
                </c:pt>
                <c:pt idx="7">
                  <c:v>41973</c:v>
                </c:pt>
                <c:pt idx="8">
                  <c:v>41980</c:v>
                </c:pt>
                <c:pt idx="9">
                  <c:v>41987</c:v>
                </c:pt>
                <c:pt idx="10">
                  <c:v>41994</c:v>
                </c:pt>
                <c:pt idx="11">
                  <c:v>42001</c:v>
                </c:pt>
                <c:pt idx="12">
                  <c:v>42008</c:v>
                </c:pt>
                <c:pt idx="13">
                  <c:v>42015</c:v>
                </c:pt>
                <c:pt idx="14">
                  <c:v>42022</c:v>
                </c:pt>
                <c:pt idx="15">
                  <c:v>42029</c:v>
                </c:pt>
                <c:pt idx="16">
                  <c:v>42036</c:v>
                </c:pt>
                <c:pt idx="17">
                  <c:v>42043</c:v>
                </c:pt>
                <c:pt idx="18">
                  <c:v>42050</c:v>
                </c:pt>
                <c:pt idx="19">
                  <c:v>42057</c:v>
                </c:pt>
                <c:pt idx="20">
                  <c:v>42064</c:v>
                </c:pt>
                <c:pt idx="21">
                  <c:v>42071</c:v>
                </c:pt>
                <c:pt idx="22">
                  <c:v>42078</c:v>
                </c:pt>
                <c:pt idx="23">
                  <c:v>42085</c:v>
                </c:pt>
                <c:pt idx="24">
                  <c:v>42092</c:v>
                </c:pt>
                <c:pt idx="25">
                  <c:v>42099</c:v>
                </c:pt>
                <c:pt idx="26">
                  <c:v>42106</c:v>
                </c:pt>
                <c:pt idx="27">
                  <c:v>42113</c:v>
                </c:pt>
                <c:pt idx="28">
                  <c:v>42120</c:v>
                </c:pt>
                <c:pt idx="29">
                  <c:v>42127</c:v>
                </c:pt>
                <c:pt idx="30">
                  <c:v>42134</c:v>
                </c:pt>
                <c:pt idx="31">
                  <c:v>42141</c:v>
                </c:pt>
                <c:pt idx="32">
                  <c:v>42148</c:v>
                </c:pt>
                <c:pt idx="33">
                  <c:v>42155</c:v>
                </c:pt>
                <c:pt idx="34">
                  <c:v>42162</c:v>
                </c:pt>
                <c:pt idx="35">
                  <c:v>42169</c:v>
                </c:pt>
                <c:pt idx="36">
                  <c:v>42176</c:v>
                </c:pt>
                <c:pt idx="37">
                  <c:v>42183</c:v>
                </c:pt>
                <c:pt idx="38">
                  <c:v>42190</c:v>
                </c:pt>
                <c:pt idx="39">
                  <c:v>42197</c:v>
                </c:pt>
                <c:pt idx="40">
                  <c:v>42204</c:v>
                </c:pt>
                <c:pt idx="41">
                  <c:v>42211</c:v>
                </c:pt>
                <c:pt idx="42">
                  <c:v>42218</c:v>
                </c:pt>
                <c:pt idx="43">
                  <c:v>42225</c:v>
                </c:pt>
                <c:pt idx="44">
                  <c:v>42232</c:v>
                </c:pt>
                <c:pt idx="45">
                  <c:v>42239</c:v>
                </c:pt>
                <c:pt idx="46">
                  <c:v>42246</c:v>
                </c:pt>
                <c:pt idx="47">
                  <c:v>42253</c:v>
                </c:pt>
                <c:pt idx="48">
                  <c:v>42260</c:v>
                </c:pt>
                <c:pt idx="49">
                  <c:v>42267</c:v>
                </c:pt>
                <c:pt idx="50">
                  <c:v>42274</c:v>
                </c:pt>
                <c:pt idx="51">
                  <c:v>42281</c:v>
                </c:pt>
                <c:pt idx="52">
                  <c:v>42288</c:v>
                </c:pt>
                <c:pt idx="53">
                  <c:v>42295</c:v>
                </c:pt>
                <c:pt idx="54">
                  <c:v>42302</c:v>
                </c:pt>
                <c:pt idx="55">
                  <c:v>42309</c:v>
                </c:pt>
                <c:pt idx="56">
                  <c:v>42316</c:v>
                </c:pt>
                <c:pt idx="57">
                  <c:v>42323</c:v>
                </c:pt>
                <c:pt idx="58">
                  <c:v>42330</c:v>
                </c:pt>
                <c:pt idx="59">
                  <c:v>42337</c:v>
                </c:pt>
                <c:pt idx="60">
                  <c:v>42344</c:v>
                </c:pt>
                <c:pt idx="61">
                  <c:v>42351</c:v>
                </c:pt>
                <c:pt idx="62">
                  <c:v>42358</c:v>
                </c:pt>
                <c:pt idx="63">
                  <c:v>42365</c:v>
                </c:pt>
                <c:pt idx="64">
                  <c:v>42372</c:v>
                </c:pt>
                <c:pt idx="65">
                  <c:v>42379</c:v>
                </c:pt>
                <c:pt idx="66">
                  <c:v>42386</c:v>
                </c:pt>
                <c:pt idx="67">
                  <c:v>42393</c:v>
                </c:pt>
                <c:pt idx="68">
                  <c:v>42400</c:v>
                </c:pt>
                <c:pt idx="69">
                  <c:v>42407</c:v>
                </c:pt>
                <c:pt idx="70">
                  <c:v>42414</c:v>
                </c:pt>
                <c:pt idx="71">
                  <c:v>42421</c:v>
                </c:pt>
                <c:pt idx="72">
                  <c:v>42428</c:v>
                </c:pt>
                <c:pt idx="73">
                  <c:v>42435</c:v>
                </c:pt>
                <c:pt idx="74">
                  <c:v>42442</c:v>
                </c:pt>
                <c:pt idx="75">
                  <c:v>42449</c:v>
                </c:pt>
                <c:pt idx="76">
                  <c:v>42456</c:v>
                </c:pt>
                <c:pt idx="77">
                  <c:v>42463</c:v>
                </c:pt>
                <c:pt idx="78">
                  <c:v>42470</c:v>
                </c:pt>
                <c:pt idx="79">
                  <c:v>42477</c:v>
                </c:pt>
                <c:pt idx="80">
                  <c:v>42484</c:v>
                </c:pt>
                <c:pt idx="81">
                  <c:v>42491</c:v>
                </c:pt>
                <c:pt idx="82">
                  <c:v>42498</c:v>
                </c:pt>
                <c:pt idx="83">
                  <c:v>42505</c:v>
                </c:pt>
                <c:pt idx="84">
                  <c:v>42512</c:v>
                </c:pt>
                <c:pt idx="85">
                  <c:v>42519</c:v>
                </c:pt>
                <c:pt idx="86">
                  <c:v>42526</c:v>
                </c:pt>
                <c:pt idx="87">
                  <c:v>42533</c:v>
                </c:pt>
                <c:pt idx="88">
                  <c:v>42540</c:v>
                </c:pt>
                <c:pt idx="89">
                  <c:v>42547</c:v>
                </c:pt>
                <c:pt idx="90">
                  <c:v>42554</c:v>
                </c:pt>
                <c:pt idx="91">
                  <c:v>42561</c:v>
                </c:pt>
                <c:pt idx="92">
                  <c:v>42568</c:v>
                </c:pt>
                <c:pt idx="93">
                  <c:v>42575</c:v>
                </c:pt>
                <c:pt idx="94">
                  <c:v>42582</c:v>
                </c:pt>
                <c:pt idx="95">
                  <c:v>42589</c:v>
                </c:pt>
                <c:pt idx="96">
                  <c:v>42596</c:v>
                </c:pt>
                <c:pt idx="97">
                  <c:v>42603</c:v>
                </c:pt>
                <c:pt idx="98">
                  <c:v>42610</c:v>
                </c:pt>
                <c:pt idx="99">
                  <c:v>42617</c:v>
                </c:pt>
                <c:pt idx="100">
                  <c:v>42624</c:v>
                </c:pt>
                <c:pt idx="101">
                  <c:v>42631</c:v>
                </c:pt>
                <c:pt idx="102">
                  <c:v>42638</c:v>
                </c:pt>
                <c:pt idx="103">
                  <c:v>42645</c:v>
                </c:pt>
              </c:numCache>
            </c:numRef>
          </c:cat>
          <c:val>
            <c:numRef>
              <c:f>Cashflow!$D$10:$DC$10</c:f>
              <c:numCache>
                <c:formatCode>0.00%</c:formatCode>
                <c:ptCount val="104"/>
                <c:pt idx="0">
                  <c:v>3.2209060549157065E-4</c:v>
                </c:pt>
                <c:pt idx="1">
                  <c:v>1.0155574612210273E-3</c:v>
                </c:pt>
                <c:pt idx="2">
                  <c:v>2.0335451451395539E-3</c:v>
                </c:pt>
                <c:pt idx="3">
                  <c:v>3.0515328290580805E-3</c:v>
                </c:pt>
                <c:pt idx="4">
                  <c:v>1.0096335411485576E-2</c:v>
                </c:pt>
                <c:pt idx="5">
                  <c:v>1.9292247262640269E-2</c:v>
                </c:pt>
                <c:pt idx="6">
                  <c:v>2.2391001140516457E-2</c:v>
                </c:pt>
                <c:pt idx="7">
                  <c:v>2.3103902887167564E-2</c:v>
                </c:pt>
                <c:pt idx="8">
                  <c:v>2.3820714308987835E-2</c:v>
                </c:pt>
                <c:pt idx="9">
                  <c:v>2.4518516302882796E-2</c:v>
                </c:pt>
                <c:pt idx="10">
                  <c:v>2.5275706349785258E-2</c:v>
                </c:pt>
                <c:pt idx="11">
                  <c:v>2.6284826740794399E-2</c:v>
                </c:pt>
                <c:pt idx="12">
                  <c:v>2.7448700068162673E-2</c:v>
                </c:pt>
                <c:pt idx="13">
                  <c:v>2.9364516698294086E-2</c:v>
                </c:pt>
                <c:pt idx="14">
                  <c:v>3.2229914775071963E-2</c:v>
                </c:pt>
                <c:pt idx="15">
                  <c:v>3.3999003413927455E-2</c:v>
                </c:pt>
                <c:pt idx="16">
                  <c:v>3.592590514457536E-2</c:v>
                </c:pt>
                <c:pt idx="17">
                  <c:v>3.8275295919674157E-2</c:v>
                </c:pt>
                <c:pt idx="18">
                  <c:v>4.0831484632981099E-2</c:v>
                </c:pt>
                <c:pt idx="19">
                  <c:v>4.3049084746899148E-2</c:v>
                </c:pt>
                <c:pt idx="20">
                  <c:v>4.5172659929262178E-2</c:v>
                </c:pt>
                <c:pt idx="21">
                  <c:v>4.8267873696257547E-2</c:v>
                </c:pt>
                <c:pt idx="22">
                  <c:v>5.1516468244534604E-2</c:v>
                </c:pt>
                <c:pt idx="23">
                  <c:v>5.4431038832698841E-2</c:v>
                </c:pt>
                <c:pt idx="24">
                  <c:v>5.6324027063299698E-2</c:v>
                </c:pt>
                <c:pt idx="25">
                  <c:v>5.8626850980246059E-2</c:v>
                </c:pt>
                <c:pt idx="26">
                  <c:v>6.1118002917898484E-2</c:v>
                </c:pt>
                <c:pt idx="27">
                  <c:v>6.3632214795264402E-2</c:v>
                </c:pt>
                <c:pt idx="28">
                  <c:v>6.6565309090253516E-2</c:v>
                </c:pt>
                <c:pt idx="29">
                  <c:v>7.0467165120016204E-2</c:v>
                </c:pt>
                <c:pt idx="30">
                  <c:v>7.5581552368855748E-2</c:v>
                </c:pt>
                <c:pt idx="31">
                  <c:v>8.0010700981470201E-2</c:v>
                </c:pt>
                <c:pt idx="32">
                  <c:v>8.5776732164905473E-2</c:v>
                </c:pt>
                <c:pt idx="33">
                  <c:v>9.1640715673900669E-2</c:v>
                </c:pt>
                <c:pt idx="34">
                  <c:v>9.7634850218954863E-2</c:v>
                </c:pt>
                <c:pt idx="35">
                  <c:v>0.10554897699247145</c:v>
                </c:pt>
                <c:pt idx="36">
                  <c:v>0.1136894843223952</c:v>
                </c:pt>
                <c:pt idx="37">
                  <c:v>0.11974782904535396</c:v>
                </c:pt>
                <c:pt idx="38">
                  <c:v>0.12853252953944369</c:v>
                </c:pt>
                <c:pt idx="39">
                  <c:v>0.13648749710434141</c:v>
                </c:pt>
                <c:pt idx="40">
                  <c:v>0.14056742398798761</c:v>
                </c:pt>
                <c:pt idx="41">
                  <c:v>0.14889749881336531</c:v>
                </c:pt>
                <c:pt idx="42">
                  <c:v>0.16235110015055804</c:v>
                </c:pt>
                <c:pt idx="43">
                  <c:v>0.171934148101651</c:v>
                </c:pt>
                <c:pt idx="44">
                  <c:v>0.1771609109489706</c:v>
                </c:pt>
                <c:pt idx="45">
                  <c:v>0.1823607680254665</c:v>
                </c:pt>
                <c:pt idx="46">
                  <c:v>0.18963753301943709</c:v>
                </c:pt>
                <c:pt idx="47">
                  <c:v>0.19669600638676837</c:v>
                </c:pt>
                <c:pt idx="48">
                  <c:v>0.20407069079988965</c:v>
                </c:pt>
                <c:pt idx="49">
                  <c:v>0.20827989641849873</c:v>
                </c:pt>
                <c:pt idx="50">
                  <c:v>0.21414716529495453</c:v>
                </c:pt>
                <c:pt idx="51">
                  <c:v>0.22296318910468224</c:v>
                </c:pt>
                <c:pt idx="52">
                  <c:v>0.23194551100819932</c:v>
                </c:pt>
                <c:pt idx="53">
                  <c:v>0.24361062059701868</c:v>
                </c:pt>
                <c:pt idx="54">
                  <c:v>0.25758556485545986</c:v>
                </c:pt>
                <c:pt idx="55">
                  <c:v>0.27148951220003004</c:v>
                </c:pt>
                <c:pt idx="56">
                  <c:v>0.28344168788110519</c:v>
                </c:pt>
                <c:pt idx="57">
                  <c:v>0.29844184847563232</c:v>
                </c:pt>
                <c:pt idx="58">
                  <c:v>0.31293085588571973</c:v>
                </c:pt>
                <c:pt idx="59">
                  <c:v>0.32895821127903169</c:v>
                </c:pt>
                <c:pt idx="60">
                  <c:v>0.34418976608703988</c:v>
                </c:pt>
                <c:pt idx="61">
                  <c:v>0.36034021620101486</c:v>
                </c:pt>
                <c:pt idx="62">
                  <c:v>0.37836785630507958</c:v>
                </c:pt>
                <c:pt idx="63">
                  <c:v>0.39747117008314642</c:v>
                </c:pt>
                <c:pt idx="64">
                  <c:v>0.41677150402554364</c:v>
                </c:pt>
                <c:pt idx="65">
                  <c:v>0.44209444689297184</c:v>
                </c:pt>
                <c:pt idx="66">
                  <c:v>0.47216608646620273</c:v>
                </c:pt>
                <c:pt idx="67">
                  <c:v>0.50310575359143572</c:v>
                </c:pt>
                <c:pt idx="68">
                  <c:v>0.53136754297700095</c:v>
                </c:pt>
                <c:pt idx="69">
                  <c:v>0.56490427321645964</c:v>
                </c:pt>
                <c:pt idx="70">
                  <c:v>0.60187381117686445</c:v>
                </c:pt>
                <c:pt idx="71">
                  <c:v>0.63554717649157133</c:v>
                </c:pt>
                <c:pt idx="72">
                  <c:v>0.66642778413569925</c:v>
                </c:pt>
                <c:pt idx="73">
                  <c:v>0.68992374902945441</c:v>
                </c:pt>
                <c:pt idx="74">
                  <c:v>0.71324479385801043</c:v>
                </c:pt>
                <c:pt idx="75">
                  <c:v>0.73557148195293709</c:v>
                </c:pt>
                <c:pt idx="76">
                  <c:v>0.75582712910409211</c:v>
                </c:pt>
                <c:pt idx="77">
                  <c:v>0.77257272587145642</c:v>
                </c:pt>
                <c:pt idx="78">
                  <c:v>0.78932118479329594</c:v>
                </c:pt>
                <c:pt idx="79">
                  <c:v>0.81008954600363137</c:v>
                </c:pt>
                <c:pt idx="80">
                  <c:v>0.83054801651907384</c:v>
                </c:pt>
                <c:pt idx="81">
                  <c:v>0.85036323085925947</c:v>
                </c:pt>
                <c:pt idx="82">
                  <c:v>0.86911144384084638</c:v>
                </c:pt>
                <c:pt idx="83">
                  <c:v>0.88929338140875369</c:v>
                </c:pt>
                <c:pt idx="84">
                  <c:v>0.90611640337109589</c:v>
                </c:pt>
                <c:pt idx="85">
                  <c:v>0.92219330941824906</c:v>
                </c:pt>
                <c:pt idx="86">
                  <c:v>0.9387063566618542</c:v>
                </c:pt>
                <c:pt idx="87">
                  <c:v>0.95015293999008632</c:v>
                </c:pt>
                <c:pt idx="88">
                  <c:v>0.95837784635342227</c:v>
                </c:pt>
                <c:pt idx="89">
                  <c:v>0.96675025154770178</c:v>
                </c:pt>
                <c:pt idx="90">
                  <c:v>0.97239676616060144</c:v>
                </c:pt>
                <c:pt idx="91">
                  <c:v>0.97652980209030815</c:v>
                </c:pt>
                <c:pt idx="92">
                  <c:v>0.97977273040804091</c:v>
                </c:pt>
                <c:pt idx="93">
                  <c:v>0.98284431406850126</c:v>
                </c:pt>
                <c:pt idx="94">
                  <c:v>0.98651853734048478</c:v>
                </c:pt>
                <c:pt idx="95">
                  <c:v>0.98994420873002276</c:v>
                </c:pt>
                <c:pt idx="96">
                  <c:v>0.99273753199708858</c:v>
                </c:pt>
                <c:pt idx="97">
                  <c:v>0.99436727703977668</c:v>
                </c:pt>
                <c:pt idx="98">
                  <c:v>0.99574581223403213</c:v>
                </c:pt>
                <c:pt idx="99">
                  <c:v>0.99647297672938906</c:v>
                </c:pt>
                <c:pt idx="100">
                  <c:v>0.99715277554241555</c:v>
                </c:pt>
                <c:pt idx="101">
                  <c:v>0.99799506620425016</c:v>
                </c:pt>
                <c:pt idx="102">
                  <c:v>0.9988359482186433</c:v>
                </c:pt>
                <c:pt idx="103">
                  <c:v>0.99955871471615554</c:v>
                </c:pt>
              </c:numCache>
            </c:numRef>
          </c:val>
          <c:smooth val="0"/>
        </c:ser>
        <c:ser>
          <c:idx val="0"/>
          <c:order val="1"/>
          <c:tx>
            <c:v>PLANNED(Mitigation)</c:v>
          </c:tx>
          <c:spPr>
            <a:ln>
              <a:solidFill>
                <a:srgbClr val="0070C0"/>
              </a:solidFill>
            </a:ln>
          </c:spPr>
          <c:marker>
            <c:symbol val="none"/>
          </c:marker>
          <c:val>
            <c:numRef>
              <c:f>Cashflow!$D$12:$DC$12</c:f>
              <c:numCache>
                <c:formatCode>0.00%</c:formatCode>
                <c:ptCount val="104"/>
                <c:pt idx="0">
                  <c:v>3.2209060549157065E-4</c:v>
                </c:pt>
                <c:pt idx="1">
                  <c:v>1.0155574612210273E-3</c:v>
                </c:pt>
                <c:pt idx="2">
                  <c:v>2.0335451451395539E-3</c:v>
                </c:pt>
                <c:pt idx="3">
                  <c:v>3.0515328290580805E-3</c:v>
                </c:pt>
                <c:pt idx="4">
                  <c:v>1.0096335411485576E-2</c:v>
                </c:pt>
                <c:pt idx="5">
                  <c:v>1.9292247262640269E-2</c:v>
                </c:pt>
                <c:pt idx="6">
                  <c:v>2.2391001140516457E-2</c:v>
                </c:pt>
                <c:pt idx="7">
                  <c:v>2.3103902887167564E-2</c:v>
                </c:pt>
                <c:pt idx="8">
                  <c:v>2.3820714308987835E-2</c:v>
                </c:pt>
                <c:pt idx="9">
                  <c:v>2.4518516302882796E-2</c:v>
                </c:pt>
                <c:pt idx="10">
                  <c:v>2.5275706349785258E-2</c:v>
                </c:pt>
                <c:pt idx="11">
                  <c:v>2.6284826740794399E-2</c:v>
                </c:pt>
                <c:pt idx="12">
                  <c:v>2.7448700068162673E-2</c:v>
                </c:pt>
                <c:pt idx="13">
                  <c:v>2.9364516698294086E-2</c:v>
                </c:pt>
                <c:pt idx="14">
                  <c:v>3.2229914775071963E-2</c:v>
                </c:pt>
                <c:pt idx="15">
                  <c:v>3.3999003413927455E-2</c:v>
                </c:pt>
                <c:pt idx="16">
                  <c:v>3.592590514457536E-2</c:v>
                </c:pt>
                <c:pt idx="17">
                  <c:v>3.8008838380269472E-2</c:v>
                </c:pt>
                <c:pt idx="18">
                  <c:v>4.0508453382312695E-2</c:v>
                </c:pt>
                <c:pt idx="19">
                  <c:v>4.2669479784967018E-2</c:v>
                </c:pt>
                <c:pt idx="20">
                  <c:v>4.4610550607617545E-2</c:v>
                </c:pt>
                <c:pt idx="21">
                  <c:v>4.6836720872382095E-2</c:v>
                </c:pt>
                <c:pt idx="22">
                  <c:v>4.7958469284967775E-2</c:v>
                </c:pt>
                <c:pt idx="23">
                  <c:v>4.907136552190472E-2</c:v>
                </c:pt>
                <c:pt idx="24">
                  <c:v>4.9820142989035684E-2</c:v>
                </c:pt>
                <c:pt idx="25">
                  <c:v>5.1572406890225221E-2</c:v>
                </c:pt>
                <c:pt idx="26">
                  <c:v>5.2729150776843682E-2</c:v>
                </c:pt>
                <c:pt idx="27">
                  <c:v>5.4014032080402112E-2</c:v>
                </c:pt>
                <c:pt idx="28">
                  <c:v>5.6158204073371895E-2</c:v>
                </c:pt>
                <c:pt idx="29">
                  <c:v>5.8681875418387763E-2</c:v>
                </c:pt>
                <c:pt idx="30">
                  <c:v>6.0677168128421395E-2</c:v>
                </c:pt>
                <c:pt idx="31">
                  <c:v>6.3416483821641237E-2</c:v>
                </c:pt>
                <c:pt idx="32">
                  <c:v>6.5595478600308163E-2</c:v>
                </c:pt>
                <c:pt idx="33">
                  <c:v>6.9555535239832239E-2</c:v>
                </c:pt>
                <c:pt idx="34">
                  <c:v>7.2481335210461156E-2</c:v>
                </c:pt>
                <c:pt idx="35">
                  <c:v>7.5720533150767433E-2</c:v>
                </c:pt>
                <c:pt idx="36">
                  <c:v>7.9572252820729647E-2</c:v>
                </c:pt>
                <c:pt idx="37">
                  <c:v>8.1797573354819797E-2</c:v>
                </c:pt>
                <c:pt idx="38">
                  <c:v>8.4053646334597956E-2</c:v>
                </c:pt>
                <c:pt idx="39">
                  <c:v>8.5631396508492164E-2</c:v>
                </c:pt>
                <c:pt idx="40">
                  <c:v>8.7247758837982997E-2</c:v>
                </c:pt>
                <c:pt idx="41">
                  <c:v>9.0211776579487604E-2</c:v>
                </c:pt>
                <c:pt idx="42">
                  <c:v>9.3853531069352694E-2</c:v>
                </c:pt>
                <c:pt idx="43">
                  <c:v>9.7540063025898738E-2</c:v>
                </c:pt>
                <c:pt idx="44">
                  <c:v>0.10103893359777712</c:v>
                </c:pt>
                <c:pt idx="45">
                  <c:v>0.10488137998849036</c:v>
                </c:pt>
                <c:pt idx="46">
                  <c:v>0.1091510812279665</c:v>
                </c:pt>
                <c:pt idx="47">
                  <c:v>0.11399895574182177</c:v>
                </c:pt>
                <c:pt idx="48">
                  <c:v>0.11712930131944717</c:v>
                </c:pt>
                <c:pt idx="49">
                  <c:v>0.12100759347737032</c:v>
                </c:pt>
                <c:pt idx="50">
                  <c:v>0.12497518603617369</c:v>
                </c:pt>
                <c:pt idx="51">
                  <c:v>0.13033736206220362</c:v>
                </c:pt>
                <c:pt idx="52">
                  <c:v>0.13853052520161963</c:v>
                </c:pt>
                <c:pt idx="53">
                  <c:v>0.14978634515361086</c:v>
                </c:pt>
                <c:pt idx="54">
                  <c:v>0.16079121189903633</c:v>
                </c:pt>
                <c:pt idx="55">
                  <c:v>0.17084625363413672</c:v>
                </c:pt>
                <c:pt idx="56">
                  <c:v>0.18223886412306592</c:v>
                </c:pt>
                <c:pt idx="57">
                  <c:v>0.19523121266572754</c:v>
                </c:pt>
                <c:pt idx="58">
                  <c:v>0.20607676506990846</c:v>
                </c:pt>
                <c:pt idx="59">
                  <c:v>0.21696504651679541</c:v>
                </c:pt>
                <c:pt idx="60">
                  <c:v>0.23086982903728206</c:v>
                </c:pt>
                <c:pt idx="61">
                  <c:v>0.24634253734037209</c:v>
                </c:pt>
                <c:pt idx="62">
                  <c:v>0.26263699672934199</c:v>
                </c:pt>
                <c:pt idx="63">
                  <c:v>0.2798976079810811</c:v>
                </c:pt>
                <c:pt idx="64">
                  <c:v>0.30070735005572358</c:v>
                </c:pt>
                <c:pt idx="65">
                  <c:v>0.33492727163243785</c:v>
                </c:pt>
                <c:pt idx="66">
                  <c:v>0.36660343236067189</c:v>
                </c:pt>
                <c:pt idx="67">
                  <c:v>0.39439406876317334</c:v>
                </c:pt>
                <c:pt idx="68">
                  <c:v>0.43270722624887448</c:v>
                </c:pt>
                <c:pt idx="69">
                  <c:v>0.47057532876842684</c:v>
                </c:pt>
                <c:pt idx="70">
                  <c:v>0.50579976665137083</c:v>
                </c:pt>
                <c:pt idx="71">
                  <c:v>0.53818269784658634</c:v>
                </c:pt>
                <c:pt idx="72">
                  <c:v>0.56799016898523969</c:v>
                </c:pt>
                <c:pt idx="73">
                  <c:v>0.60695377768882741</c:v>
                </c:pt>
                <c:pt idx="74">
                  <c:v>0.64920130252567809</c:v>
                </c:pt>
                <c:pt idx="75">
                  <c:v>0.68323597683878179</c:v>
                </c:pt>
                <c:pt idx="76">
                  <c:v>0.71234939288448418</c:v>
                </c:pt>
                <c:pt idx="77">
                  <c:v>0.74119973238370518</c:v>
                </c:pt>
                <c:pt idx="78">
                  <c:v>0.77104766912442402</c:v>
                </c:pt>
                <c:pt idx="79">
                  <c:v>0.803123605529385</c:v>
                </c:pt>
                <c:pt idx="80">
                  <c:v>0.83288037091485745</c:v>
                </c:pt>
                <c:pt idx="81">
                  <c:v>0.85718247835802419</c:v>
                </c:pt>
                <c:pt idx="82">
                  <c:v>0.8733225200622573</c:v>
                </c:pt>
                <c:pt idx="83">
                  <c:v>0.88569237503794618</c:v>
                </c:pt>
                <c:pt idx="84">
                  <c:v>0.90595353626265918</c:v>
                </c:pt>
                <c:pt idx="85">
                  <c:v>0.92822441811097334</c:v>
                </c:pt>
                <c:pt idx="86">
                  <c:v>0.94489088150321887</c:v>
                </c:pt>
                <c:pt idx="87">
                  <c:v>0.95905765367430229</c:v>
                </c:pt>
                <c:pt idx="88">
                  <c:v>0.97072670570407438</c:v>
                </c:pt>
                <c:pt idx="89">
                  <c:v>0.97778717961233641</c:v>
                </c:pt>
                <c:pt idx="90">
                  <c:v>0.98040820372532345</c:v>
                </c:pt>
                <c:pt idx="91">
                  <c:v>0.98295213311368179</c:v>
                </c:pt>
                <c:pt idx="92">
                  <c:v>0.98637107971286553</c:v>
                </c:pt>
                <c:pt idx="93">
                  <c:v>0.98935185954329541</c:v>
                </c:pt>
                <c:pt idx="94">
                  <c:v>0.99129258491896177</c:v>
                </c:pt>
                <c:pt idx="95">
                  <c:v>0.99309452266208864</c:v>
                </c:pt>
                <c:pt idx="96">
                  <c:v>0.99453067247889482</c:v>
                </c:pt>
                <c:pt idx="97">
                  <c:v>0.99562434933376542</c:v>
                </c:pt>
                <c:pt idx="98">
                  <c:v>0.99642286202594321</c:v>
                </c:pt>
                <c:pt idx="99">
                  <c:v>0.99714414886004532</c:v>
                </c:pt>
                <c:pt idx="100">
                  <c:v>0.9978280152005673</c:v>
                </c:pt>
                <c:pt idx="101">
                  <c:v>0.99846233531695694</c:v>
                </c:pt>
                <c:pt idx="102">
                  <c:v>0.99903372825383807</c:v>
                </c:pt>
                <c:pt idx="103">
                  <c:v>0.99959738677829191</c:v>
                </c:pt>
              </c:numCache>
            </c:numRef>
          </c:val>
          <c:smooth val="0"/>
        </c:ser>
        <c:ser>
          <c:idx val="3"/>
          <c:order val="2"/>
          <c:tx>
            <c:v>ACTUAL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Cashflow!$D$2:$DC$2</c:f>
              <c:numCache>
                <c:formatCode>d\-mmm\-yy</c:formatCode>
                <c:ptCount val="104"/>
                <c:pt idx="0">
                  <c:v>41924</c:v>
                </c:pt>
                <c:pt idx="1">
                  <c:v>41931</c:v>
                </c:pt>
                <c:pt idx="2">
                  <c:v>41938</c:v>
                </c:pt>
                <c:pt idx="3">
                  <c:v>41945</c:v>
                </c:pt>
                <c:pt idx="4">
                  <c:v>41952</c:v>
                </c:pt>
                <c:pt idx="5">
                  <c:v>41959</c:v>
                </c:pt>
                <c:pt idx="6">
                  <c:v>41966</c:v>
                </c:pt>
                <c:pt idx="7">
                  <c:v>41973</c:v>
                </c:pt>
                <c:pt idx="8">
                  <c:v>41980</c:v>
                </c:pt>
                <c:pt idx="9">
                  <c:v>41987</c:v>
                </c:pt>
                <c:pt idx="10">
                  <c:v>41994</c:v>
                </c:pt>
                <c:pt idx="11">
                  <c:v>42001</c:v>
                </c:pt>
                <c:pt idx="12">
                  <c:v>42008</c:v>
                </c:pt>
                <c:pt idx="13">
                  <c:v>42015</c:v>
                </c:pt>
                <c:pt idx="14">
                  <c:v>42022</c:v>
                </c:pt>
                <c:pt idx="15">
                  <c:v>42029</c:v>
                </c:pt>
                <c:pt idx="16">
                  <c:v>42036</c:v>
                </c:pt>
                <c:pt idx="17">
                  <c:v>42043</c:v>
                </c:pt>
                <c:pt idx="18">
                  <c:v>42050</c:v>
                </c:pt>
                <c:pt idx="19">
                  <c:v>42057</c:v>
                </c:pt>
                <c:pt idx="20">
                  <c:v>42064</c:v>
                </c:pt>
                <c:pt idx="21">
                  <c:v>42071</c:v>
                </c:pt>
                <c:pt idx="22">
                  <c:v>42078</c:v>
                </c:pt>
                <c:pt idx="23">
                  <c:v>42085</c:v>
                </c:pt>
                <c:pt idx="24">
                  <c:v>42092</c:v>
                </c:pt>
                <c:pt idx="25">
                  <c:v>42099</c:v>
                </c:pt>
                <c:pt idx="26">
                  <c:v>42106</c:v>
                </c:pt>
                <c:pt idx="27">
                  <c:v>42113</c:v>
                </c:pt>
                <c:pt idx="28">
                  <c:v>42120</c:v>
                </c:pt>
                <c:pt idx="29">
                  <c:v>42127</c:v>
                </c:pt>
                <c:pt idx="30">
                  <c:v>42134</c:v>
                </c:pt>
                <c:pt idx="31">
                  <c:v>42141</c:v>
                </c:pt>
                <c:pt idx="32">
                  <c:v>42148</c:v>
                </c:pt>
                <c:pt idx="33">
                  <c:v>42155</c:v>
                </c:pt>
                <c:pt idx="34">
                  <c:v>42162</c:v>
                </c:pt>
                <c:pt idx="35">
                  <c:v>42169</c:v>
                </c:pt>
                <c:pt idx="36">
                  <c:v>42176</c:v>
                </c:pt>
                <c:pt idx="37">
                  <c:v>42183</c:v>
                </c:pt>
                <c:pt idx="38">
                  <c:v>42190</c:v>
                </c:pt>
                <c:pt idx="39">
                  <c:v>42197</c:v>
                </c:pt>
                <c:pt idx="40">
                  <c:v>42204</c:v>
                </c:pt>
                <c:pt idx="41">
                  <c:v>42211</c:v>
                </c:pt>
                <c:pt idx="42">
                  <c:v>42218</c:v>
                </c:pt>
                <c:pt idx="43">
                  <c:v>42225</c:v>
                </c:pt>
                <c:pt idx="44">
                  <c:v>42232</c:v>
                </c:pt>
                <c:pt idx="45">
                  <c:v>42239</c:v>
                </c:pt>
                <c:pt idx="46">
                  <c:v>42246</c:v>
                </c:pt>
                <c:pt idx="47">
                  <c:v>42253</c:v>
                </c:pt>
                <c:pt idx="48">
                  <c:v>42260</c:v>
                </c:pt>
                <c:pt idx="49">
                  <c:v>42267</c:v>
                </c:pt>
                <c:pt idx="50">
                  <c:v>42274</c:v>
                </c:pt>
                <c:pt idx="51">
                  <c:v>42281</c:v>
                </c:pt>
                <c:pt idx="52">
                  <c:v>42288</c:v>
                </c:pt>
                <c:pt idx="53">
                  <c:v>42295</c:v>
                </c:pt>
                <c:pt idx="54">
                  <c:v>42302</c:v>
                </c:pt>
                <c:pt idx="55">
                  <c:v>42309</c:v>
                </c:pt>
                <c:pt idx="56">
                  <c:v>42316</c:v>
                </c:pt>
                <c:pt idx="57">
                  <c:v>42323</c:v>
                </c:pt>
                <c:pt idx="58">
                  <c:v>42330</c:v>
                </c:pt>
                <c:pt idx="59">
                  <c:v>42337</c:v>
                </c:pt>
                <c:pt idx="60">
                  <c:v>42344</c:v>
                </c:pt>
                <c:pt idx="61">
                  <c:v>42351</c:v>
                </c:pt>
                <c:pt idx="62">
                  <c:v>42358</c:v>
                </c:pt>
                <c:pt idx="63">
                  <c:v>42365</c:v>
                </c:pt>
                <c:pt idx="64">
                  <c:v>42372</c:v>
                </c:pt>
                <c:pt idx="65">
                  <c:v>42379</c:v>
                </c:pt>
                <c:pt idx="66">
                  <c:v>42386</c:v>
                </c:pt>
                <c:pt idx="67">
                  <c:v>42393</c:v>
                </c:pt>
                <c:pt idx="68">
                  <c:v>42400</c:v>
                </c:pt>
                <c:pt idx="69">
                  <c:v>42407</c:v>
                </c:pt>
                <c:pt idx="70">
                  <c:v>42414</c:v>
                </c:pt>
                <c:pt idx="71">
                  <c:v>42421</c:v>
                </c:pt>
                <c:pt idx="72">
                  <c:v>42428</c:v>
                </c:pt>
                <c:pt idx="73">
                  <c:v>42435</c:v>
                </c:pt>
                <c:pt idx="74">
                  <c:v>42442</c:v>
                </c:pt>
                <c:pt idx="75">
                  <c:v>42449</c:v>
                </c:pt>
                <c:pt idx="76">
                  <c:v>42456</c:v>
                </c:pt>
                <c:pt idx="77">
                  <c:v>42463</c:v>
                </c:pt>
                <c:pt idx="78">
                  <c:v>42470</c:v>
                </c:pt>
                <c:pt idx="79">
                  <c:v>42477</c:v>
                </c:pt>
                <c:pt idx="80">
                  <c:v>42484</c:v>
                </c:pt>
                <c:pt idx="81">
                  <c:v>42491</c:v>
                </c:pt>
                <c:pt idx="82">
                  <c:v>42498</c:v>
                </c:pt>
                <c:pt idx="83">
                  <c:v>42505</c:v>
                </c:pt>
                <c:pt idx="84">
                  <c:v>42512</c:v>
                </c:pt>
                <c:pt idx="85">
                  <c:v>42519</c:v>
                </c:pt>
                <c:pt idx="86">
                  <c:v>42526</c:v>
                </c:pt>
                <c:pt idx="87">
                  <c:v>42533</c:v>
                </c:pt>
                <c:pt idx="88">
                  <c:v>42540</c:v>
                </c:pt>
                <c:pt idx="89">
                  <c:v>42547</c:v>
                </c:pt>
                <c:pt idx="90">
                  <c:v>42554</c:v>
                </c:pt>
                <c:pt idx="91">
                  <c:v>42561</c:v>
                </c:pt>
                <c:pt idx="92">
                  <c:v>42568</c:v>
                </c:pt>
                <c:pt idx="93">
                  <c:v>42575</c:v>
                </c:pt>
                <c:pt idx="94">
                  <c:v>42582</c:v>
                </c:pt>
                <c:pt idx="95">
                  <c:v>42589</c:v>
                </c:pt>
                <c:pt idx="96">
                  <c:v>42596</c:v>
                </c:pt>
                <c:pt idx="97">
                  <c:v>42603</c:v>
                </c:pt>
                <c:pt idx="98">
                  <c:v>42610</c:v>
                </c:pt>
                <c:pt idx="99">
                  <c:v>42617</c:v>
                </c:pt>
                <c:pt idx="100">
                  <c:v>42624</c:v>
                </c:pt>
                <c:pt idx="101">
                  <c:v>42631</c:v>
                </c:pt>
                <c:pt idx="102">
                  <c:v>42638</c:v>
                </c:pt>
                <c:pt idx="103">
                  <c:v>42645</c:v>
                </c:pt>
              </c:numCache>
            </c:numRef>
          </c:cat>
          <c:val>
            <c:numRef>
              <c:f>Cashflow!$D$14:$DC$14</c:f>
              <c:numCache>
                <c:formatCode>0.00%</c:formatCode>
                <c:ptCount val="104"/>
                <c:pt idx="0">
                  <c:v>5.0838615782873803E-4</c:v>
                </c:pt>
                <c:pt idx="1">
                  <c:v>1.3881485658953621E-3</c:v>
                </c:pt>
                <c:pt idx="2">
                  <c:v>2.5924318021510566E-3</c:v>
                </c:pt>
                <c:pt idx="3">
                  <c:v>3.7967150384067504E-3</c:v>
                </c:pt>
                <c:pt idx="4">
                  <c:v>1.1027813173171416E-2</c:v>
                </c:pt>
                <c:pt idx="5">
                  <c:v>2.0410020576663274E-2</c:v>
                </c:pt>
                <c:pt idx="6">
                  <c:v>2.3570700655045566E-2</c:v>
                </c:pt>
                <c:pt idx="7">
                  <c:v>2.4320654731836557E-2</c:v>
                </c:pt>
                <c:pt idx="8">
                  <c:v>2.5070608808627555E-2</c:v>
                </c:pt>
                <c:pt idx="9">
                  <c:v>2.5820562885418549E-2</c:v>
                </c:pt>
                <c:pt idx="10">
                  <c:v>2.6570516962209544E-2</c:v>
                </c:pt>
                <c:pt idx="11">
                  <c:v>2.7320471039000538E-2</c:v>
                </c:pt>
                <c:pt idx="12">
                  <c:v>2.8070425115791532E-2</c:v>
                </c:pt>
                <c:pt idx="13">
                  <c:v>2.9011141167975305E-2</c:v>
                </c:pt>
                <c:pt idx="14">
                  <c:v>2.9920294278361528E-2</c:v>
                </c:pt>
                <c:pt idx="15">
                  <c:v>3.0859872528164401E-2</c:v>
                </c:pt>
                <c:pt idx="16">
                  <c:v>3.3419776853201424E-2</c:v>
                </c:pt>
                <c:pt idx="17">
                  <c:v>3.5365709457190912E-2</c:v>
                </c:pt>
                <c:pt idx="18">
                  <c:v>4.0152990263766938E-2</c:v>
                </c:pt>
                <c:pt idx="19">
                  <c:v>4.2114556365282906E-2</c:v>
                </c:pt>
                <c:pt idx="20">
                  <c:v>4.3896437581667475E-2</c:v>
                </c:pt>
                <c:pt idx="21">
                  <c:v>4.5937738444024927E-2</c:v>
                </c:pt>
                <c:pt idx="22">
                  <c:v>4.74117051119907E-2</c:v>
                </c:pt>
                <c:pt idx="23">
                  <c:v>4.87E-2</c:v>
                </c:pt>
                <c:pt idx="24">
                  <c:v>5.0299999999999997E-2</c:v>
                </c:pt>
                <c:pt idx="25">
                  <c:v>5.21E-2</c:v>
                </c:pt>
                <c:pt idx="26">
                  <c:v>5.3699999999999998E-2</c:v>
                </c:pt>
                <c:pt idx="27">
                  <c:v>5.5100000000000003E-2</c:v>
                </c:pt>
                <c:pt idx="28">
                  <c:v>5.7099999999999998E-2</c:v>
                </c:pt>
                <c:pt idx="29">
                  <c:v>5.8599999999999999E-2</c:v>
                </c:pt>
                <c:pt idx="30">
                  <c:v>6.0299999999999999E-2</c:v>
                </c:pt>
                <c:pt idx="31">
                  <c:v>6.2600000000000003E-2</c:v>
                </c:pt>
                <c:pt idx="32">
                  <c:v>6.5699999999999995E-2</c:v>
                </c:pt>
                <c:pt idx="33">
                  <c:v>6.8099999999999994E-2</c:v>
                </c:pt>
                <c:pt idx="34">
                  <c:v>7.1599999999999997E-2</c:v>
                </c:pt>
                <c:pt idx="35">
                  <c:v>7.5200000000000003E-2</c:v>
                </c:pt>
                <c:pt idx="36">
                  <c:v>7.8200000000000006E-2</c:v>
                </c:pt>
                <c:pt idx="37">
                  <c:v>8.2100000000000006E-2</c:v>
                </c:pt>
                <c:pt idx="38">
                  <c:v>8.539511848747755E-2</c:v>
                </c:pt>
                <c:pt idx="39">
                  <c:v>8.8256099367927415E-2</c:v>
                </c:pt>
                <c:pt idx="40">
                  <c:v>9.01E-2</c:v>
                </c:pt>
                <c:pt idx="41">
                  <c:v>9.3899999999999997E-2</c:v>
                </c:pt>
                <c:pt idx="42">
                  <c:v>9.7000000000000003E-2</c:v>
                </c:pt>
                <c:pt idx="43">
                  <c:v>0.1003</c:v>
                </c:pt>
                <c:pt idx="44">
                  <c:v>0.10440000000000001</c:v>
                </c:pt>
                <c:pt idx="45">
                  <c:v>0.108</c:v>
                </c:pt>
                <c:pt idx="46">
                  <c:v>0.1125</c:v>
                </c:pt>
                <c:pt idx="47">
                  <c:v>0.11749999999999999</c:v>
                </c:pt>
                <c:pt idx="48">
                  <c:v>0.1232</c:v>
                </c:pt>
                <c:pt idx="49">
                  <c:v>0.12839999999999999</c:v>
                </c:pt>
                <c:pt idx="50">
                  <c:v>0.13435967713728447</c:v>
                </c:pt>
                <c:pt idx="51">
                  <c:v>0.14034267933103964</c:v>
                </c:pt>
                <c:pt idx="52">
                  <c:v>0.14652297198026451</c:v>
                </c:pt>
                <c:pt idx="53">
                  <c:v>0.15380659675673916</c:v>
                </c:pt>
                <c:pt idx="54">
                  <c:v>0.16311955405701012</c:v>
                </c:pt>
                <c:pt idx="55">
                  <c:v>0.17335316926029049</c:v>
                </c:pt>
                <c:pt idx="56">
                  <c:v>0.18399039817036872</c:v>
                </c:pt>
                <c:pt idx="57">
                  <c:v>0.1946</c:v>
                </c:pt>
                <c:pt idx="58">
                  <c:v>0.20647682438535853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356912"/>
        <c:axId val="157357472"/>
      </c:lineChart>
      <c:dateAx>
        <c:axId val="157356912"/>
        <c:scaling>
          <c:orientation val="minMax"/>
        </c:scaling>
        <c:delete val="0"/>
        <c:axPos val="b"/>
        <c:majorGridlines/>
        <c:numFmt formatCode="[$-409]mmm\-yy;@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lang="en-GB" sz="800"/>
            </a:pPr>
            <a:endParaRPr lang="en-US"/>
          </a:p>
        </c:txPr>
        <c:crossAx val="157357472"/>
        <c:crosses val="autoZero"/>
        <c:auto val="1"/>
        <c:lblOffset val="100"/>
        <c:baseTimeUnit val="days"/>
        <c:majorUnit val="3"/>
        <c:minorUnit val="3"/>
      </c:dateAx>
      <c:valAx>
        <c:axId val="157357472"/>
        <c:scaling>
          <c:orientation val="minMax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lang="en-GB" sz="900"/>
            </a:pPr>
            <a:endParaRPr lang="en-US"/>
          </a:p>
        </c:txPr>
        <c:crossAx val="157356912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2646541241045192"/>
          <c:y val="0.49406317694213481"/>
          <c:w val="0.30191995093945523"/>
          <c:h val="0.19048624713008971"/>
        </c:manualLayout>
      </c:layout>
      <c:overlay val="0"/>
      <c:spPr>
        <a:solidFill>
          <a:schemeClr val="bg1">
            <a:lumMod val="85000"/>
          </a:schemeClr>
        </a:solidFill>
        <a:ln w="12700">
          <a:solidFill>
            <a:schemeClr val="tx1"/>
          </a:solidFill>
        </a:ln>
      </c:spPr>
      <c:txPr>
        <a:bodyPr/>
        <a:lstStyle/>
        <a:p>
          <a:pPr>
            <a:defRPr lang="en-GB" sz="800"/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5E9EFF"/>
        </a:gs>
        <a:gs pos="0">
          <a:srgbClr val="85C2FF"/>
        </a:gs>
        <a:gs pos="51000">
          <a:srgbClr val="C4D6EB">
            <a:lumMod val="0"/>
            <a:lumOff val="100000"/>
          </a:srgbClr>
        </a:gs>
        <a:gs pos="100000">
          <a:srgbClr val="FFEBFA"/>
        </a:gs>
      </a:gsLst>
      <a:lin ang="5400000" scaled="0"/>
    </a:gradFill>
  </c:spPr>
  <c:printSettings>
    <c:headerFooter/>
    <c:pageMargins b="0.75000000000000888" l="0.70000000000000062" r="0.70000000000000062" t="0.75000000000000888" header="0.30000000000000032" footer="0.30000000000000032"/>
    <c:pageSetup orientation="portrait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lang="en-GB" sz="1200" u="sng"/>
            </a:pPr>
            <a:r>
              <a:rPr lang="en-US" sz="1200" u="sng"/>
              <a:t>INVOICE STATUS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31893976179939393"/>
          <c:y val="0.43152324691556632"/>
          <c:w val="0.27157665010455495"/>
          <c:h val="0.51006382562003327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19"/>
          </c:dPt>
          <c:dPt>
            <c:idx val="1"/>
            <c:bubble3D val="0"/>
            <c:explosion val="14"/>
          </c:dPt>
          <c:dPt>
            <c:idx val="2"/>
            <c:bubble3D val="0"/>
            <c:explosion val="16"/>
          </c:dPt>
          <c:dLbls>
            <c:dLbl>
              <c:idx val="0"/>
              <c:layout>
                <c:manualLayout>
                  <c:x val="0"/>
                  <c:y val="7.674654164092570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600" b="0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Dashboard!$R$21:$R$23</c:f>
              <c:strCache>
                <c:ptCount val="3"/>
                <c:pt idx="0">
                  <c:v>TOTAL AMOUNT</c:v>
                </c:pt>
                <c:pt idx="1">
                  <c:v>INVOICED AMOUNT</c:v>
                </c:pt>
                <c:pt idx="2">
                  <c:v>REMAINING INVOICE</c:v>
                </c:pt>
              </c:strCache>
            </c:strRef>
          </c:cat>
          <c:val>
            <c:numRef>
              <c:f>Dashboard!$S$21:$S$23</c:f>
              <c:numCache>
                <c:formatCode>#,##0.00</c:formatCode>
                <c:ptCount val="3"/>
                <c:pt idx="0">
                  <c:v>139900000</c:v>
                </c:pt>
                <c:pt idx="1">
                  <c:v>29471076.120000005</c:v>
                </c:pt>
                <c:pt idx="2">
                  <c:v>110428923.88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69858582864655161"/>
          <c:y val="0.16839427733903797"/>
          <c:w val="0.27412346867830445"/>
          <c:h val="0.51513500245185762"/>
        </c:manualLayout>
      </c:layout>
      <c:overlay val="0"/>
      <c:txPr>
        <a:bodyPr/>
        <a:lstStyle/>
        <a:p>
          <a:pPr>
            <a:defRPr lang="en-GB" sz="800"/>
          </a:pPr>
          <a:endParaRPr lang="en-US"/>
        </a:p>
      </c:txPr>
    </c:legend>
    <c:plotVisOnly val="1"/>
    <c:dispBlanksAs val="zero"/>
    <c:showDLblsOverMax val="0"/>
  </c:chart>
  <c:spPr>
    <a:pattFill prst="pct5">
      <a:fgClr>
        <a:srgbClr val="1DB93B"/>
      </a:fgClr>
      <a:bgClr>
        <a:schemeClr val="bg1"/>
      </a:bgClr>
    </a:pattFill>
    <a:ln w="19050" cmpd="sng">
      <a:solidFill>
        <a:schemeClr val="tx1"/>
      </a:solidFill>
    </a:ln>
  </c:spPr>
  <c:printSettings>
    <c:headerFooter/>
    <c:pageMargins b="0.75000000000000877" l="0.70000000000000062" r="0.70000000000000062" t="0.750000000000008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lang="en-GB" sz="1200" u="sng"/>
            </a:pPr>
            <a:r>
              <a:rPr lang="en-US" sz="1200" u="sng"/>
              <a:t>DURATION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explosion val="25"/>
          <c:dPt>
            <c:idx val="0"/>
            <c:bubble3D val="0"/>
            <c:explosion val="15"/>
          </c:dPt>
          <c:dPt>
            <c:idx val="2"/>
            <c:bubble3D val="0"/>
            <c:explosion val="10"/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GB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Dashboard!$R$26:$R$28</c:f>
              <c:strCache>
                <c:ptCount val="3"/>
                <c:pt idx="0">
                  <c:v>PROJECT DURATION</c:v>
                </c:pt>
                <c:pt idx="1">
                  <c:v>COMPLETED DURATION</c:v>
                </c:pt>
                <c:pt idx="2">
                  <c:v>REMAINING DURATION</c:v>
                </c:pt>
              </c:strCache>
            </c:strRef>
          </c:cat>
          <c:val>
            <c:numRef>
              <c:f>Dashboard!$S$26:$S$28</c:f>
              <c:numCache>
                <c:formatCode>#,##0</c:formatCode>
                <c:ptCount val="3"/>
                <c:pt idx="0">
                  <c:v>731</c:v>
                </c:pt>
                <c:pt idx="1">
                  <c:v>410</c:v>
                </c:pt>
                <c:pt idx="2">
                  <c:v>321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/>
      <c:overlay val="0"/>
      <c:txPr>
        <a:bodyPr/>
        <a:lstStyle/>
        <a:p>
          <a:pPr rtl="0">
            <a:defRPr lang="en-GB" sz="900"/>
          </a:pPr>
          <a:endParaRPr lang="en-US"/>
        </a:p>
      </c:txPr>
    </c:legend>
    <c:plotVisOnly val="1"/>
    <c:dispBlanksAs val="zero"/>
    <c:showDLblsOverMax val="0"/>
  </c:chart>
  <c:spPr>
    <a:pattFill prst="pct5">
      <a:fgClr>
        <a:schemeClr val="accent4">
          <a:lumMod val="60000"/>
          <a:lumOff val="40000"/>
        </a:schemeClr>
      </a:fgClr>
      <a:bgClr>
        <a:schemeClr val="bg1"/>
      </a:bgClr>
    </a:pattFill>
    <a:ln w="19050" cmpd="sng">
      <a:solidFill>
        <a:schemeClr val="tx1"/>
      </a:solidFill>
    </a:ln>
  </c:spPr>
  <c:printSettings>
    <c:headerFooter/>
    <c:pageMargins b="0.75000000000000877" l="0.70000000000000062" r="0.70000000000000062" t="0.75000000000000877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lang="en-GB" sz="1200"/>
            </a:pPr>
            <a:r>
              <a:rPr lang="en-US" sz="1200"/>
              <a:t>OVERALL PROGRESS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238374049397672"/>
          <c:y val="0.16151499736101421"/>
          <c:w val="0.86666000447975133"/>
          <c:h val="0.572650622791667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Dashboard!$R$31</c:f>
              <c:strCache>
                <c:ptCount val="1"/>
                <c:pt idx="0">
                  <c:v>PLANNED </c:v>
                </c:pt>
              </c:strCache>
            </c:strRef>
          </c:tx>
          <c:spPr>
            <a:solidFill>
              <a:srgbClr val="174DF9"/>
            </a:solidFill>
          </c:spPr>
          <c:invertIfNegative val="0"/>
          <c:cat>
            <c:strRef>
              <c:f>Dashboard!$S$30:$AF$30</c:f>
              <c:strCache>
                <c:ptCount val="14"/>
                <c:pt idx="0">
                  <c:v>PRELIMINARIES</c:v>
                </c:pt>
                <c:pt idx="1">
                  <c:v>B1-EARTHWORKS</c:v>
                </c:pt>
                <c:pt idx="2">
                  <c:v>B1-CONCRETE WORKS</c:v>
                </c:pt>
                <c:pt idx="3">
                  <c:v>B1-BLOCK WORKS</c:v>
                </c:pt>
                <c:pt idx="4">
                  <c:v>B1-THERMAL &amp; WATERPROOFING</c:v>
                </c:pt>
                <c:pt idx="5">
                  <c:v>B1-MEP WORK</c:v>
                </c:pt>
                <c:pt idx="6">
                  <c:v>B1-FINISHES</c:v>
                </c:pt>
                <c:pt idx="7">
                  <c:v>B1-EXTERNAL WORK</c:v>
                </c:pt>
                <c:pt idx="8">
                  <c:v>B2-EARTHWORKS</c:v>
                </c:pt>
                <c:pt idx="9">
                  <c:v>B2-CONCRETE WORKS</c:v>
                </c:pt>
                <c:pt idx="10">
                  <c:v>B2-BLOCK WORKS</c:v>
                </c:pt>
                <c:pt idx="11">
                  <c:v>B2-THERMAL &amp; WATERPROOFING</c:v>
                </c:pt>
                <c:pt idx="12">
                  <c:v>B2-FINISHES</c:v>
                </c:pt>
                <c:pt idx="13">
                  <c:v>B2-MEP WORK</c:v>
                </c:pt>
              </c:strCache>
            </c:strRef>
          </c:cat>
          <c:val>
            <c:numRef>
              <c:f>Dashboard!$S$31:$AF$31</c:f>
              <c:numCache>
                <c:formatCode>0.00%</c:formatCode>
                <c:ptCount val="14"/>
                <c:pt idx="0">
                  <c:v>0.64443228454172374</c:v>
                </c:pt>
                <c:pt idx="1">
                  <c:v>0.99999903144979374</c:v>
                </c:pt>
                <c:pt idx="2">
                  <c:v>0.88531061608926531</c:v>
                </c:pt>
                <c:pt idx="3">
                  <c:v>0.98377975999589506</c:v>
                </c:pt>
                <c:pt idx="4">
                  <c:v>0.11064733086020999</c:v>
                </c:pt>
                <c:pt idx="5">
                  <c:v>9.1799484981314683E-2</c:v>
                </c:pt>
                <c:pt idx="6">
                  <c:v>3.1031176334067691E-2</c:v>
                </c:pt>
                <c:pt idx="7">
                  <c:v>7.9815800126292552E-2</c:v>
                </c:pt>
                <c:pt idx="8">
                  <c:v>1.0000043692989751</c:v>
                </c:pt>
                <c:pt idx="9">
                  <c:v>0.62113011645609895</c:v>
                </c:pt>
                <c:pt idx="10">
                  <c:v>0.23072391814174648</c:v>
                </c:pt>
                <c:pt idx="11">
                  <c:v>0.25989628794617964</c:v>
                </c:pt>
                <c:pt idx="12">
                  <c:v>0</c:v>
                </c:pt>
                <c:pt idx="13">
                  <c:v>5.7172482698143916E-3</c:v>
                </c:pt>
              </c:numCache>
            </c:numRef>
          </c:val>
        </c:ser>
        <c:ser>
          <c:idx val="1"/>
          <c:order val="1"/>
          <c:tx>
            <c:strRef>
              <c:f>Dashboard!$R$32</c:f>
              <c:strCache>
                <c:ptCount val="1"/>
                <c:pt idx="0">
                  <c:v>ACTUAL 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cat>
            <c:strRef>
              <c:f>Dashboard!$S$30:$AF$30</c:f>
              <c:strCache>
                <c:ptCount val="14"/>
                <c:pt idx="0">
                  <c:v>PRELIMINARIES</c:v>
                </c:pt>
                <c:pt idx="1">
                  <c:v>B1-EARTHWORKS</c:v>
                </c:pt>
                <c:pt idx="2">
                  <c:v>B1-CONCRETE WORKS</c:v>
                </c:pt>
                <c:pt idx="3">
                  <c:v>B1-BLOCK WORKS</c:v>
                </c:pt>
                <c:pt idx="4">
                  <c:v>B1-THERMAL &amp; WATERPROOFING</c:v>
                </c:pt>
                <c:pt idx="5">
                  <c:v>B1-MEP WORK</c:v>
                </c:pt>
                <c:pt idx="6">
                  <c:v>B1-FINISHES</c:v>
                </c:pt>
                <c:pt idx="7">
                  <c:v>B1-EXTERNAL WORK</c:v>
                </c:pt>
                <c:pt idx="8">
                  <c:v>B2-EARTHWORKS</c:v>
                </c:pt>
                <c:pt idx="9">
                  <c:v>B2-CONCRETE WORKS</c:v>
                </c:pt>
                <c:pt idx="10">
                  <c:v>B2-BLOCK WORKS</c:v>
                </c:pt>
                <c:pt idx="11">
                  <c:v>B2-THERMAL &amp; WATERPROOFING</c:v>
                </c:pt>
                <c:pt idx="12">
                  <c:v>B2-FINISHES</c:v>
                </c:pt>
                <c:pt idx="13">
                  <c:v>B2-MEP WORK</c:v>
                </c:pt>
              </c:strCache>
            </c:strRef>
          </c:cat>
          <c:val>
            <c:numRef>
              <c:f>Dashboard!$S$32:$AF$32</c:f>
              <c:numCache>
                <c:formatCode>0.00%</c:formatCode>
                <c:ptCount val="14"/>
                <c:pt idx="0">
                  <c:v>0.64443228454172374</c:v>
                </c:pt>
                <c:pt idx="1">
                  <c:v>0.99999903144979374</c:v>
                </c:pt>
                <c:pt idx="2">
                  <c:v>0.87671063529643811</c:v>
                </c:pt>
                <c:pt idx="3">
                  <c:v>0.97239503829033958</c:v>
                </c:pt>
                <c:pt idx="4">
                  <c:v>0.11187314325794301</c:v>
                </c:pt>
                <c:pt idx="5">
                  <c:v>1.6999999999999999E-3</c:v>
                </c:pt>
                <c:pt idx="6">
                  <c:v>3.1212299998028534E-2</c:v>
                </c:pt>
                <c:pt idx="7">
                  <c:v>0.1049855866830296</c:v>
                </c:pt>
                <c:pt idx="8">
                  <c:v>1.0000043692989751</c:v>
                </c:pt>
                <c:pt idx="9">
                  <c:v>0.53653580252946553</c:v>
                </c:pt>
                <c:pt idx="10">
                  <c:v>0.39253786730478757</c:v>
                </c:pt>
                <c:pt idx="11">
                  <c:v>0.25989628794617964</c:v>
                </c:pt>
                <c:pt idx="12">
                  <c:v>5.7172482698143916E-3</c:v>
                </c:pt>
                <c:pt idx="13">
                  <c:v>1.3281256589103688E-2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7"/>
        <c:axId val="158309072"/>
        <c:axId val="158309632"/>
      </c:barChart>
      <c:catAx>
        <c:axId val="1583090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5400000" vert="horz"/>
          <a:lstStyle/>
          <a:p>
            <a:pPr>
              <a:defRPr lang="en-GB"/>
            </a:pPr>
            <a:endParaRPr lang="en-US"/>
          </a:p>
        </c:txPr>
        <c:crossAx val="158309632"/>
        <c:crosses val="autoZero"/>
        <c:auto val="1"/>
        <c:lblAlgn val="ctr"/>
        <c:lblOffset val="100"/>
        <c:noMultiLvlLbl val="0"/>
      </c:catAx>
      <c:valAx>
        <c:axId val="158309632"/>
        <c:scaling>
          <c:orientation val="minMax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lang="en-GB" sz="600"/>
            </a:pPr>
            <a:endParaRPr lang="en-US"/>
          </a:p>
        </c:txPr>
        <c:crossAx val="15830907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en-GB" sz="450"/>
            </a:pPr>
            <a:endParaRPr lang="en-US"/>
          </a:p>
        </c:txPr>
      </c:dTable>
      <c:spPr>
        <a:gradFill>
          <a:gsLst>
            <a:gs pos="0">
              <a:srgbClr val="FFEFD1"/>
            </a:gs>
            <a:gs pos="77000">
              <a:srgbClr val="F0EBD5"/>
            </a:gs>
            <a:gs pos="100000">
              <a:srgbClr val="D1C39F"/>
            </a:gs>
          </a:gsLst>
          <a:lin ang="5400000" scaled="0"/>
        </a:gradFill>
      </c:spPr>
    </c:plotArea>
    <c:plotVisOnly val="1"/>
    <c:dispBlanksAs val="gap"/>
    <c:showDLblsOverMax val="0"/>
  </c:chart>
  <c:printSettings>
    <c:headerFooter/>
    <c:pageMargins b="0.75000000000000866" l="0.70000000000000062" r="0.70000000000000062" t="0.75000000000000866" header="0.30000000000000032" footer="0.30000000000000032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GB"/>
            </a:pPr>
            <a:r>
              <a:rPr lang="en-US" sz="1200"/>
              <a:t>S- CURVE</a:t>
            </a:r>
          </a:p>
        </c:rich>
      </c:tx>
      <c:layout>
        <c:manualLayout>
          <c:xMode val="edge"/>
          <c:yMode val="edge"/>
          <c:x val="0.3866163788433149"/>
          <c:y val="2.564103599476525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709662253134589"/>
          <c:y val="0.12693604964104571"/>
          <c:w val="0.69760575376616962"/>
          <c:h val="0.64787589254025024"/>
        </c:manualLayout>
      </c:layout>
      <c:lineChart>
        <c:grouping val="standard"/>
        <c:varyColors val="0"/>
        <c:ser>
          <c:idx val="2"/>
          <c:order val="0"/>
          <c:tx>
            <c:v>PLANNED</c:v>
          </c:tx>
          <c:spPr>
            <a:ln>
              <a:solidFill>
                <a:srgbClr val="1DB93B"/>
              </a:solidFill>
            </a:ln>
          </c:spPr>
          <c:marker>
            <c:symbol val="none"/>
          </c:marker>
          <c:cat>
            <c:numRef>
              <c:f>Cashflow!$D$2:$DC$2</c:f>
              <c:numCache>
                <c:formatCode>d\-mmm\-yy</c:formatCode>
                <c:ptCount val="104"/>
                <c:pt idx="0">
                  <c:v>41924</c:v>
                </c:pt>
                <c:pt idx="1">
                  <c:v>41931</c:v>
                </c:pt>
                <c:pt idx="2">
                  <c:v>41938</c:v>
                </c:pt>
                <c:pt idx="3">
                  <c:v>41945</c:v>
                </c:pt>
                <c:pt idx="4">
                  <c:v>41952</c:v>
                </c:pt>
                <c:pt idx="5">
                  <c:v>41959</c:v>
                </c:pt>
                <c:pt idx="6">
                  <c:v>41966</c:v>
                </c:pt>
                <c:pt idx="7">
                  <c:v>41973</c:v>
                </c:pt>
                <c:pt idx="8">
                  <c:v>41980</c:v>
                </c:pt>
                <c:pt idx="9">
                  <c:v>41987</c:v>
                </c:pt>
                <c:pt idx="10">
                  <c:v>41994</c:v>
                </c:pt>
                <c:pt idx="11">
                  <c:v>42001</c:v>
                </c:pt>
                <c:pt idx="12">
                  <c:v>42008</c:v>
                </c:pt>
                <c:pt idx="13">
                  <c:v>42015</c:v>
                </c:pt>
                <c:pt idx="14">
                  <c:v>42022</c:v>
                </c:pt>
                <c:pt idx="15">
                  <c:v>42029</c:v>
                </c:pt>
                <c:pt idx="16">
                  <c:v>42036</c:v>
                </c:pt>
                <c:pt idx="17">
                  <c:v>42043</c:v>
                </c:pt>
                <c:pt idx="18">
                  <c:v>42050</c:v>
                </c:pt>
                <c:pt idx="19">
                  <c:v>42057</c:v>
                </c:pt>
                <c:pt idx="20">
                  <c:v>42064</c:v>
                </c:pt>
                <c:pt idx="21">
                  <c:v>42071</c:v>
                </c:pt>
                <c:pt idx="22">
                  <c:v>42078</c:v>
                </c:pt>
                <c:pt idx="23">
                  <c:v>42085</c:v>
                </c:pt>
                <c:pt idx="24">
                  <c:v>42092</c:v>
                </c:pt>
                <c:pt idx="25">
                  <c:v>42099</c:v>
                </c:pt>
                <c:pt idx="26">
                  <c:v>42106</c:v>
                </c:pt>
                <c:pt idx="27">
                  <c:v>42113</c:v>
                </c:pt>
                <c:pt idx="28">
                  <c:v>42120</c:v>
                </c:pt>
                <c:pt idx="29">
                  <c:v>42127</c:v>
                </c:pt>
                <c:pt idx="30">
                  <c:v>42134</c:v>
                </c:pt>
                <c:pt idx="31">
                  <c:v>42141</c:v>
                </c:pt>
                <c:pt idx="32">
                  <c:v>42148</c:v>
                </c:pt>
                <c:pt idx="33">
                  <c:v>42155</c:v>
                </c:pt>
                <c:pt idx="34">
                  <c:v>42162</c:v>
                </c:pt>
                <c:pt idx="35">
                  <c:v>42169</c:v>
                </c:pt>
                <c:pt idx="36">
                  <c:v>42176</c:v>
                </c:pt>
                <c:pt idx="37">
                  <c:v>42183</c:v>
                </c:pt>
                <c:pt idx="38">
                  <c:v>42190</c:v>
                </c:pt>
                <c:pt idx="39">
                  <c:v>42197</c:v>
                </c:pt>
                <c:pt idx="40">
                  <c:v>42204</c:v>
                </c:pt>
                <c:pt idx="41">
                  <c:v>42211</c:v>
                </c:pt>
                <c:pt idx="42">
                  <c:v>42218</c:v>
                </c:pt>
                <c:pt idx="43">
                  <c:v>42225</c:v>
                </c:pt>
                <c:pt idx="44">
                  <c:v>42232</c:v>
                </c:pt>
                <c:pt idx="45">
                  <c:v>42239</c:v>
                </c:pt>
                <c:pt idx="46">
                  <c:v>42246</c:v>
                </c:pt>
                <c:pt idx="47">
                  <c:v>42253</c:v>
                </c:pt>
                <c:pt idx="48">
                  <c:v>42260</c:v>
                </c:pt>
                <c:pt idx="49">
                  <c:v>42267</c:v>
                </c:pt>
                <c:pt idx="50">
                  <c:v>42274</c:v>
                </c:pt>
                <c:pt idx="51">
                  <c:v>42281</c:v>
                </c:pt>
                <c:pt idx="52">
                  <c:v>42288</c:v>
                </c:pt>
                <c:pt idx="53">
                  <c:v>42295</c:v>
                </c:pt>
                <c:pt idx="54">
                  <c:v>42302</c:v>
                </c:pt>
                <c:pt idx="55">
                  <c:v>42309</c:v>
                </c:pt>
                <c:pt idx="56">
                  <c:v>42316</c:v>
                </c:pt>
                <c:pt idx="57">
                  <c:v>42323</c:v>
                </c:pt>
                <c:pt idx="58">
                  <c:v>42330</c:v>
                </c:pt>
                <c:pt idx="59">
                  <c:v>42337</c:v>
                </c:pt>
                <c:pt idx="60">
                  <c:v>42344</c:v>
                </c:pt>
                <c:pt idx="61">
                  <c:v>42351</c:v>
                </c:pt>
                <c:pt idx="62">
                  <c:v>42358</c:v>
                </c:pt>
                <c:pt idx="63">
                  <c:v>42365</c:v>
                </c:pt>
                <c:pt idx="64">
                  <c:v>42372</c:v>
                </c:pt>
                <c:pt idx="65">
                  <c:v>42379</c:v>
                </c:pt>
                <c:pt idx="66">
                  <c:v>42386</c:v>
                </c:pt>
                <c:pt idx="67">
                  <c:v>42393</c:v>
                </c:pt>
                <c:pt idx="68">
                  <c:v>42400</c:v>
                </c:pt>
                <c:pt idx="69">
                  <c:v>42407</c:v>
                </c:pt>
                <c:pt idx="70">
                  <c:v>42414</c:v>
                </c:pt>
                <c:pt idx="71">
                  <c:v>42421</c:v>
                </c:pt>
                <c:pt idx="72">
                  <c:v>42428</c:v>
                </c:pt>
                <c:pt idx="73">
                  <c:v>42435</c:v>
                </c:pt>
                <c:pt idx="74">
                  <c:v>42442</c:v>
                </c:pt>
                <c:pt idx="75">
                  <c:v>42449</c:v>
                </c:pt>
                <c:pt idx="76">
                  <c:v>42456</c:v>
                </c:pt>
                <c:pt idx="77">
                  <c:v>42463</c:v>
                </c:pt>
                <c:pt idx="78">
                  <c:v>42470</c:v>
                </c:pt>
                <c:pt idx="79">
                  <c:v>42477</c:v>
                </c:pt>
                <c:pt idx="80">
                  <c:v>42484</c:v>
                </c:pt>
                <c:pt idx="81">
                  <c:v>42491</c:v>
                </c:pt>
                <c:pt idx="82">
                  <c:v>42498</c:v>
                </c:pt>
                <c:pt idx="83">
                  <c:v>42505</c:v>
                </c:pt>
                <c:pt idx="84">
                  <c:v>42512</c:v>
                </c:pt>
                <c:pt idx="85">
                  <c:v>42519</c:v>
                </c:pt>
                <c:pt idx="86">
                  <c:v>42526</c:v>
                </c:pt>
                <c:pt idx="87">
                  <c:v>42533</c:v>
                </c:pt>
                <c:pt idx="88">
                  <c:v>42540</c:v>
                </c:pt>
                <c:pt idx="89">
                  <c:v>42547</c:v>
                </c:pt>
                <c:pt idx="90">
                  <c:v>42554</c:v>
                </c:pt>
                <c:pt idx="91">
                  <c:v>42561</c:v>
                </c:pt>
                <c:pt idx="92">
                  <c:v>42568</c:v>
                </c:pt>
                <c:pt idx="93">
                  <c:v>42575</c:v>
                </c:pt>
                <c:pt idx="94">
                  <c:v>42582</c:v>
                </c:pt>
                <c:pt idx="95">
                  <c:v>42589</c:v>
                </c:pt>
                <c:pt idx="96">
                  <c:v>42596</c:v>
                </c:pt>
                <c:pt idx="97">
                  <c:v>42603</c:v>
                </c:pt>
                <c:pt idx="98">
                  <c:v>42610</c:v>
                </c:pt>
                <c:pt idx="99">
                  <c:v>42617</c:v>
                </c:pt>
                <c:pt idx="100">
                  <c:v>42624</c:v>
                </c:pt>
                <c:pt idx="101">
                  <c:v>42631</c:v>
                </c:pt>
                <c:pt idx="102">
                  <c:v>42638</c:v>
                </c:pt>
                <c:pt idx="103">
                  <c:v>42645</c:v>
                </c:pt>
              </c:numCache>
            </c:numRef>
          </c:cat>
          <c:val>
            <c:numRef>
              <c:f>Cashflow!$D$10:$DC$10</c:f>
              <c:numCache>
                <c:formatCode>0.00%</c:formatCode>
                <c:ptCount val="104"/>
                <c:pt idx="0">
                  <c:v>3.2209060549157065E-4</c:v>
                </c:pt>
                <c:pt idx="1">
                  <c:v>1.0155574612210273E-3</c:v>
                </c:pt>
                <c:pt idx="2">
                  <c:v>2.0335451451395539E-3</c:v>
                </c:pt>
                <c:pt idx="3">
                  <c:v>3.0515328290580805E-3</c:v>
                </c:pt>
                <c:pt idx="4">
                  <c:v>1.0096335411485576E-2</c:v>
                </c:pt>
                <c:pt idx="5">
                  <c:v>1.9292247262640269E-2</c:v>
                </c:pt>
                <c:pt idx="6">
                  <c:v>2.2391001140516457E-2</c:v>
                </c:pt>
                <c:pt idx="7">
                  <c:v>2.3103902887167564E-2</c:v>
                </c:pt>
                <c:pt idx="8">
                  <c:v>2.3820714308987835E-2</c:v>
                </c:pt>
                <c:pt idx="9">
                  <c:v>2.4518516302882796E-2</c:v>
                </c:pt>
                <c:pt idx="10">
                  <c:v>2.5275706349785258E-2</c:v>
                </c:pt>
                <c:pt idx="11">
                  <c:v>2.6284826740794399E-2</c:v>
                </c:pt>
                <c:pt idx="12">
                  <c:v>2.7448700068162673E-2</c:v>
                </c:pt>
                <c:pt idx="13">
                  <c:v>2.9364516698294086E-2</c:v>
                </c:pt>
                <c:pt idx="14">
                  <c:v>3.2229914775071963E-2</c:v>
                </c:pt>
                <c:pt idx="15">
                  <c:v>3.3999003413927455E-2</c:v>
                </c:pt>
                <c:pt idx="16">
                  <c:v>3.592590514457536E-2</c:v>
                </c:pt>
                <c:pt idx="17">
                  <c:v>3.8275295919674157E-2</c:v>
                </c:pt>
                <c:pt idx="18">
                  <c:v>4.0831484632981099E-2</c:v>
                </c:pt>
                <c:pt idx="19">
                  <c:v>4.3049084746899148E-2</c:v>
                </c:pt>
                <c:pt idx="20">
                  <c:v>4.5172659929262178E-2</c:v>
                </c:pt>
                <c:pt idx="21">
                  <c:v>4.8267873696257547E-2</c:v>
                </c:pt>
                <c:pt idx="22">
                  <c:v>5.1516468244534604E-2</c:v>
                </c:pt>
                <c:pt idx="23">
                  <c:v>5.4431038832698841E-2</c:v>
                </c:pt>
                <c:pt idx="24">
                  <c:v>5.6324027063299698E-2</c:v>
                </c:pt>
                <c:pt idx="25">
                  <c:v>5.8626850980246059E-2</c:v>
                </c:pt>
                <c:pt idx="26">
                  <c:v>6.1118002917898484E-2</c:v>
                </c:pt>
                <c:pt idx="27">
                  <c:v>6.3632214795264402E-2</c:v>
                </c:pt>
                <c:pt idx="28">
                  <c:v>6.6565309090253516E-2</c:v>
                </c:pt>
                <c:pt idx="29">
                  <c:v>7.0467165120016204E-2</c:v>
                </c:pt>
                <c:pt idx="30">
                  <c:v>7.5581552368855748E-2</c:v>
                </c:pt>
                <c:pt idx="31">
                  <c:v>8.0010700981470201E-2</c:v>
                </c:pt>
                <c:pt idx="32">
                  <c:v>8.5776732164905473E-2</c:v>
                </c:pt>
                <c:pt idx="33">
                  <c:v>9.1640715673900669E-2</c:v>
                </c:pt>
                <c:pt idx="34">
                  <c:v>9.7634850218954863E-2</c:v>
                </c:pt>
                <c:pt idx="35">
                  <c:v>0.10554897699247145</c:v>
                </c:pt>
                <c:pt idx="36">
                  <c:v>0.1136894843223952</c:v>
                </c:pt>
                <c:pt idx="37">
                  <c:v>0.11974782904535396</c:v>
                </c:pt>
                <c:pt idx="38">
                  <c:v>0.12853252953944369</c:v>
                </c:pt>
                <c:pt idx="39">
                  <c:v>0.13648749710434141</c:v>
                </c:pt>
                <c:pt idx="40">
                  <c:v>0.14056742398798761</c:v>
                </c:pt>
                <c:pt idx="41">
                  <c:v>0.14889749881336531</c:v>
                </c:pt>
                <c:pt idx="42">
                  <c:v>0.16235110015055804</c:v>
                </c:pt>
                <c:pt idx="43">
                  <c:v>0.171934148101651</c:v>
                </c:pt>
                <c:pt idx="44">
                  <c:v>0.1771609109489706</c:v>
                </c:pt>
                <c:pt idx="45">
                  <c:v>0.1823607680254665</c:v>
                </c:pt>
                <c:pt idx="46">
                  <c:v>0.18963753301943709</c:v>
                </c:pt>
                <c:pt idx="47">
                  <c:v>0.19669600638676837</c:v>
                </c:pt>
                <c:pt idx="48">
                  <c:v>0.20407069079988965</c:v>
                </c:pt>
                <c:pt idx="49">
                  <c:v>0.20827989641849873</c:v>
                </c:pt>
                <c:pt idx="50">
                  <c:v>0.21414716529495453</c:v>
                </c:pt>
                <c:pt idx="51">
                  <c:v>0.22296318910468224</c:v>
                </c:pt>
                <c:pt idx="52">
                  <c:v>0.23194551100819932</c:v>
                </c:pt>
                <c:pt idx="53">
                  <c:v>0.24361062059701868</c:v>
                </c:pt>
                <c:pt idx="54">
                  <c:v>0.25758556485545986</c:v>
                </c:pt>
                <c:pt idx="55">
                  <c:v>0.27148951220003004</c:v>
                </c:pt>
                <c:pt idx="56">
                  <c:v>0.28344168788110519</c:v>
                </c:pt>
                <c:pt idx="57">
                  <c:v>0.29844184847563232</c:v>
                </c:pt>
                <c:pt idx="58">
                  <c:v>0.31293085588571973</c:v>
                </c:pt>
                <c:pt idx="59">
                  <c:v>0.32895821127903169</c:v>
                </c:pt>
                <c:pt idx="60">
                  <c:v>0.34418976608703988</c:v>
                </c:pt>
                <c:pt idx="61">
                  <c:v>0.36034021620101486</c:v>
                </c:pt>
                <c:pt idx="62">
                  <c:v>0.37836785630507958</c:v>
                </c:pt>
                <c:pt idx="63">
                  <c:v>0.39747117008314642</c:v>
                </c:pt>
                <c:pt idx="64">
                  <c:v>0.41677150402554364</c:v>
                </c:pt>
                <c:pt idx="65">
                  <c:v>0.44209444689297184</c:v>
                </c:pt>
                <c:pt idx="66">
                  <c:v>0.47216608646620273</c:v>
                </c:pt>
                <c:pt idx="67">
                  <c:v>0.50310575359143572</c:v>
                </c:pt>
                <c:pt idx="68">
                  <c:v>0.53136754297700095</c:v>
                </c:pt>
                <c:pt idx="69">
                  <c:v>0.56490427321645964</c:v>
                </c:pt>
                <c:pt idx="70">
                  <c:v>0.60187381117686445</c:v>
                </c:pt>
                <c:pt idx="71">
                  <c:v>0.63554717649157133</c:v>
                </c:pt>
                <c:pt idx="72">
                  <c:v>0.66642778413569925</c:v>
                </c:pt>
                <c:pt idx="73">
                  <c:v>0.68992374902945441</c:v>
                </c:pt>
                <c:pt idx="74">
                  <c:v>0.71324479385801043</c:v>
                </c:pt>
                <c:pt idx="75">
                  <c:v>0.73557148195293709</c:v>
                </c:pt>
                <c:pt idx="76">
                  <c:v>0.75582712910409211</c:v>
                </c:pt>
                <c:pt idx="77">
                  <c:v>0.77257272587145642</c:v>
                </c:pt>
                <c:pt idx="78">
                  <c:v>0.78932118479329594</c:v>
                </c:pt>
                <c:pt idx="79">
                  <c:v>0.81008954600363137</c:v>
                </c:pt>
                <c:pt idx="80">
                  <c:v>0.83054801651907384</c:v>
                </c:pt>
                <c:pt idx="81">
                  <c:v>0.85036323085925947</c:v>
                </c:pt>
                <c:pt idx="82">
                  <c:v>0.86911144384084638</c:v>
                </c:pt>
                <c:pt idx="83">
                  <c:v>0.88929338140875369</c:v>
                </c:pt>
                <c:pt idx="84">
                  <c:v>0.90611640337109589</c:v>
                </c:pt>
                <c:pt idx="85">
                  <c:v>0.92219330941824906</c:v>
                </c:pt>
                <c:pt idx="86">
                  <c:v>0.9387063566618542</c:v>
                </c:pt>
                <c:pt idx="87">
                  <c:v>0.95015293999008632</c:v>
                </c:pt>
                <c:pt idx="88">
                  <c:v>0.95837784635342227</c:v>
                </c:pt>
                <c:pt idx="89">
                  <c:v>0.96675025154770178</c:v>
                </c:pt>
                <c:pt idx="90">
                  <c:v>0.97239676616060144</c:v>
                </c:pt>
                <c:pt idx="91">
                  <c:v>0.97652980209030815</c:v>
                </c:pt>
                <c:pt idx="92">
                  <c:v>0.97977273040804091</c:v>
                </c:pt>
                <c:pt idx="93">
                  <c:v>0.98284431406850126</c:v>
                </c:pt>
                <c:pt idx="94">
                  <c:v>0.98651853734048478</c:v>
                </c:pt>
                <c:pt idx="95">
                  <c:v>0.98994420873002276</c:v>
                </c:pt>
                <c:pt idx="96">
                  <c:v>0.99273753199708858</c:v>
                </c:pt>
                <c:pt idx="97">
                  <c:v>0.99436727703977668</c:v>
                </c:pt>
                <c:pt idx="98">
                  <c:v>0.99574581223403213</c:v>
                </c:pt>
                <c:pt idx="99">
                  <c:v>0.99647297672938906</c:v>
                </c:pt>
                <c:pt idx="100">
                  <c:v>0.99715277554241555</c:v>
                </c:pt>
                <c:pt idx="101">
                  <c:v>0.99799506620425016</c:v>
                </c:pt>
                <c:pt idx="102">
                  <c:v>0.9988359482186433</c:v>
                </c:pt>
                <c:pt idx="103">
                  <c:v>0.99955871471615554</c:v>
                </c:pt>
              </c:numCache>
            </c:numRef>
          </c:val>
          <c:smooth val="0"/>
        </c:ser>
        <c:ser>
          <c:idx val="3"/>
          <c:order val="1"/>
          <c:tx>
            <c:v>ACTUAL</c:v>
          </c:tx>
          <c:spPr>
            <a:ln>
              <a:solidFill>
                <a:srgbClr val="174DF9"/>
              </a:solidFill>
            </a:ln>
          </c:spPr>
          <c:marker>
            <c:symbol val="none"/>
          </c:marker>
          <c:cat>
            <c:numRef>
              <c:f>Cashflow!$D$2:$DC$2</c:f>
              <c:numCache>
                <c:formatCode>d\-mmm\-yy</c:formatCode>
                <c:ptCount val="104"/>
                <c:pt idx="0">
                  <c:v>41924</c:v>
                </c:pt>
                <c:pt idx="1">
                  <c:v>41931</c:v>
                </c:pt>
                <c:pt idx="2">
                  <c:v>41938</c:v>
                </c:pt>
                <c:pt idx="3">
                  <c:v>41945</c:v>
                </c:pt>
                <c:pt idx="4">
                  <c:v>41952</c:v>
                </c:pt>
                <c:pt idx="5">
                  <c:v>41959</c:v>
                </c:pt>
                <c:pt idx="6">
                  <c:v>41966</c:v>
                </c:pt>
                <c:pt idx="7">
                  <c:v>41973</c:v>
                </c:pt>
                <c:pt idx="8">
                  <c:v>41980</c:v>
                </c:pt>
                <c:pt idx="9">
                  <c:v>41987</c:v>
                </c:pt>
                <c:pt idx="10">
                  <c:v>41994</c:v>
                </c:pt>
                <c:pt idx="11">
                  <c:v>42001</c:v>
                </c:pt>
                <c:pt idx="12">
                  <c:v>42008</c:v>
                </c:pt>
                <c:pt idx="13">
                  <c:v>42015</c:v>
                </c:pt>
                <c:pt idx="14">
                  <c:v>42022</c:v>
                </c:pt>
                <c:pt idx="15">
                  <c:v>42029</c:v>
                </c:pt>
                <c:pt idx="16">
                  <c:v>42036</c:v>
                </c:pt>
                <c:pt idx="17">
                  <c:v>42043</c:v>
                </c:pt>
                <c:pt idx="18">
                  <c:v>42050</c:v>
                </c:pt>
                <c:pt idx="19">
                  <c:v>42057</c:v>
                </c:pt>
                <c:pt idx="20">
                  <c:v>42064</c:v>
                </c:pt>
                <c:pt idx="21">
                  <c:v>42071</c:v>
                </c:pt>
                <c:pt idx="22">
                  <c:v>42078</c:v>
                </c:pt>
                <c:pt idx="23">
                  <c:v>42085</c:v>
                </c:pt>
                <c:pt idx="24">
                  <c:v>42092</c:v>
                </c:pt>
                <c:pt idx="25">
                  <c:v>42099</c:v>
                </c:pt>
                <c:pt idx="26">
                  <c:v>42106</c:v>
                </c:pt>
                <c:pt idx="27">
                  <c:v>42113</c:v>
                </c:pt>
                <c:pt idx="28">
                  <c:v>42120</c:v>
                </c:pt>
                <c:pt idx="29">
                  <c:v>42127</c:v>
                </c:pt>
                <c:pt idx="30">
                  <c:v>42134</c:v>
                </c:pt>
                <c:pt idx="31">
                  <c:v>42141</c:v>
                </c:pt>
                <c:pt idx="32">
                  <c:v>42148</c:v>
                </c:pt>
                <c:pt idx="33">
                  <c:v>42155</c:v>
                </c:pt>
                <c:pt idx="34">
                  <c:v>42162</c:v>
                </c:pt>
                <c:pt idx="35">
                  <c:v>42169</c:v>
                </c:pt>
                <c:pt idx="36">
                  <c:v>42176</c:v>
                </c:pt>
                <c:pt idx="37">
                  <c:v>42183</c:v>
                </c:pt>
                <c:pt idx="38">
                  <c:v>42190</c:v>
                </c:pt>
                <c:pt idx="39">
                  <c:v>42197</c:v>
                </c:pt>
                <c:pt idx="40">
                  <c:v>42204</c:v>
                </c:pt>
                <c:pt idx="41">
                  <c:v>42211</c:v>
                </c:pt>
                <c:pt idx="42">
                  <c:v>42218</c:v>
                </c:pt>
                <c:pt idx="43">
                  <c:v>42225</c:v>
                </c:pt>
                <c:pt idx="44">
                  <c:v>42232</c:v>
                </c:pt>
                <c:pt idx="45">
                  <c:v>42239</c:v>
                </c:pt>
                <c:pt idx="46">
                  <c:v>42246</c:v>
                </c:pt>
                <c:pt idx="47">
                  <c:v>42253</c:v>
                </c:pt>
                <c:pt idx="48">
                  <c:v>42260</c:v>
                </c:pt>
                <c:pt idx="49">
                  <c:v>42267</c:v>
                </c:pt>
                <c:pt idx="50">
                  <c:v>42274</c:v>
                </c:pt>
                <c:pt idx="51">
                  <c:v>42281</c:v>
                </c:pt>
                <c:pt idx="52">
                  <c:v>42288</c:v>
                </c:pt>
                <c:pt idx="53">
                  <c:v>42295</c:v>
                </c:pt>
                <c:pt idx="54">
                  <c:v>42302</c:v>
                </c:pt>
                <c:pt idx="55">
                  <c:v>42309</c:v>
                </c:pt>
                <c:pt idx="56">
                  <c:v>42316</c:v>
                </c:pt>
                <c:pt idx="57">
                  <c:v>42323</c:v>
                </c:pt>
                <c:pt idx="58">
                  <c:v>42330</c:v>
                </c:pt>
                <c:pt idx="59">
                  <c:v>42337</c:v>
                </c:pt>
                <c:pt idx="60">
                  <c:v>42344</c:v>
                </c:pt>
                <c:pt idx="61">
                  <c:v>42351</c:v>
                </c:pt>
                <c:pt idx="62">
                  <c:v>42358</c:v>
                </c:pt>
                <c:pt idx="63">
                  <c:v>42365</c:v>
                </c:pt>
                <c:pt idx="64">
                  <c:v>42372</c:v>
                </c:pt>
                <c:pt idx="65">
                  <c:v>42379</c:v>
                </c:pt>
                <c:pt idx="66">
                  <c:v>42386</c:v>
                </c:pt>
                <c:pt idx="67">
                  <c:v>42393</c:v>
                </c:pt>
                <c:pt idx="68">
                  <c:v>42400</c:v>
                </c:pt>
                <c:pt idx="69">
                  <c:v>42407</c:v>
                </c:pt>
                <c:pt idx="70">
                  <c:v>42414</c:v>
                </c:pt>
                <c:pt idx="71">
                  <c:v>42421</c:v>
                </c:pt>
                <c:pt idx="72">
                  <c:v>42428</c:v>
                </c:pt>
                <c:pt idx="73">
                  <c:v>42435</c:v>
                </c:pt>
                <c:pt idx="74">
                  <c:v>42442</c:v>
                </c:pt>
                <c:pt idx="75">
                  <c:v>42449</c:v>
                </c:pt>
                <c:pt idx="76">
                  <c:v>42456</c:v>
                </c:pt>
                <c:pt idx="77">
                  <c:v>42463</c:v>
                </c:pt>
                <c:pt idx="78">
                  <c:v>42470</c:v>
                </c:pt>
                <c:pt idx="79">
                  <c:v>42477</c:v>
                </c:pt>
                <c:pt idx="80">
                  <c:v>42484</c:v>
                </c:pt>
                <c:pt idx="81">
                  <c:v>42491</c:v>
                </c:pt>
                <c:pt idx="82">
                  <c:v>42498</c:v>
                </c:pt>
                <c:pt idx="83">
                  <c:v>42505</c:v>
                </c:pt>
                <c:pt idx="84">
                  <c:v>42512</c:v>
                </c:pt>
                <c:pt idx="85">
                  <c:v>42519</c:v>
                </c:pt>
                <c:pt idx="86">
                  <c:v>42526</c:v>
                </c:pt>
                <c:pt idx="87">
                  <c:v>42533</c:v>
                </c:pt>
                <c:pt idx="88">
                  <c:v>42540</c:v>
                </c:pt>
                <c:pt idx="89">
                  <c:v>42547</c:v>
                </c:pt>
                <c:pt idx="90">
                  <c:v>42554</c:v>
                </c:pt>
                <c:pt idx="91">
                  <c:v>42561</c:v>
                </c:pt>
                <c:pt idx="92">
                  <c:v>42568</c:v>
                </c:pt>
                <c:pt idx="93">
                  <c:v>42575</c:v>
                </c:pt>
                <c:pt idx="94">
                  <c:v>42582</c:v>
                </c:pt>
                <c:pt idx="95">
                  <c:v>42589</c:v>
                </c:pt>
                <c:pt idx="96">
                  <c:v>42596</c:v>
                </c:pt>
                <c:pt idx="97">
                  <c:v>42603</c:v>
                </c:pt>
                <c:pt idx="98">
                  <c:v>42610</c:v>
                </c:pt>
                <c:pt idx="99">
                  <c:v>42617</c:v>
                </c:pt>
                <c:pt idx="100">
                  <c:v>42624</c:v>
                </c:pt>
                <c:pt idx="101">
                  <c:v>42631</c:v>
                </c:pt>
                <c:pt idx="102">
                  <c:v>42638</c:v>
                </c:pt>
                <c:pt idx="103">
                  <c:v>42645</c:v>
                </c:pt>
              </c:numCache>
            </c:numRef>
          </c:cat>
          <c:val>
            <c:numRef>
              <c:f>Cashflow!$D$14:$DC$14</c:f>
              <c:numCache>
                <c:formatCode>0.00%</c:formatCode>
                <c:ptCount val="104"/>
                <c:pt idx="0">
                  <c:v>5.0838615782873803E-4</c:v>
                </c:pt>
                <c:pt idx="1">
                  <c:v>1.3881485658953621E-3</c:v>
                </c:pt>
                <c:pt idx="2">
                  <c:v>2.5924318021510566E-3</c:v>
                </c:pt>
                <c:pt idx="3">
                  <c:v>3.7967150384067504E-3</c:v>
                </c:pt>
                <c:pt idx="4">
                  <c:v>1.1027813173171416E-2</c:v>
                </c:pt>
                <c:pt idx="5">
                  <c:v>2.0410020576663274E-2</c:v>
                </c:pt>
                <c:pt idx="6">
                  <c:v>2.3570700655045566E-2</c:v>
                </c:pt>
                <c:pt idx="7">
                  <c:v>2.4320654731836557E-2</c:v>
                </c:pt>
                <c:pt idx="8">
                  <c:v>2.5070608808627555E-2</c:v>
                </c:pt>
                <c:pt idx="9">
                  <c:v>2.5820562885418549E-2</c:v>
                </c:pt>
                <c:pt idx="10">
                  <c:v>2.6570516962209544E-2</c:v>
                </c:pt>
                <c:pt idx="11">
                  <c:v>2.7320471039000538E-2</c:v>
                </c:pt>
                <c:pt idx="12">
                  <c:v>2.8070425115791532E-2</c:v>
                </c:pt>
                <c:pt idx="13">
                  <c:v>2.9011141167975305E-2</c:v>
                </c:pt>
                <c:pt idx="14">
                  <c:v>2.9920294278361528E-2</c:v>
                </c:pt>
                <c:pt idx="15">
                  <c:v>3.0859872528164401E-2</c:v>
                </c:pt>
                <c:pt idx="16">
                  <c:v>3.3419776853201424E-2</c:v>
                </c:pt>
                <c:pt idx="17">
                  <c:v>3.5365709457190912E-2</c:v>
                </c:pt>
                <c:pt idx="18">
                  <c:v>4.0152990263766938E-2</c:v>
                </c:pt>
                <c:pt idx="19">
                  <c:v>4.2114556365282906E-2</c:v>
                </c:pt>
                <c:pt idx="20">
                  <c:v>4.3896437581667475E-2</c:v>
                </c:pt>
                <c:pt idx="21">
                  <c:v>4.5937738444024927E-2</c:v>
                </c:pt>
                <c:pt idx="22">
                  <c:v>4.74117051119907E-2</c:v>
                </c:pt>
                <c:pt idx="23">
                  <c:v>4.87E-2</c:v>
                </c:pt>
                <c:pt idx="24">
                  <c:v>5.0299999999999997E-2</c:v>
                </c:pt>
                <c:pt idx="25">
                  <c:v>5.21E-2</c:v>
                </c:pt>
                <c:pt idx="26">
                  <c:v>5.3699999999999998E-2</c:v>
                </c:pt>
                <c:pt idx="27">
                  <c:v>5.5100000000000003E-2</c:v>
                </c:pt>
                <c:pt idx="28">
                  <c:v>5.7099999999999998E-2</c:v>
                </c:pt>
                <c:pt idx="29">
                  <c:v>5.8599999999999999E-2</c:v>
                </c:pt>
                <c:pt idx="30">
                  <c:v>6.0299999999999999E-2</c:v>
                </c:pt>
                <c:pt idx="31">
                  <c:v>6.2600000000000003E-2</c:v>
                </c:pt>
                <c:pt idx="32">
                  <c:v>6.5699999999999995E-2</c:v>
                </c:pt>
                <c:pt idx="33">
                  <c:v>6.8099999999999994E-2</c:v>
                </c:pt>
                <c:pt idx="34">
                  <c:v>7.1599999999999997E-2</c:v>
                </c:pt>
                <c:pt idx="35">
                  <c:v>7.5200000000000003E-2</c:v>
                </c:pt>
                <c:pt idx="36">
                  <c:v>7.8200000000000006E-2</c:v>
                </c:pt>
                <c:pt idx="37">
                  <c:v>8.2100000000000006E-2</c:v>
                </c:pt>
                <c:pt idx="38">
                  <c:v>8.539511848747755E-2</c:v>
                </c:pt>
                <c:pt idx="39">
                  <c:v>8.8256099367927415E-2</c:v>
                </c:pt>
                <c:pt idx="40">
                  <c:v>9.01E-2</c:v>
                </c:pt>
                <c:pt idx="41">
                  <c:v>9.3899999999999997E-2</c:v>
                </c:pt>
                <c:pt idx="42">
                  <c:v>9.7000000000000003E-2</c:v>
                </c:pt>
                <c:pt idx="43">
                  <c:v>0.1003</c:v>
                </c:pt>
                <c:pt idx="44">
                  <c:v>0.10440000000000001</c:v>
                </c:pt>
                <c:pt idx="45">
                  <c:v>0.108</c:v>
                </c:pt>
                <c:pt idx="46">
                  <c:v>0.1125</c:v>
                </c:pt>
                <c:pt idx="47">
                  <c:v>0.11749999999999999</c:v>
                </c:pt>
                <c:pt idx="48">
                  <c:v>0.1232</c:v>
                </c:pt>
                <c:pt idx="49">
                  <c:v>0.12839999999999999</c:v>
                </c:pt>
                <c:pt idx="50">
                  <c:v>0.13435967713728447</c:v>
                </c:pt>
                <c:pt idx="51">
                  <c:v>0.14034267933103964</c:v>
                </c:pt>
                <c:pt idx="52">
                  <c:v>0.14652297198026451</c:v>
                </c:pt>
                <c:pt idx="53">
                  <c:v>0.15380659675673916</c:v>
                </c:pt>
                <c:pt idx="54">
                  <c:v>0.16311955405701012</c:v>
                </c:pt>
                <c:pt idx="55">
                  <c:v>0.17335316926029049</c:v>
                </c:pt>
                <c:pt idx="56">
                  <c:v>0.18399039817036872</c:v>
                </c:pt>
                <c:pt idx="57">
                  <c:v>0.1946</c:v>
                </c:pt>
                <c:pt idx="58">
                  <c:v>0.20647682438535853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456256"/>
        <c:axId val="158456816"/>
      </c:lineChart>
      <c:dateAx>
        <c:axId val="158456256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158456816"/>
        <c:crosses val="autoZero"/>
        <c:auto val="1"/>
        <c:lblOffset val="100"/>
        <c:baseTimeUnit val="days"/>
        <c:majorUnit val="1"/>
        <c:majorTimeUnit val="months"/>
      </c:dateAx>
      <c:valAx>
        <c:axId val="158456816"/>
        <c:scaling>
          <c:orientation val="minMax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lang="en-GB" sz="900"/>
            </a:pPr>
            <a:endParaRPr lang="en-US"/>
          </a:p>
        </c:txPr>
        <c:crossAx val="158456256"/>
        <c:crosses val="autoZero"/>
        <c:crossBetween val="between"/>
      </c:valAx>
      <c:spPr>
        <a:ln>
          <a:solidFill>
            <a:schemeClr val="tx1"/>
          </a:solidFill>
        </a:ln>
      </c:spPr>
    </c:plotArea>
    <c:legend>
      <c:legendPos val="r"/>
      <c:layout/>
      <c:overlay val="0"/>
      <c:txPr>
        <a:bodyPr/>
        <a:lstStyle/>
        <a:p>
          <a:pPr>
            <a:defRPr lang="en-GB" sz="800"/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5E9EFF"/>
        </a:gs>
        <a:gs pos="0">
          <a:srgbClr val="85C2FF"/>
        </a:gs>
        <a:gs pos="51000">
          <a:srgbClr val="C4D6EB">
            <a:lumMod val="0"/>
            <a:lumOff val="100000"/>
          </a:srgbClr>
        </a:gs>
        <a:gs pos="100000">
          <a:srgbClr val="FFEBFA"/>
        </a:gs>
      </a:gsLst>
      <a:lin ang="5400000" scaled="0"/>
    </a:gradFill>
  </c:spPr>
  <c:printSettings>
    <c:headerFooter/>
    <c:pageMargins b="0.75000000000000866" l="0.70000000000000062" r="0.70000000000000062" t="0.75000000000000866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lang="en-GB" sz="1200"/>
            </a:pPr>
            <a:r>
              <a:rPr lang="en-US" sz="1200"/>
              <a:t>DAILY MAN</a:t>
            </a:r>
            <a:r>
              <a:rPr lang="en-US" sz="1200" baseline="0"/>
              <a:t> POWER SCHEDULE</a:t>
            </a:r>
            <a:endParaRPr lang="en-US" sz="1200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104044551667472E-2"/>
          <c:y val="0.17688249797615441"/>
          <c:w val="0.86414993903416581"/>
          <c:h val="0.617102727023986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Dashboard!$A$73</c:f>
              <c:strCache>
                <c:ptCount val="1"/>
                <c:pt idx="0">
                  <c:v>PLANNED (Baseline)</c:v>
                </c:pt>
              </c:strCache>
            </c:strRef>
          </c:tx>
          <c:spPr>
            <a:solidFill>
              <a:srgbClr val="1DB93B"/>
            </a:solidFill>
          </c:spPr>
          <c:invertIfNegative val="0"/>
          <c:cat>
            <c:numRef>
              <c:f>Dashboard!$C$76:$I$76</c:f>
              <c:numCache>
                <c:formatCode>[$-409]d\-mmm\-yy;@</c:formatCode>
                <c:ptCount val="7"/>
                <c:pt idx="0">
                  <c:v>42330</c:v>
                </c:pt>
                <c:pt idx="1">
                  <c:v>42331</c:v>
                </c:pt>
                <c:pt idx="2">
                  <c:v>42332</c:v>
                </c:pt>
                <c:pt idx="3">
                  <c:v>42333</c:v>
                </c:pt>
                <c:pt idx="4">
                  <c:v>42334</c:v>
                </c:pt>
                <c:pt idx="5">
                  <c:v>42335</c:v>
                </c:pt>
                <c:pt idx="6">
                  <c:v>42336</c:v>
                </c:pt>
              </c:numCache>
            </c:numRef>
          </c:cat>
          <c:val>
            <c:numRef>
              <c:f>Dashboard!$C$73:$AG$73</c:f>
              <c:numCache>
                <c:formatCode>General</c:formatCode>
                <c:ptCount val="31"/>
                <c:pt idx="0">
                  <c:v>1262</c:v>
                </c:pt>
                <c:pt idx="1">
                  <c:v>1218</c:v>
                </c:pt>
                <c:pt idx="2">
                  <c:v>1192</c:v>
                </c:pt>
                <c:pt idx="3">
                  <c:v>1183</c:v>
                </c:pt>
                <c:pt idx="4">
                  <c:v>1230</c:v>
                </c:pt>
                <c:pt idx="6">
                  <c:v>1215</c:v>
                </c:pt>
                <c:pt idx="15">
                  <c:v>5207561.37</c:v>
                </c:pt>
              </c:numCache>
            </c:numRef>
          </c:val>
        </c:ser>
        <c:ser>
          <c:idx val="2"/>
          <c:order val="1"/>
          <c:tx>
            <c:strRef>
              <c:f>Dashboard!$A$74</c:f>
              <c:strCache>
                <c:ptCount val="1"/>
                <c:pt idx="0">
                  <c:v>PLANNED (Mitigation)</c:v>
                </c:pt>
              </c:strCache>
            </c:strRef>
          </c:tx>
          <c:spPr>
            <a:solidFill>
              <a:srgbClr val="0070C0"/>
            </a:solidFill>
          </c:spPr>
          <c:invertIfNegative val="0"/>
          <c:cat>
            <c:numRef>
              <c:f>Dashboard!$C$76:$I$76</c:f>
              <c:numCache>
                <c:formatCode>[$-409]d\-mmm\-yy;@</c:formatCode>
                <c:ptCount val="7"/>
                <c:pt idx="0">
                  <c:v>42330</c:v>
                </c:pt>
                <c:pt idx="1">
                  <c:v>42331</c:v>
                </c:pt>
                <c:pt idx="2">
                  <c:v>42332</c:v>
                </c:pt>
                <c:pt idx="3">
                  <c:v>42333</c:v>
                </c:pt>
                <c:pt idx="4">
                  <c:v>42334</c:v>
                </c:pt>
                <c:pt idx="5">
                  <c:v>42335</c:v>
                </c:pt>
                <c:pt idx="6">
                  <c:v>42336</c:v>
                </c:pt>
              </c:numCache>
            </c:numRef>
          </c:cat>
          <c:val>
            <c:numRef>
              <c:f>Dashboard!$C$74:$I$74</c:f>
              <c:numCache>
                <c:formatCode>General</c:formatCode>
                <c:ptCount val="7"/>
                <c:pt idx="0">
                  <c:v>796</c:v>
                </c:pt>
                <c:pt idx="1">
                  <c:v>906</c:v>
                </c:pt>
                <c:pt idx="2">
                  <c:v>888</c:v>
                </c:pt>
                <c:pt idx="3">
                  <c:v>846</c:v>
                </c:pt>
                <c:pt idx="4">
                  <c:v>725</c:v>
                </c:pt>
                <c:pt idx="5">
                  <c:v>158</c:v>
                </c:pt>
                <c:pt idx="6">
                  <c:v>744</c:v>
                </c:pt>
              </c:numCache>
            </c:numRef>
          </c:val>
        </c:ser>
        <c:ser>
          <c:idx val="1"/>
          <c:order val="2"/>
          <c:tx>
            <c:strRef>
              <c:f>Dashboard!$A$75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cat>
            <c:numRef>
              <c:f>Dashboard!$C$76:$I$76</c:f>
              <c:numCache>
                <c:formatCode>[$-409]d\-mmm\-yy;@</c:formatCode>
                <c:ptCount val="7"/>
                <c:pt idx="0">
                  <c:v>42330</c:v>
                </c:pt>
                <c:pt idx="1">
                  <c:v>42331</c:v>
                </c:pt>
                <c:pt idx="2">
                  <c:v>42332</c:v>
                </c:pt>
                <c:pt idx="3">
                  <c:v>42333</c:v>
                </c:pt>
                <c:pt idx="4">
                  <c:v>42334</c:v>
                </c:pt>
                <c:pt idx="5">
                  <c:v>42335</c:v>
                </c:pt>
                <c:pt idx="6">
                  <c:v>42336</c:v>
                </c:pt>
              </c:numCache>
            </c:numRef>
          </c:cat>
          <c:val>
            <c:numRef>
              <c:f>Dashboard!$C$75:$AG$75</c:f>
              <c:numCache>
                <c:formatCode>0</c:formatCode>
                <c:ptCount val="31"/>
                <c:pt idx="0">
                  <c:v>505</c:v>
                </c:pt>
                <c:pt idx="1">
                  <c:v>489</c:v>
                </c:pt>
                <c:pt idx="2">
                  <c:v>489</c:v>
                </c:pt>
                <c:pt idx="3">
                  <c:v>487</c:v>
                </c:pt>
                <c:pt idx="4">
                  <c:v>496</c:v>
                </c:pt>
                <c:pt idx="5">
                  <c:v>78</c:v>
                </c:pt>
                <c:pt idx="6">
                  <c:v>516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49"/>
        <c:axId val="158460176"/>
        <c:axId val="158460736"/>
      </c:barChart>
      <c:dateAx>
        <c:axId val="158460176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lang="en-GB" sz="600"/>
            </a:pPr>
            <a:endParaRPr lang="en-US"/>
          </a:p>
        </c:txPr>
        <c:crossAx val="158460736"/>
        <c:crosses val="autoZero"/>
        <c:auto val="1"/>
        <c:lblOffset val="100"/>
        <c:baseTimeUnit val="days"/>
      </c:dateAx>
      <c:valAx>
        <c:axId val="158460736"/>
        <c:scaling>
          <c:orientation val="minMax"/>
          <c:max val="1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 sz="900"/>
            </a:pPr>
            <a:endParaRPr lang="en-US"/>
          </a:p>
        </c:txPr>
        <c:crossAx val="158460176"/>
        <c:crosses val="autoZero"/>
        <c:crossBetween val="between"/>
        <c:majorUnit val="100"/>
        <c:minorUnit val="100"/>
      </c:valAx>
      <c:spPr>
        <a:ln w="9525" cmpd="sng"/>
      </c:spPr>
    </c:plotArea>
    <c:legend>
      <c:legendPos val="r"/>
      <c:legendEntry>
        <c:idx val="0"/>
        <c:txPr>
          <a:bodyPr/>
          <a:lstStyle/>
          <a:p>
            <a:pPr>
              <a:defRPr lang="en-GB" sz="800"/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lang="en-GB" sz="800"/>
            </a:pPr>
            <a:endParaRPr lang="en-US"/>
          </a:p>
        </c:txPr>
      </c:legendEntry>
      <c:layout>
        <c:manualLayout>
          <c:xMode val="edge"/>
          <c:yMode val="edge"/>
          <c:x val="0.68593902107889781"/>
          <c:y val="0.20411394521630741"/>
          <c:w val="0.25658064151294407"/>
          <c:h val="0.24196637582464378"/>
        </c:manualLayout>
      </c:layout>
      <c:overlay val="0"/>
      <c:txPr>
        <a:bodyPr/>
        <a:lstStyle/>
        <a:p>
          <a:pPr>
            <a:defRPr lang="en-GB" sz="800"/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5E9EFF">
            <a:lumMod val="66000"/>
            <a:lumOff val="34000"/>
          </a:srgbClr>
        </a:gs>
        <a:gs pos="0">
          <a:srgbClr val="85C2FF"/>
        </a:gs>
        <a:gs pos="50000">
          <a:srgbClr val="C4D6EB">
            <a:lumMod val="0"/>
            <a:lumOff val="100000"/>
          </a:srgbClr>
        </a:gs>
        <a:gs pos="100000">
          <a:srgbClr val="FFEBFA"/>
        </a:gs>
      </a:gsLst>
      <a:lin ang="5400000" scaled="0"/>
    </a:gradFill>
  </c:spPr>
  <c:printSettings>
    <c:headerFooter/>
    <c:pageMargins b="0.75000000000000866" l="0.70000000000000062" r="0.70000000000000062" t="0.75000000000000866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lang="en-GB" sz="1200" u="sng"/>
            </a:pPr>
            <a:r>
              <a:rPr lang="en-US" sz="1200" u="sng"/>
              <a:t>PROGRESS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explosion val="12"/>
          <c:dLbls>
            <c:dLbl>
              <c:idx val="0"/>
              <c:layout>
                <c:manualLayout>
                  <c:x val="-5.589425862537533E-2"/>
                  <c:y val="0.24215383442016591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GB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Dashboard!$R$16:$R$20</c:f>
              <c:strCache>
                <c:ptCount val="5"/>
                <c:pt idx="0">
                  <c:v>PLANNED PROGRESS (Baseline)</c:v>
                </c:pt>
                <c:pt idx="1">
                  <c:v>PLANNED PROGRESS (Mitigation)</c:v>
                </c:pt>
                <c:pt idx="2">
                  <c:v>ACTUAL PROGRESS (Mitigation)</c:v>
                </c:pt>
                <c:pt idx="3">
                  <c:v>VARIANCE (Baseline)</c:v>
                </c:pt>
                <c:pt idx="4">
                  <c:v>VARIANCE (Mitigation)</c:v>
                </c:pt>
              </c:strCache>
            </c:strRef>
          </c:cat>
          <c:val>
            <c:numRef>
              <c:f>Dashboard!$S$16:$S$20</c:f>
              <c:numCache>
                <c:formatCode>0.00%</c:formatCode>
                <c:ptCount val="5"/>
                <c:pt idx="0">
                  <c:v>0.31293085588571973</c:v>
                </c:pt>
                <c:pt idx="1">
                  <c:v>0.20607676506990846</c:v>
                </c:pt>
                <c:pt idx="2">
                  <c:v>0.20647682438535853</c:v>
                </c:pt>
                <c:pt idx="3">
                  <c:v>-0.1064540315003612</c:v>
                </c:pt>
                <c:pt idx="4">
                  <c:v>4.0005931545006312E-4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69251329460054412"/>
          <c:y val="3.3306858381832678E-2"/>
          <c:w val="0.27953951052913573"/>
          <c:h val="0.9550989387196166"/>
        </c:manualLayout>
      </c:layout>
      <c:overlay val="0"/>
      <c:txPr>
        <a:bodyPr/>
        <a:lstStyle/>
        <a:p>
          <a:pPr>
            <a:defRPr lang="en-GB" sz="800"/>
          </a:pPr>
          <a:endParaRPr lang="en-US"/>
        </a:p>
      </c:txPr>
    </c:legend>
    <c:plotVisOnly val="1"/>
    <c:dispBlanksAs val="zero"/>
    <c:showDLblsOverMax val="0"/>
  </c:chart>
  <c:spPr>
    <a:pattFill prst="pct5">
      <a:fgClr>
        <a:srgbClr val="1DB93B"/>
      </a:fgClr>
      <a:bgClr>
        <a:schemeClr val="bg1"/>
      </a:bgClr>
    </a:pattFill>
    <a:ln w="19050" cmpd="sng">
      <a:solidFill>
        <a:schemeClr val="tx1"/>
      </a:solidFill>
    </a:ln>
  </c:spPr>
  <c:printSettings>
    <c:headerFooter/>
    <c:pageMargins b="0.75000000000000866" l="0.70000000000000062" r="0.70000000000000062" t="0.75000000000000866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lang="en-GB"/>
            </a:pPr>
            <a:r>
              <a:rPr lang="en-US"/>
              <a:t>MATERIAL SUBMITTAL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Dashboard!$D$91</c:f>
              <c:strCache>
                <c:ptCount val="1"/>
                <c:pt idx="0">
                  <c:v>CIVIL</c:v>
                </c:pt>
              </c:strCache>
            </c:strRef>
          </c:tx>
          <c:spPr>
            <a:solidFill>
              <a:srgbClr val="063CEA"/>
            </a:solidFill>
          </c:spPr>
          <c:invertIfNegative val="0"/>
          <c:cat>
            <c:strRef>
              <c:f>Dashboard!$E$90:$H$90</c:f>
              <c:strCache>
                <c:ptCount val="4"/>
                <c:pt idx="0">
                  <c:v>SUBMITTED</c:v>
                </c:pt>
                <c:pt idx="1">
                  <c:v>APPROVED</c:v>
                </c:pt>
                <c:pt idx="2">
                  <c:v>REVISE</c:v>
                </c:pt>
                <c:pt idx="3">
                  <c:v>PENDING</c:v>
                </c:pt>
              </c:strCache>
            </c:strRef>
          </c:cat>
          <c:val>
            <c:numRef>
              <c:f>Dashboard!$E$91:$H$91</c:f>
              <c:numCache>
                <c:formatCode>General</c:formatCode>
                <c:ptCount val="4"/>
                <c:pt idx="0">
                  <c:v>76</c:v>
                </c:pt>
                <c:pt idx="1">
                  <c:v>74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Dashboard!$D$92</c:f>
              <c:strCache>
                <c:ptCount val="1"/>
                <c:pt idx="0">
                  <c:v>MECHANICAL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cat>
            <c:strRef>
              <c:f>Dashboard!$E$90:$H$90</c:f>
              <c:strCache>
                <c:ptCount val="4"/>
                <c:pt idx="0">
                  <c:v>SUBMITTED</c:v>
                </c:pt>
                <c:pt idx="1">
                  <c:v>APPROVED</c:v>
                </c:pt>
                <c:pt idx="2">
                  <c:v>REVISE</c:v>
                </c:pt>
                <c:pt idx="3">
                  <c:v>PENDING</c:v>
                </c:pt>
              </c:strCache>
            </c:strRef>
          </c:cat>
          <c:val>
            <c:numRef>
              <c:f>Dashboard!$E$92:$H$92</c:f>
              <c:numCache>
                <c:formatCode>General</c:formatCode>
                <c:ptCount val="4"/>
                <c:pt idx="0">
                  <c:v>92</c:v>
                </c:pt>
                <c:pt idx="1">
                  <c:v>92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strRef>
              <c:f>Dashboard!$D$93</c:f>
              <c:strCache>
                <c:ptCount val="1"/>
                <c:pt idx="0">
                  <c:v>ELECTRICAL</c:v>
                </c:pt>
              </c:strCache>
            </c:strRef>
          </c:tx>
          <c:invertIfNegative val="0"/>
          <c:cat>
            <c:strRef>
              <c:f>Dashboard!$E$90:$H$90</c:f>
              <c:strCache>
                <c:ptCount val="4"/>
                <c:pt idx="0">
                  <c:v>SUBMITTED</c:v>
                </c:pt>
                <c:pt idx="1">
                  <c:v>APPROVED</c:v>
                </c:pt>
                <c:pt idx="2">
                  <c:v>REVISE</c:v>
                </c:pt>
                <c:pt idx="3">
                  <c:v>PENDING</c:v>
                </c:pt>
              </c:strCache>
            </c:strRef>
          </c:cat>
          <c:val>
            <c:numRef>
              <c:f>Dashboard!$E$93:$H$93</c:f>
              <c:numCache>
                <c:formatCode>General</c:formatCode>
                <c:ptCount val="4"/>
                <c:pt idx="0">
                  <c:v>30</c:v>
                </c:pt>
                <c:pt idx="1">
                  <c:v>25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8726336"/>
        <c:axId val="158726896"/>
      </c:barChart>
      <c:catAx>
        <c:axId val="15872633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158726896"/>
        <c:crosses val="autoZero"/>
        <c:auto val="1"/>
        <c:lblAlgn val="ctr"/>
        <c:lblOffset val="100"/>
        <c:noMultiLvlLbl val="0"/>
      </c:catAx>
      <c:valAx>
        <c:axId val="15872689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15872633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en-GB" sz="600"/>
            </a:pPr>
            <a:endParaRPr lang="en-US"/>
          </a:p>
        </c:txPr>
      </c:dTable>
    </c:plotArea>
    <c:plotVisOnly val="1"/>
    <c:dispBlanksAs val="gap"/>
    <c:showDLblsOverMax val="0"/>
  </c:chart>
  <c:txPr>
    <a:bodyPr/>
    <a:lstStyle/>
    <a:p>
      <a:pPr>
        <a:defRPr sz="900"/>
      </a:pPr>
      <a:endParaRPr lang="en-US"/>
    </a:p>
  </c:txPr>
  <c:printSettings>
    <c:headerFooter/>
    <c:pageMargins b="0.75000000000000866" l="0.70000000000000062" r="0.70000000000000062" t="0.75000000000000866" header="0.30000000000000032" footer="0.30000000000000032"/>
    <c:pageSetup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lang="en-GB" sz="1200"/>
            </a:pPr>
            <a:r>
              <a:rPr lang="en-US" sz="1200"/>
              <a:t>INSPECTION REQUEST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Dashboard!$D$100</c:f>
              <c:strCache>
                <c:ptCount val="1"/>
                <c:pt idx="0">
                  <c:v>CIVIL</c:v>
                </c:pt>
              </c:strCache>
            </c:strRef>
          </c:tx>
          <c:spPr>
            <a:solidFill>
              <a:srgbClr val="063CEA"/>
            </a:solidFill>
          </c:spPr>
          <c:invertIfNegative val="0"/>
          <c:cat>
            <c:strRef>
              <c:f>Dashboard!$E$99:$H$99</c:f>
              <c:strCache>
                <c:ptCount val="4"/>
                <c:pt idx="0">
                  <c:v>SUBMITTED </c:v>
                </c:pt>
                <c:pt idx="1">
                  <c:v>APPROVED</c:v>
                </c:pt>
                <c:pt idx="2">
                  <c:v>NOT APPROVED</c:v>
                </c:pt>
                <c:pt idx="3">
                  <c:v>PENDING</c:v>
                </c:pt>
              </c:strCache>
            </c:strRef>
          </c:cat>
          <c:val>
            <c:numRef>
              <c:f>Dashboard!$E$100:$H$100</c:f>
              <c:numCache>
                <c:formatCode>General</c:formatCode>
                <c:ptCount val="4"/>
                <c:pt idx="0">
                  <c:v>1816</c:v>
                </c:pt>
                <c:pt idx="1">
                  <c:v>1388</c:v>
                </c:pt>
                <c:pt idx="2">
                  <c:v>391</c:v>
                </c:pt>
                <c:pt idx="3">
                  <c:v>37</c:v>
                </c:pt>
              </c:numCache>
            </c:numRef>
          </c:val>
        </c:ser>
        <c:ser>
          <c:idx val="1"/>
          <c:order val="1"/>
          <c:tx>
            <c:strRef>
              <c:f>Dashboard!$D$101</c:f>
              <c:strCache>
                <c:ptCount val="1"/>
                <c:pt idx="0">
                  <c:v>MECHANICAL</c:v>
                </c:pt>
              </c:strCache>
            </c:strRef>
          </c:tx>
          <c:invertIfNegative val="0"/>
          <c:cat>
            <c:strRef>
              <c:f>Dashboard!$E$99:$H$99</c:f>
              <c:strCache>
                <c:ptCount val="4"/>
                <c:pt idx="0">
                  <c:v>SUBMITTED </c:v>
                </c:pt>
                <c:pt idx="1">
                  <c:v>APPROVED</c:v>
                </c:pt>
                <c:pt idx="2">
                  <c:v>NOT APPROVED</c:v>
                </c:pt>
                <c:pt idx="3">
                  <c:v>PENDING</c:v>
                </c:pt>
              </c:strCache>
            </c:strRef>
          </c:cat>
          <c:val>
            <c:numRef>
              <c:f>Dashboard!$E$101:$H$101</c:f>
              <c:numCache>
                <c:formatCode>General</c:formatCode>
                <c:ptCount val="4"/>
                <c:pt idx="0">
                  <c:v>161</c:v>
                </c:pt>
                <c:pt idx="1">
                  <c:v>142</c:v>
                </c:pt>
                <c:pt idx="2">
                  <c:v>12</c:v>
                </c:pt>
                <c:pt idx="3">
                  <c:v>7</c:v>
                </c:pt>
              </c:numCache>
            </c:numRef>
          </c:val>
        </c:ser>
        <c:ser>
          <c:idx val="2"/>
          <c:order val="2"/>
          <c:tx>
            <c:strRef>
              <c:f>Dashboard!$D$102</c:f>
              <c:strCache>
                <c:ptCount val="1"/>
                <c:pt idx="0">
                  <c:v>ELECTRICAL</c:v>
                </c:pt>
              </c:strCache>
            </c:strRef>
          </c:tx>
          <c:invertIfNegative val="0"/>
          <c:cat>
            <c:strRef>
              <c:f>Dashboard!$E$99:$H$99</c:f>
              <c:strCache>
                <c:ptCount val="4"/>
                <c:pt idx="0">
                  <c:v>SUBMITTED </c:v>
                </c:pt>
                <c:pt idx="1">
                  <c:v>APPROVED</c:v>
                </c:pt>
                <c:pt idx="2">
                  <c:v>NOT APPROVED</c:v>
                </c:pt>
                <c:pt idx="3">
                  <c:v>PENDING</c:v>
                </c:pt>
              </c:strCache>
            </c:strRef>
          </c:cat>
          <c:val>
            <c:numRef>
              <c:f>Dashboard!$E$102:$H$102</c:f>
              <c:numCache>
                <c:formatCode>General</c:formatCode>
                <c:ptCount val="4"/>
                <c:pt idx="0">
                  <c:v>290</c:v>
                </c:pt>
                <c:pt idx="1">
                  <c:v>261</c:v>
                </c:pt>
                <c:pt idx="2">
                  <c:v>10</c:v>
                </c:pt>
                <c:pt idx="3">
                  <c:v>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8963856"/>
        <c:axId val="158963296"/>
      </c:barChart>
      <c:valAx>
        <c:axId val="158963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158963856"/>
        <c:crosses val="autoZero"/>
        <c:crossBetween val="between"/>
      </c:valAx>
      <c:catAx>
        <c:axId val="15896385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n-GB" sz="900"/>
            </a:pPr>
            <a:endParaRPr lang="en-US"/>
          </a:p>
        </c:txPr>
        <c:crossAx val="158963296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en-GB" sz="600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866" l="0.70000000000000062" r="0.70000000000000062" t="0.75000000000000866" header="0.30000000000000032" footer="0.30000000000000032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lang="en-GB"/>
            </a:pPr>
            <a:r>
              <a:rPr lang="en-US"/>
              <a:t>SHOP DRAWING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2074753811687835"/>
          <c:y val="0.10441440831129617"/>
          <c:w val="0.76093487843043484"/>
          <c:h val="0.58592224612101607"/>
        </c:manualLayout>
      </c:layout>
      <c:barChart>
        <c:barDir val="bar"/>
        <c:grouping val="stacked"/>
        <c:varyColors val="0"/>
        <c:ser>
          <c:idx val="1"/>
          <c:order val="0"/>
          <c:tx>
            <c:strRef>
              <c:f>Dashboard!$D$82</c:f>
              <c:strCache>
                <c:ptCount val="1"/>
                <c:pt idx="0">
                  <c:v>CIVIL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cat>
            <c:strRef>
              <c:f>Dashboard!$E$80:$J$80</c:f>
              <c:strCache>
                <c:ptCount val="6"/>
                <c:pt idx="0">
                  <c:v>TOTAL NO</c:v>
                </c:pt>
                <c:pt idx="1">
                  <c:v>SUBMITTED</c:v>
                </c:pt>
                <c:pt idx="2">
                  <c:v>APPROVED</c:v>
                </c:pt>
                <c:pt idx="3">
                  <c:v>REVISE</c:v>
                </c:pt>
                <c:pt idx="4">
                  <c:v>PENDING</c:v>
                </c:pt>
                <c:pt idx="5">
                  <c:v>YET TO SUBMIT</c:v>
                </c:pt>
              </c:strCache>
            </c:strRef>
          </c:cat>
          <c:val>
            <c:numRef>
              <c:f>Dashboard!$E$82:$J$82</c:f>
              <c:numCache>
                <c:formatCode>General</c:formatCode>
                <c:ptCount val="6"/>
                <c:pt idx="0">
                  <c:v>137</c:v>
                </c:pt>
                <c:pt idx="1">
                  <c:v>135</c:v>
                </c:pt>
                <c:pt idx="2">
                  <c:v>133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</c:ser>
        <c:ser>
          <c:idx val="2"/>
          <c:order val="1"/>
          <c:tx>
            <c:strRef>
              <c:f>Dashboard!$D$83</c:f>
              <c:strCache>
                <c:ptCount val="1"/>
                <c:pt idx="0">
                  <c:v>MECHANICAL</c:v>
                </c:pt>
              </c:strCache>
            </c:strRef>
          </c:tx>
          <c:invertIfNegative val="0"/>
          <c:cat>
            <c:strRef>
              <c:f>Dashboard!$E$80:$J$80</c:f>
              <c:strCache>
                <c:ptCount val="6"/>
                <c:pt idx="0">
                  <c:v>TOTAL NO</c:v>
                </c:pt>
                <c:pt idx="1">
                  <c:v>SUBMITTED</c:v>
                </c:pt>
                <c:pt idx="2">
                  <c:v>APPROVED</c:v>
                </c:pt>
                <c:pt idx="3">
                  <c:v>REVISE</c:v>
                </c:pt>
                <c:pt idx="4">
                  <c:v>PENDING</c:v>
                </c:pt>
                <c:pt idx="5">
                  <c:v>YET TO SUBMIT</c:v>
                </c:pt>
              </c:strCache>
            </c:strRef>
          </c:cat>
          <c:val>
            <c:numRef>
              <c:f>Dashboard!$E$83:$J$83</c:f>
              <c:numCache>
                <c:formatCode>General</c:formatCode>
                <c:ptCount val="6"/>
                <c:pt idx="0">
                  <c:v>104</c:v>
                </c:pt>
                <c:pt idx="1">
                  <c:v>100</c:v>
                </c:pt>
                <c:pt idx="2">
                  <c:v>71</c:v>
                </c:pt>
                <c:pt idx="3">
                  <c:v>24</c:v>
                </c:pt>
                <c:pt idx="4">
                  <c:v>5</c:v>
                </c:pt>
                <c:pt idx="5">
                  <c:v>4</c:v>
                </c:pt>
              </c:numCache>
            </c:numRef>
          </c:val>
        </c:ser>
        <c:ser>
          <c:idx val="3"/>
          <c:order val="2"/>
          <c:tx>
            <c:strRef>
              <c:f>Dashboard!$D$84</c:f>
              <c:strCache>
                <c:ptCount val="1"/>
                <c:pt idx="0">
                  <c:v>ELECTRICAL</c:v>
                </c:pt>
              </c:strCache>
            </c:strRef>
          </c:tx>
          <c:invertIfNegative val="0"/>
          <c:cat>
            <c:strRef>
              <c:f>Dashboard!$E$80:$J$80</c:f>
              <c:strCache>
                <c:ptCount val="6"/>
                <c:pt idx="0">
                  <c:v>TOTAL NO</c:v>
                </c:pt>
                <c:pt idx="1">
                  <c:v>SUBMITTED</c:v>
                </c:pt>
                <c:pt idx="2">
                  <c:v>APPROVED</c:v>
                </c:pt>
                <c:pt idx="3">
                  <c:v>REVISE</c:v>
                </c:pt>
                <c:pt idx="4">
                  <c:v>PENDING</c:v>
                </c:pt>
                <c:pt idx="5">
                  <c:v>YET TO SUBMIT</c:v>
                </c:pt>
              </c:strCache>
            </c:strRef>
          </c:cat>
          <c:val>
            <c:numRef>
              <c:f>Dashboard!$E$84:$J$84</c:f>
              <c:numCache>
                <c:formatCode>General</c:formatCode>
                <c:ptCount val="6"/>
                <c:pt idx="0">
                  <c:v>88</c:v>
                </c:pt>
                <c:pt idx="1">
                  <c:v>86</c:v>
                </c:pt>
                <c:pt idx="2">
                  <c:v>53</c:v>
                </c:pt>
                <c:pt idx="3">
                  <c:v>11</c:v>
                </c:pt>
                <c:pt idx="4">
                  <c:v>22</c:v>
                </c:pt>
                <c:pt idx="5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4"/>
        <c:overlap val="100"/>
        <c:axId val="158968336"/>
        <c:axId val="158968896"/>
      </c:barChart>
      <c:catAx>
        <c:axId val="15896833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en-GB" sz="800"/>
            </a:pPr>
            <a:endParaRPr lang="en-US"/>
          </a:p>
        </c:txPr>
        <c:crossAx val="158968896"/>
        <c:crosses val="autoZero"/>
        <c:auto val="1"/>
        <c:lblAlgn val="ctr"/>
        <c:lblOffset val="100"/>
        <c:noMultiLvlLbl val="0"/>
      </c:catAx>
      <c:valAx>
        <c:axId val="15896889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en-GB"/>
            </a:pPr>
            <a:endParaRPr lang="en-US"/>
          </a:p>
        </c:txPr>
        <c:crossAx val="15896833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en-GB" sz="600"/>
            </a:pPr>
            <a:endParaRPr lang="en-US"/>
          </a:p>
        </c:txPr>
      </c:dTable>
      <c:spPr>
        <a:ln>
          <a:noFill/>
        </a:ln>
        <a:effectLst>
          <a:outerShdw blurRad="50800" dist="50800" dir="5400000" sx="1000" sy="1000" algn="ctr" rotWithShape="0">
            <a:srgbClr val="000000"/>
          </a:outerShdw>
        </a:effectLst>
      </c:spPr>
    </c:plotArea>
    <c:plotVisOnly val="1"/>
    <c:dispBlanksAs val="gap"/>
    <c:showDLblsOverMax val="0"/>
  </c:chart>
  <c:txPr>
    <a:bodyPr/>
    <a:lstStyle/>
    <a:p>
      <a:pPr>
        <a:defRPr sz="900"/>
      </a:pPr>
      <a:endParaRPr lang="en-US"/>
    </a:p>
  </c:txPr>
  <c:printSettings>
    <c:headerFooter/>
    <c:pageMargins b="0.75000000000000866" l="0.70000000000000062" r="0.70000000000000062" t="0.75000000000000866" header="0.30000000000000032" footer="0.30000000000000032"/>
    <c:pageSetup/>
  </c:printSettings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6" workbookViewId="0"/>
  </sheetViews>
  <pageMargins left="0.2" right="0.2" top="0.25" bottom="0.2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13" Type="http://schemas.openxmlformats.org/officeDocument/2006/relationships/image" Target="../media/image3.jpeg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12" Type="http://schemas.openxmlformats.org/officeDocument/2006/relationships/image" Target="../media/image2.jpeg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image" Target="../media/image1.jpeg"/><Relationship Id="rId5" Type="http://schemas.openxmlformats.org/officeDocument/2006/relationships/chart" Target="../charts/chart6.xml"/><Relationship Id="rId10" Type="http://schemas.openxmlformats.org/officeDocument/2006/relationships/chart" Target="../charts/chart11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Relationship Id="rId1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0205357" cy="695665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0.12221</cdr:x>
      <cdr:y>0.193</cdr:y>
    </cdr:from>
    <cdr:to>
      <cdr:x>0.31076</cdr:x>
      <cdr:y>0.32008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247491" y="1348646"/>
          <a:ext cx="1924674" cy="88802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>
            <a:lumMod val="85000"/>
          </a:schemeClr>
        </a:solidFill>
        <a:ln xmlns:a="http://schemas.openxmlformats.org/drawingml/2006/main" w="6350">
          <a:solidFill>
            <a:schemeClr val="tx1"/>
          </a:solidFill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00" b="1">
              <a:solidFill>
                <a:srgbClr val="1308E8"/>
              </a:solidFill>
            </a:rPr>
            <a:t>Planned =</a:t>
          </a:r>
          <a:r>
            <a:rPr lang="en-US" sz="1000" b="1" baseline="0">
              <a:solidFill>
                <a:srgbClr val="1308E8"/>
              </a:solidFill>
            </a:rPr>
            <a:t> 31.29% </a:t>
          </a:r>
        </a:p>
        <a:p xmlns:a="http://schemas.openxmlformats.org/drawingml/2006/main">
          <a:r>
            <a:rPr lang="en-US" sz="1000" b="1" baseline="0">
              <a:solidFill>
                <a:srgbClr val="1308E8"/>
              </a:solidFill>
            </a:rPr>
            <a:t>Actual = 20.61%</a:t>
          </a:r>
        </a:p>
        <a:p xmlns:a="http://schemas.openxmlformats.org/drawingml/2006/main">
          <a:r>
            <a:rPr lang="en-US" sz="1000" b="1" baseline="0">
              <a:solidFill>
                <a:srgbClr val="1308E8"/>
              </a:solidFill>
            </a:rPr>
            <a:t>Mitigation = 20.65%</a:t>
          </a:r>
        </a:p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baseline="0">
              <a:solidFill>
                <a:srgbClr val="1308E8"/>
              </a:solidFill>
              <a:latin typeface="+mn-lt"/>
              <a:ea typeface="+mn-ea"/>
              <a:cs typeface="+mn-cs"/>
            </a:rPr>
            <a:t>Variance = - 10.65% (Baseline)</a:t>
          </a:r>
          <a:endParaRPr lang="en-US" sz="1000" b="1">
            <a:solidFill>
              <a:srgbClr val="1308E8"/>
            </a:solidFill>
            <a:latin typeface="+mn-lt"/>
            <a:ea typeface="+mn-ea"/>
            <a:cs typeface="+mn-cs"/>
          </a:endParaRPr>
        </a:p>
        <a:p xmlns:a="http://schemas.openxmlformats.org/drawingml/2006/main">
          <a:r>
            <a:rPr lang="en-US" sz="1000" b="1">
              <a:solidFill>
                <a:srgbClr val="1308E8"/>
              </a:solidFill>
            </a:rPr>
            <a:t>Variance = + 0.04% (Mitigation)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38101" y="5057774"/>
    <xdr:ext cx="4200524" cy="2466976"/>
    <xdr:graphicFrame macro="">
      <xdr:nvGraphicFramePr>
        <xdr:cNvPr id="70" name="Chart 69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twoCellAnchor>
    <xdr:from>
      <xdr:col>12</xdr:col>
      <xdr:colOff>117101</xdr:colOff>
      <xdr:row>1</xdr:row>
      <xdr:rowOff>263072</xdr:rowOff>
    </xdr:from>
    <xdr:to>
      <xdr:col>15</xdr:col>
      <xdr:colOff>823072</xdr:colOff>
      <xdr:row>11</xdr:row>
      <xdr:rowOff>123825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41275</xdr:colOff>
      <xdr:row>1</xdr:row>
      <xdr:rowOff>253546</xdr:rowOff>
    </xdr:from>
    <xdr:to>
      <xdr:col>12</xdr:col>
      <xdr:colOff>38100</xdr:colOff>
      <xdr:row>11</xdr:row>
      <xdr:rowOff>123825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333375</xdr:colOff>
      <xdr:row>11</xdr:row>
      <xdr:rowOff>170996</xdr:rowOff>
    </xdr:from>
    <xdr:to>
      <xdr:col>10</xdr:col>
      <xdr:colOff>428625</xdr:colOff>
      <xdr:row>22</xdr:row>
      <xdr:rowOff>170998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371476</xdr:colOff>
      <xdr:row>38</xdr:row>
      <xdr:rowOff>73479</xdr:rowOff>
    </xdr:from>
    <xdr:to>
      <xdr:col>5</xdr:col>
      <xdr:colOff>206829</xdr:colOff>
      <xdr:row>51</xdr:row>
      <xdr:rowOff>73478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57151</xdr:colOff>
      <xdr:row>23</xdr:row>
      <xdr:rowOff>57150</xdr:rowOff>
    </xdr:from>
    <xdr:to>
      <xdr:col>15</xdr:col>
      <xdr:colOff>821872</xdr:colOff>
      <xdr:row>36</xdr:row>
      <xdr:rowOff>47625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57150</xdr:colOff>
      <xdr:row>1</xdr:row>
      <xdr:rowOff>247650</xdr:rowOff>
    </xdr:from>
    <xdr:to>
      <xdr:col>7</xdr:col>
      <xdr:colOff>672353</xdr:colOff>
      <xdr:row>11</xdr:row>
      <xdr:rowOff>114300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66675</xdr:colOff>
      <xdr:row>36</xdr:row>
      <xdr:rowOff>108176</xdr:rowOff>
    </xdr:from>
    <xdr:to>
      <xdr:col>15</xdr:col>
      <xdr:colOff>850446</xdr:colOff>
      <xdr:row>51</xdr:row>
      <xdr:rowOff>161925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594179</xdr:colOff>
      <xdr:row>36</xdr:row>
      <xdr:rowOff>108176</xdr:rowOff>
    </xdr:from>
    <xdr:to>
      <xdr:col>10</xdr:col>
      <xdr:colOff>47625</xdr:colOff>
      <xdr:row>51</xdr:row>
      <xdr:rowOff>161925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637268</xdr:colOff>
      <xdr:row>23</xdr:row>
      <xdr:rowOff>19050</xdr:rowOff>
    </xdr:from>
    <xdr:to>
      <xdr:col>9</xdr:col>
      <xdr:colOff>685800</xdr:colOff>
      <xdr:row>36</xdr:row>
      <xdr:rowOff>57150</xdr:rowOff>
    </xdr:to>
    <xdr:sp macro="" textlink="">
      <xdr:nvSpPr>
        <xdr:cNvPr id="12" name="Rectangle 11"/>
        <xdr:cNvSpPr/>
      </xdr:nvSpPr>
      <xdr:spPr>
        <a:xfrm>
          <a:off x="4313918" y="5038725"/>
          <a:ext cx="3610882" cy="2514600"/>
        </a:xfrm>
        <a:prstGeom prst="rect">
          <a:avLst/>
        </a:prstGeom>
        <a:gradFill>
          <a:gsLst>
            <a:gs pos="0">
              <a:srgbClr val="5E9EFF"/>
            </a:gs>
            <a:gs pos="0">
              <a:srgbClr val="85C2FF"/>
            </a:gs>
            <a:gs pos="52000">
              <a:srgbClr val="C4D6EB">
                <a:lumMod val="0"/>
                <a:lumOff val="100000"/>
              </a:srgbClr>
            </a:gs>
            <a:gs pos="100000">
              <a:srgbClr val="FFEBFA"/>
            </a:gs>
          </a:gsLst>
          <a:lin ang="5400000" scaled="0"/>
        </a:gra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                                       </a:t>
          </a:r>
          <a:r>
            <a:rPr lang="en-US" sz="1100" u="sng"/>
            <a:t>ACTIVITY HIGHLIGHTS</a:t>
          </a:r>
          <a:endParaRPr lang="en-US" sz="1200" baseline="0"/>
        </a:p>
        <a:p>
          <a:pPr algn="l"/>
          <a:r>
            <a:rPr lang="en-US" sz="1050" baseline="0"/>
            <a:t>1.   EARTHWORK AT BUILDING-1</a:t>
          </a:r>
        </a:p>
        <a:p>
          <a:pPr algn="l"/>
          <a:r>
            <a:rPr lang="en-US" sz="1050" baseline="0"/>
            <a:t>2.   CONCRETE WORK AT BUILDING-1</a:t>
          </a:r>
        </a:p>
        <a:p>
          <a:pPr algn="l"/>
          <a:r>
            <a:rPr lang="en-US" sz="1050" baseline="0"/>
            <a:t>3.   WATERPROOFING AT BUILDING-1</a:t>
          </a:r>
        </a:p>
        <a:p>
          <a:pPr algn="l"/>
          <a:r>
            <a:rPr lang="en-US" sz="1050" baseline="0"/>
            <a:t>4.   BLOCKWORK AT BUILDING-1</a:t>
          </a:r>
        </a:p>
        <a:p>
          <a:pPr algn="l"/>
          <a:r>
            <a:rPr lang="en-US" sz="1050" baseline="0"/>
            <a:t>5.   MEP WORKS - BUILDING-1</a:t>
          </a:r>
        </a:p>
        <a:p>
          <a:pPr algn="l"/>
          <a:r>
            <a:rPr lang="en-US" sz="1050" baseline="0"/>
            <a:t>6.   FINISHES - BUILDING-1</a:t>
          </a:r>
        </a:p>
        <a:p>
          <a:pPr algn="l"/>
          <a:r>
            <a:rPr lang="en-US" sz="1050" baseline="0"/>
            <a:t>7.   EXTERNAL WORKS BUILDING-1</a:t>
          </a:r>
        </a:p>
        <a:p>
          <a:pPr algn="l"/>
          <a:r>
            <a:rPr lang="en-US" sz="1050" baseline="0"/>
            <a:t>8.   </a:t>
          </a:r>
          <a:r>
            <a:rPr lang="en-US" sz="1050" baseline="0">
              <a:solidFill>
                <a:schemeClr val="dk1"/>
              </a:solidFill>
              <a:latin typeface="+mn-lt"/>
              <a:ea typeface="+mn-ea"/>
              <a:cs typeface="+mn-cs"/>
            </a:rPr>
            <a:t>EARTHWORK AT BUILDING-2</a:t>
          </a:r>
          <a:endParaRPr lang="en-US" sz="1050" baseline="0"/>
        </a:p>
        <a:p>
          <a:pPr algn="l"/>
          <a:r>
            <a:rPr lang="en-US" sz="1050" baseline="0"/>
            <a:t>9.   </a:t>
          </a:r>
          <a:r>
            <a:rPr lang="en-US" sz="1050" baseline="0">
              <a:solidFill>
                <a:schemeClr val="dk1"/>
              </a:solidFill>
              <a:latin typeface="+mn-lt"/>
              <a:ea typeface="+mn-ea"/>
              <a:cs typeface="+mn-cs"/>
            </a:rPr>
            <a:t>CONCRETE WORK AT BUILDING-2</a:t>
          </a:r>
          <a:endParaRPr lang="en-US" sz="1050" baseline="0"/>
        </a:p>
        <a:p>
          <a:pPr algn="l"/>
          <a:r>
            <a:rPr lang="en-US" sz="1050" baseline="0"/>
            <a:t>10.   WATERPROOFING AT BUILDING-2</a:t>
          </a:r>
        </a:p>
        <a:p>
          <a:pPr algn="l"/>
          <a:r>
            <a:rPr lang="en-US" sz="1050" baseline="0"/>
            <a:t>11.   BLOCKWORK AT BUILDING-2</a:t>
          </a:r>
        </a:p>
        <a:p>
          <a:pPr algn="l"/>
          <a:r>
            <a:rPr lang="en-US" sz="1050" baseline="0"/>
            <a:t>12. FINISHES - BUILDING-2</a:t>
          </a:r>
        </a:p>
        <a:p>
          <a:pPr algn="l"/>
          <a:r>
            <a:rPr lang="en-US" sz="1050" baseline="0"/>
            <a:t>13. MEP WORKS BUILDING-2</a:t>
          </a:r>
        </a:p>
        <a:p>
          <a:pPr algn="l"/>
          <a:endParaRPr lang="en-US" sz="900" baseline="0"/>
        </a:p>
        <a:p>
          <a:pPr algn="l"/>
          <a:endParaRPr lang="en-US" sz="900" baseline="0"/>
        </a:p>
        <a:p>
          <a:pPr algn="l"/>
          <a:r>
            <a:rPr lang="en-US" sz="1100" baseline="0"/>
            <a:t>    </a:t>
          </a:r>
          <a:endParaRPr lang="en-US" sz="1000" baseline="0"/>
        </a:p>
      </xdr:txBody>
    </xdr:sp>
    <xdr:clientData/>
  </xdr:twoCellAnchor>
  <xdr:twoCellAnchor>
    <xdr:from>
      <xdr:col>0</xdr:col>
      <xdr:colOff>0</xdr:colOff>
      <xdr:row>36</xdr:row>
      <xdr:rowOff>104775</xdr:rowOff>
    </xdr:from>
    <xdr:to>
      <xdr:col>4</xdr:col>
      <xdr:colOff>578304</xdr:colOff>
      <xdr:row>51</xdr:row>
      <xdr:rowOff>161924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26025</xdr:colOff>
      <xdr:row>13</xdr:row>
      <xdr:rowOff>54600</xdr:rowOff>
    </xdr:from>
    <xdr:to>
      <xdr:col>2</xdr:col>
      <xdr:colOff>696586</xdr:colOff>
      <xdr:row>20</xdr:row>
      <xdr:rowOff>138420</xdr:rowOff>
    </xdr:to>
    <xdr:pic>
      <xdr:nvPicPr>
        <xdr:cNvPr id="56" name="Picture 55" descr="DSC05072.JPG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6025" y="3083550"/>
          <a:ext cx="1889761" cy="1417320"/>
        </a:xfrm>
        <a:prstGeom prst="rect">
          <a:avLst/>
        </a:prstGeom>
      </xdr:spPr>
    </xdr:pic>
    <xdr:clientData/>
  </xdr:twoCellAnchor>
  <xdr:twoCellAnchor editAs="oneCell">
    <xdr:from>
      <xdr:col>3</xdr:col>
      <xdr:colOff>80850</xdr:colOff>
      <xdr:row>13</xdr:row>
      <xdr:rowOff>61800</xdr:rowOff>
    </xdr:from>
    <xdr:to>
      <xdr:col>4</xdr:col>
      <xdr:colOff>256111</xdr:colOff>
      <xdr:row>20</xdr:row>
      <xdr:rowOff>145620</xdr:rowOff>
    </xdr:to>
    <xdr:pic>
      <xdr:nvPicPr>
        <xdr:cNvPr id="75" name="Picture 74" descr="DSC05077.JP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043000" y="3090750"/>
          <a:ext cx="1889761" cy="1417320"/>
        </a:xfrm>
        <a:prstGeom prst="rect">
          <a:avLst/>
        </a:prstGeom>
      </xdr:spPr>
    </xdr:pic>
    <xdr:clientData/>
  </xdr:twoCellAnchor>
  <xdr:twoCellAnchor editAs="oneCell">
    <xdr:from>
      <xdr:col>10</xdr:col>
      <xdr:colOff>497550</xdr:colOff>
      <xdr:row>13</xdr:row>
      <xdr:rowOff>21300</xdr:rowOff>
    </xdr:from>
    <xdr:to>
      <xdr:col>13</xdr:col>
      <xdr:colOff>282286</xdr:colOff>
      <xdr:row>20</xdr:row>
      <xdr:rowOff>105120</xdr:rowOff>
    </xdr:to>
    <xdr:pic>
      <xdr:nvPicPr>
        <xdr:cNvPr id="83" name="Picture 82" descr="DSC05082.JP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8431875" y="3050250"/>
          <a:ext cx="1889761" cy="1417320"/>
        </a:xfrm>
        <a:prstGeom prst="rect">
          <a:avLst/>
        </a:prstGeom>
      </xdr:spPr>
    </xdr:pic>
    <xdr:clientData/>
  </xdr:twoCellAnchor>
  <xdr:twoCellAnchor editAs="oneCell">
    <xdr:from>
      <xdr:col>13</xdr:col>
      <xdr:colOff>354675</xdr:colOff>
      <xdr:row>13</xdr:row>
      <xdr:rowOff>30825</xdr:rowOff>
    </xdr:from>
    <xdr:to>
      <xdr:col>15</xdr:col>
      <xdr:colOff>834736</xdr:colOff>
      <xdr:row>20</xdr:row>
      <xdr:rowOff>114645</xdr:rowOff>
    </xdr:to>
    <xdr:pic>
      <xdr:nvPicPr>
        <xdr:cNvPr id="91" name="Picture 90" descr="DSC05003.JPG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0394025" y="3059775"/>
          <a:ext cx="1889761" cy="1417320"/>
        </a:xfrm>
        <a:prstGeom prst="rect">
          <a:avLst/>
        </a:prstGeom>
      </xdr:spPr>
    </xdr:pic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0.12221</cdr:x>
      <cdr:y>0.17369</cdr:y>
    </cdr:from>
    <cdr:to>
      <cdr:x>0.5034</cdr:x>
      <cdr:y>0.46332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513346" y="428500"/>
          <a:ext cx="1601203" cy="714501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>
            <a:lumMod val="85000"/>
          </a:schemeClr>
        </a:solidFill>
        <a:ln xmlns:a="http://schemas.openxmlformats.org/drawingml/2006/main" w="6350">
          <a:solidFill>
            <a:schemeClr val="tx1"/>
          </a:solidFill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800" b="1" baseline="0">
              <a:solidFill>
                <a:srgbClr val="1308E8"/>
              </a:solidFill>
            </a:rPr>
            <a:t>Planned = 31.29% (Baseline )</a:t>
          </a:r>
        </a:p>
        <a:p xmlns:a="http://schemas.openxmlformats.org/drawingml/2006/main">
          <a:r>
            <a:rPr lang="en-US" sz="800" b="1" baseline="0">
              <a:solidFill>
                <a:srgbClr val="1308E8"/>
              </a:solidFill>
            </a:rPr>
            <a:t>Planned = 20.61% (Mitigation)</a:t>
          </a:r>
        </a:p>
        <a:p xmlns:a="http://schemas.openxmlformats.org/drawingml/2006/main">
          <a:r>
            <a:rPr lang="en-US" sz="800" b="1" baseline="0">
              <a:solidFill>
                <a:srgbClr val="1308E8"/>
              </a:solidFill>
            </a:rPr>
            <a:t>Actual = 20.65% (Updated)</a:t>
          </a:r>
          <a:endParaRPr lang="en-US" sz="800" b="1" baseline="0">
            <a:solidFill>
              <a:srgbClr val="1308E8"/>
            </a:solidFill>
            <a:latin typeface="+mn-lt"/>
            <a:ea typeface="+mn-ea"/>
            <a:cs typeface="+mn-cs"/>
          </a:endParaRPr>
        </a:p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baseline="0">
              <a:solidFill>
                <a:srgbClr val="1308E8"/>
              </a:solidFill>
              <a:latin typeface="+mn-lt"/>
              <a:ea typeface="+mn-ea"/>
              <a:cs typeface="+mn-cs"/>
            </a:rPr>
            <a:t>Variance = -10.65% (Baseline)</a:t>
          </a:r>
          <a:endParaRPr lang="en-US" sz="800" b="1">
            <a:solidFill>
              <a:srgbClr val="1308E8"/>
            </a:solidFill>
            <a:latin typeface="+mn-lt"/>
            <a:ea typeface="+mn-ea"/>
            <a:cs typeface="+mn-cs"/>
          </a:endParaRPr>
        </a:p>
        <a:p xmlns:a="http://schemas.openxmlformats.org/drawingml/2006/main">
          <a:r>
            <a:rPr lang="en-US" sz="800" b="1">
              <a:solidFill>
                <a:srgbClr val="1308E8"/>
              </a:solidFill>
            </a:rPr>
            <a:t>Variance =</a:t>
          </a:r>
          <a:r>
            <a:rPr lang="en-US" sz="800" b="1" baseline="0">
              <a:solidFill>
                <a:srgbClr val="1308E8"/>
              </a:solidFill>
            </a:rPr>
            <a:t> +0.04% (Mitigation)</a:t>
          </a:r>
          <a:endParaRPr lang="en-US" sz="800" b="1">
            <a:solidFill>
              <a:srgbClr val="1308E8"/>
            </a:solidFill>
          </a:endParaRPr>
        </a:p>
      </cdr:txBody>
    </cdr:sp>
  </cdr:relSizeAnchor>
  <cdr:relSizeAnchor xmlns:cdr="http://schemas.openxmlformats.org/drawingml/2006/chartDrawing">
    <cdr:from>
      <cdr:x>0.36281</cdr:x>
      <cdr:y>0</cdr:y>
    </cdr:from>
    <cdr:to>
      <cdr:x>0.66893</cdr:x>
      <cdr:y>0.13109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1523999" y="0"/>
          <a:ext cx="1285875" cy="3333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800" b="1"/>
            <a:t>S-Curve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G115"/>
  <sheetViews>
    <sheetView tabSelected="1" view="pageBreakPreview" zoomScaleNormal="85" zoomScaleSheetLayoutView="100" workbookViewId="0">
      <selection activeCell="A3" sqref="A3:D3"/>
    </sheetView>
  </sheetViews>
  <sheetFormatPr defaultRowHeight="15"/>
  <cols>
    <col min="3" max="3" width="11.140625" bestFit="1" customWidth="1"/>
    <col min="4" max="4" width="25.7109375" customWidth="1"/>
    <col min="5" max="5" width="11.140625" customWidth="1"/>
    <col min="6" max="9" width="10.5703125" bestFit="1" customWidth="1"/>
    <col min="10" max="10" width="10.42578125" customWidth="1"/>
    <col min="11" max="11" width="10.5703125" bestFit="1" customWidth="1"/>
    <col min="12" max="12" width="10.42578125" customWidth="1"/>
    <col min="13" max="15" width="10.5703125" bestFit="1" customWidth="1"/>
    <col min="16" max="16" width="12.85546875" customWidth="1"/>
    <col min="17" max="17" width="10.5703125" bestFit="1" customWidth="1"/>
    <col min="18" max="18" width="23" customWidth="1"/>
    <col min="19" max="19" width="18.5703125" style="2" customWidth="1"/>
    <col min="20" max="31" width="17.28515625" customWidth="1"/>
    <col min="32" max="33" width="9.7109375" bestFit="1" customWidth="1"/>
    <col min="35" max="35" width="9.42578125" bestFit="1" customWidth="1"/>
    <col min="36" max="37" width="9.28515625" bestFit="1" customWidth="1"/>
    <col min="38" max="38" width="9.42578125" bestFit="1" customWidth="1"/>
    <col min="39" max="39" width="9.28515625" bestFit="1" customWidth="1"/>
    <col min="40" max="40" width="9.42578125" bestFit="1" customWidth="1"/>
    <col min="41" max="41" width="9.85546875" bestFit="1" customWidth="1"/>
    <col min="42" max="42" width="9.42578125" bestFit="1" customWidth="1"/>
    <col min="43" max="43" width="9.5703125" bestFit="1" customWidth="1"/>
    <col min="44" max="44" width="9.7109375" bestFit="1" customWidth="1"/>
    <col min="45" max="46" width="9.85546875" bestFit="1" customWidth="1"/>
  </cols>
  <sheetData>
    <row r="1" spans="1:85" s="10" customFormat="1" ht="25.5" customHeight="1">
      <c r="A1" s="120"/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2"/>
      <c r="Q1" s="8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</row>
    <row r="2" spans="1:85" s="10" customFormat="1" ht="21" customHeight="1">
      <c r="A2" s="43"/>
      <c r="B2" s="28"/>
      <c r="C2" s="28"/>
      <c r="D2" s="128" t="s">
        <v>27</v>
      </c>
      <c r="E2" s="128"/>
      <c r="F2" s="128"/>
      <c r="G2" s="128"/>
      <c r="H2" s="128"/>
      <c r="I2" s="129">
        <v>42336</v>
      </c>
      <c r="J2" s="129"/>
      <c r="K2" s="129"/>
      <c r="L2" s="129"/>
      <c r="M2" s="129"/>
      <c r="N2" s="41"/>
      <c r="O2" s="29"/>
      <c r="P2" s="44"/>
      <c r="Q2" s="8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</row>
    <row r="3" spans="1:85" ht="18" customHeight="1">
      <c r="A3" s="123"/>
      <c r="B3" s="124"/>
      <c r="C3" s="124"/>
      <c r="D3" s="124"/>
      <c r="E3" s="30"/>
      <c r="F3" s="30"/>
      <c r="G3" s="30"/>
      <c r="H3" s="30"/>
      <c r="I3" s="31"/>
      <c r="J3" s="30"/>
      <c r="K3" s="30"/>
      <c r="L3" s="32"/>
      <c r="M3" s="125"/>
      <c r="N3" s="126"/>
      <c r="O3" s="126"/>
      <c r="P3" s="127"/>
    </row>
    <row r="4" spans="1:85" ht="18" customHeight="1">
      <c r="A4" s="123" t="s">
        <v>276</v>
      </c>
      <c r="B4" s="124"/>
      <c r="C4" s="124"/>
      <c r="D4" s="124"/>
      <c r="E4" s="33"/>
      <c r="F4" s="33"/>
      <c r="G4" s="33"/>
      <c r="H4" s="33"/>
      <c r="I4" s="34"/>
      <c r="J4" s="33"/>
      <c r="K4" s="33"/>
      <c r="L4" s="35"/>
      <c r="M4" s="36"/>
      <c r="N4" s="33"/>
      <c r="O4" s="33"/>
      <c r="P4" s="45"/>
    </row>
    <row r="5" spans="1:85" ht="18" customHeight="1">
      <c r="A5" s="46" t="s">
        <v>277</v>
      </c>
      <c r="B5" s="26"/>
      <c r="C5" s="26"/>
      <c r="D5" s="27"/>
      <c r="E5" s="33"/>
      <c r="F5" s="33"/>
      <c r="G5" s="33"/>
      <c r="H5" s="33"/>
      <c r="I5" s="34"/>
      <c r="J5" s="33"/>
      <c r="K5" s="33"/>
      <c r="L5" s="35"/>
      <c r="M5" s="36"/>
      <c r="N5" s="33"/>
      <c r="O5" s="33"/>
      <c r="P5" s="45"/>
    </row>
    <row r="6" spans="1:85" ht="18" customHeight="1">
      <c r="A6" s="123" t="s">
        <v>30</v>
      </c>
      <c r="B6" s="124"/>
      <c r="C6" s="124"/>
      <c r="D6" s="124"/>
      <c r="E6" s="33"/>
      <c r="F6" s="33"/>
      <c r="G6" s="33"/>
      <c r="H6" s="33"/>
      <c r="I6" s="34"/>
      <c r="J6" s="33"/>
      <c r="K6" s="33"/>
      <c r="L6" s="35"/>
      <c r="M6" s="33"/>
      <c r="N6" s="33"/>
      <c r="O6" s="33"/>
      <c r="P6" s="45"/>
    </row>
    <row r="7" spans="1:85" ht="18" customHeight="1">
      <c r="A7" s="46" t="s">
        <v>2</v>
      </c>
      <c r="B7" s="26"/>
      <c r="C7" s="27"/>
      <c r="D7" s="11"/>
      <c r="E7" s="33"/>
      <c r="F7" s="33"/>
      <c r="G7" s="33"/>
      <c r="H7" s="33"/>
      <c r="I7" s="34"/>
      <c r="J7" s="33"/>
      <c r="K7" s="33"/>
      <c r="L7" s="35"/>
      <c r="M7" s="33"/>
      <c r="N7" s="33"/>
      <c r="O7" s="33"/>
      <c r="P7" s="45"/>
    </row>
    <row r="8" spans="1:85" ht="18" customHeight="1">
      <c r="A8" s="46" t="s">
        <v>3</v>
      </c>
      <c r="B8" s="26"/>
      <c r="C8" s="27"/>
      <c r="D8" s="74"/>
      <c r="E8" s="33"/>
      <c r="F8" s="33"/>
      <c r="G8" s="33"/>
      <c r="H8" s="33"/>
      <c r="I8" s="34"/>
      <c r="J8" s="33"/>
      <c r="K8" s="33"/>
      <c r="L8" s="35"/>
      <c r="M8" s="33"/>
      <c r="N8" s="33"/>
      <c r="O8" s="33"/>
      <c r="P8" s="45"/>
    </row>
    <row r="9" spans="1:85" ht="18" customHeight="1">
      <c r="A9" s="57" t="s">
        <v>4</v>
      </c>
      <c r="B9" s="58"/>
      <c r="C9" s="58"/>
      <c r="D9" s="107"/>
      <c r="E9" s="37"/>
      <c r="F9" s="37"/>
      <c r="G9" s="37"/>
      <c r="H9" s="37"/>
      <c r="I9" s="38"/>
      <c r="J9" s="37"/>
      <c r="K9" s="37"/>
      <c r="L9" s="39"/>
      <c r="M9" s="37"/>
      <c r="N9" s="37"/>
      <c r="O9" s="37"/>
      <c r="P9" s="47"/>
    </row>
    <row r="10" spans="1:85" ht="18" customHeight="1">
      <c r="A10" s="70" t="s">
        <v>28</v>
      </c>
      <c r="B10" s="71"/>
      <c r="C10" s="71"/>
      <c r="D10" s="72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45"/>
      <c r="R10" s="74">
        <v>42657</v>
      </c>
    </row>
    <row r="11" spans="1:85" ht="18" customHeight="1">
      <c r="A11" s="70" t="s">
        <v>29</v>
      </c>
      <c r="B11" s="71"/>
      <c r="C11" s="71"/>
      <c r="D11" s="73">
        <v>0</v>
      </c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45"/>
      <c r="R11" s="74">
        <v>42701</v>
      </c>
    </row>
    <row r="12" spans="1:85">
      <c r="A12" s="112"/>
      <c r="B12" s="1"/>
      <c r="C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49"/>
      <c r="R12">
        <f>(R11-R10)+1</f>
        <v>45</v>
      </c>
    </row>
    <row r="13" spans="1:85">
      <c r="A13" s="11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49"/>
    </row>
    <row r="14" spans="1:85">
      <c r="A14" s="48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49"/>
    </row>
    <row r="15" spans="1:85">
      <c r="A15" s="48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49"/>
    </row>
    <row r="16" spans="1:85">
      <c r="A16" s="48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49"/>
      <c r="R16" t="s">
        <v>267</v>
      </c>
      <c r="S16" s="4">
        <v>0.31293085588571973</v>
      </c>
    </row>
    <row r="17" spans="1:37">
      <c r="A17" s="48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49"/>
      <c r="R17" t="s">
        <v>240</v>
      </c>
      <c r="S17" s="4">
        <v>0.20607676506990846</v>
      </c>
    </row>
    <row r="18" spans="1:37">
      <c r="A18" s="48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49"/>
      <c r="R18" t="s">
        <v>266</v>
      </c>
      <c r="S18" s="4">
        <v>0.20647682438535853</v>
      </c>
    </row>
    <row r="19" spans="1:37">
      <c r="A19" s="48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49"/>
      <c r="R19" t="s">
        <v>268</v>
      </c>
      <c r="S19" s="4">
        <f>S18-S16</f>
        <v>-0.1064540315003612</v>
      </c>
    </row>
    <row r="20" spans="1:37">
      <c r="A20" s="48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49"/>
      <c r="R20" t="s">
        <v>269</v>
      </c>
      <c r="S20" s="4">
        <f>S18-S17</f>
        <v>4.0005931545006312E-4</v>
      </c>
    </row>
    <row r="21" spans="1:37">
      <c r="A21" s="48"/>
      <c r="C21" s="1"/>
      <c r="E21" s="1"/>
      <c r="F21" s="1"/>
      <c r="G21" s="1"/>
      <c r="H21" s="1"/>
      <c r="I21" s="1"/>
      <c r="J21" s="1"/>
      <c r="K21" s="1"/>
      <c r="L21" s="1"/>
      <c r="M21" s="1"/>
      <c r="O21" s="69"/>
      <c r="P21" s="68"/>
      <c r="R21" t="s">
        <v>10</v>
      </c>
      <c r="S21" s="2">
        <v>139900000</v>
      </c>
    </row>
    <row r="22" spans="1:37" ht="21.75" customHeight="1">
      <c r="A22" s="130" t="s">
        <v>272</v>
      </c>
      <c r="B22" s="131"/>
      <c r="C22" s="131"/>
      <c r="D22" s="118" t="s">
        <v>274</v>
      </c>
      <c r="E22" s="1"/>
      <c r="F22" s="1"/>
      <c r="G22" s="1"/>
      <c r="H22" s="1"/>
      <c r="I22" s="1"/>
      <c r="J22" s="1"/>
      <c r="K22" s="1"/>
      <c r="L22" s="118" t="s">
        <v>275</v>
      </c>
      <c r="M22" s="118"/>
      <c r="N22" s="1"/>
      <c r="O22" s="118" t="s">
        <v>273</v>
      </c>
      <c r="P22" s="119"/>
      <c r="R22" t="s">
        <v>5</v>
      </c>
      <c r="S22" s="2">
        <f>13990000+3452493.15+1275647.53+1646137.67+1132046.21+1544676.42+1312572.62+1783819.96+3333682.56</f>
        <v>29471076.120000005</v>
      </c>
      <c r="U22" s="40"/>
    </row>
    <row r="23" spans="1:37">
      <c r="A23" s="130"/>
      <c r="B23" s="131"/>
      <c r="C23" s="131"/>
      <c r="D23" s="118"/>
      <c r="E23" s="1"/>
      <c r="F23" s="1"/>
      <c r="G23" s="1"/>
      <c r="H23" s="1"/>
      <c r="I23" s="1"/>
      <c r="J23" s="1"/>
      <c r="K23" s="1"/>
      <c r="L23" s="118"/>
      <c r="M23" s="118"/>
      <c r="N23" s="1"/>
      <c r="O23" s="118"/>
      <c r="P23" s="119"/>
      <c r="R23" t="s">
        <v>6</v>
      </c>
      <c r="S23" s="2">
        <f>S21-S22</f>
        <v>110428923.88</v>
      </c>
    </row>
    <row r="24" spans="1:37">
      <c r="A24" s="48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49"/>
    </row>
    <row r="25" spans="1:37">
      <c r="A25" s="48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49"/>
    </row>
    <row r="26" spans="1:37">
      <c r="A26" s="48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49"/>
      <c r="R26" t="s">
        <v>7</v>
      </c>
      <c r="S26" s="24">
        <f>U26-T26+1</f>
        <v>731</v>
      </c>
      <c r="T26" s="59">
        <v>41927</v>
      </c>
      <c r="U26" s="23">
        <v>42657</v>
      </c>
    </row>
    <row r="27" spans="1:37">
      <c r="A27" s="48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49"/>
      <c r="R27" t="s">
        <v>8</v>
      </c>
      <c r="S27" s="24">
        <f t="shared" ref="S27" si="0">U27-T27+1</f>
        <v>410</v>
      </c>
      <c r="T27" s="59">
        <v>41927</v>
      </c>
      <c r="U27" s="23">
        <f>I2</f>
        <v>42336</v>
      </c>
    </row>
    <row r="28" spans="1:37">
      <c r="A28" s="48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49"/>
      <c r="R28" t="s">
        <v>9</v>
      </c>
      <c r="S28" s="24">
        <f>S26-S27</f>
        <v>321</v>
      </c>
    </row>
    <row r="29" spans="1:37">
      <c r="A29" s="48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49"/>
    </row>
    <row r="30" spans="1:37">
      <c r="A30" s="48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49"/>
      <c r="R30" s="3"/>
      <c r="S30" s="79" t="s">
        <v>31</v>
      </c>
      <c r="T30" s="79" t="s">
        <v>230</v>
      </c>
      <c r="U30" s="80" t="s">
        <v>231</v>
      </c>
      <c r="V30" s="81" t="s">
        <v>232</v>
      </c>
      <c r="W30" s="81" t="s">
        <v>233</v>
      </c>
      <c r="X30" s="79" t="s">
        <v>239</v>
      </c>
      <c r="Y30" s="79" t="s">
        <v>246</v>
      </c>
      <c r="Z30" s="79" t="s">
        <v>248</v>
      </c>
      <c r="AA30" s="79" t="s">
        <v>216</v>
      </c>
      <c r="AB30" s="80" t="s">
        <v>213</v>
      </c>
      <c r="AC30" s="3" t="s">
        <v>234</v>
      </c>
      <c r="AD30" s="3" t="s">
        <v>235</v>
      </c>
      <c r="AE30" s="79" t="s">
        <v>249</v>
      </c>
      <c r="AF30" s="79" t="s">
        <v>244</v>
      </c>
      <c r="AH30" s="3"/>
      <c r="AI30" s="3"/>
      <c r="AJ30" s="3"/>
      <c r="AK30" s="3"/>
    </row>
    <row r="31" spans="1:37">
      <c r="A31" s="48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49"/>
      <c r="R31" t="s">
        <v>21</v>
      </c>
      <c r="S31" s="4">
        <v>0.64443228454172374</v>
      </c>
      <c r="T31" s="4">
        <f>X35</f>
        <v>0.99999903144979374</v>
      </c>
      <c r="U31" s="4">
        <f>X36</f>
        <v>0.88531061608926531</v>
      </c>
      <c r="V31" s="4">
        <f>X38</f>
        <v>0.98377975999589506</v>
      </c>
      <c r="W31" s="4">
        <f>X37</f>
        <v>0.11064733086020999</v>
      </c>
      <c r="X31" s="4">
        <f>X39</f>
        <v>9.1799484981314683E-2</v>
      </c>
      <c r="Y31" s="4">
        <f>X40</f>
        <v>3.1031176334067691E-2</v>
      </c>
      <c r="Z31" s="4">
        <f>X41</f>
        <v>7.9815800126292552E-2</v>
      </c>
      <c r="AA31" s="4">
        <f>X42</f>
        <v>1.0000043692989751</v>
      </c>
      <c r="AB31" s="4">
        <f>X43</f>
        <v>0.62113011645609895</v>
      </c>
      <c r="AC31" s="4">
        <f>X45</f>
        <v>0.23072391814174648</v>
      </c>
      <c r="AD31" s="4">
        <f>X44</f>
        <v>0.25989628794617964</v>
      </c>
      <c r="AE31" s="4" t="str">
        <f>W47</f>
        <v>MEP Work</v>
      </c>
      <c r="AF31" s="4">
        <f>X47</f>
        <v>5.7172482698143916E-3</v>
      </c>
      <c r="AH31" s="4"/>
    </row>
    <row r="32" spans="1:37">
      <c r="A32" s="48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49"/>
      <c r="R32" t="s">
        <v>22</v>
      </c>
      <c r="S32" s="4">
        <v>0.64443228454172374</v>
      </c>
      <c r="T32" s="4">
        <f>Y35</f>
        <v>0.99999903144979374</v>
      </c>
      <c r="U32" s="4">
        <f>Y36</f>
        <v>0.87671063529643811</v>
      </c>
      <c r="V32" s="4">
        <f>Y38</f>
        <v>0.97239503829033958</v>
      </c>
      <c r="W32" s="4">
        <f>Y37</f>
        <v>0.11187314325794301</v>
      </c>
      <c r="X32" s="4">
        <v>1.6999999999999999E-3</v>
      </c>
      <c r="Y32" s="4">
        <f>Y40</f>
        <v>3.1212299998028534E-2</v>
      </c>
      <c r="Z32" s="4">
        <f>Y41</f>
        <v>0.1049855866830296</v>
      </c>
      <c r="AA32" s="4">
        <f>Y42</f>
        <v>1.0000043692989751</v>
      </c>
      <c r="AB32" s="4">
        <f>Y43</f>
        <v>0.53653580252946553</v>
      </c>
      <c r="AC32" s="4">
        <f>Y45</f>
        <v>0.39253786730478757</v>
      </c>
      <c r="AD32" s="4">
        <f>Y44</f>
        <v>0.25989628794617964</v>
      </c>
      <c r="AE32" s="4">
        <f>X47</f>
        <v>5.7172482698143916E-3</v>
      </c>
      <c r="AF32" s="4">
        <f>Y47</f>
        <v>1.3281256589103688E-2</v>
      </c>
      <c r="AH32" s="4"/>
    </row>
    <row r="33" spans="1:32">
      <c r="A33" s="48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49"/>
      <c r="S33" s="4"/>
      <c r="T33" s="4"/>
      <c r="U33" s="4"/>
    </row>
    <row r="34" spans="1:32">
      <c r="A34" s="4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49"/>
    </row>
    <row r="35" spans="1:32">
      <c r="A35" s="4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49"/>
      <c r="S35" s="2">
        <v>516235.5</v>
      </c>
      <c r="T35" s="97">
        <v>516235</v>
      </c>
      <c r="U35" s="82">
        <v>516235</v>
      </c>
      <c r="V35" s="82">
        <v>516235</v>
      </c>
      <c r="W35" s="98" t="s">
        <v>214</v>
      </c>
      <c r="X35" s="4">
        <f>T35/S35</f>
        <v>0.99999903144979374</v>
      </c>
      <c r="Y35" s="4">
        <f>V35/S35</f>
        <v>0.99999903144979374</v>
      </c>
    </row>
    <row r="36" spans="1:32">
      <c r="A36" s="48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49"/>
      <c r="S36" s="2">
        <v>12212416.810000001</v>
      </c>
      <c r="T36" s="97">
        <v>10811782.25</v>
      </c>
      <c r="U36" s="82">
        <v>9991237.7799999993</v>
      </c>
      <c r="V36" s="82">
        <v>10706755.700000001</v>
      </c>
      <c r="W36" s="98" t="s">
        <v>236</v>
      </c>
      <c r="X36" s="4">
        <f t="shared" ref="X36:X41" si="1">T36/S36</f>
        <v>0.88531061608926531</v>
      </c>
      <c r="Y36" s="4">
        <f t="shared" ref="Y36:Y41" si="2">V36/S36</f>
        <v>0.87671063529643811</v>
      </c>
    </row>
    <row r="37" spans="1:32">
      <c r="A37" s="48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49"/>
      <c r="S37" s="2">
        <v>2533503.5</v>
      </c>
      <c r="T37" s="82">
        <v>280325.40000000002</v>
      </c>
      <c r="U37" s="82">
        <v>283431</v>
      </c>
      <c r="V37" s="82">
        <v>283431</v>
      </c>
      <c r="W37" s="98" t="s">
        <v>215</v>
      </c>
      <c r="X37" s="4">
        <f t="shared" si="1"/>
        <v>0.11064733086020999</v>
      </c>
      <c r="Y37" s="4">
        <f t="shared" si="2"/>
        <v>0.11187314325794301</v>
      </c>
    </row>
    <row r="38" spans="1:32">
      <c r="A38" s="48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49"/>
      <c r="S38" s="2">
        <v>1247312</v>
      </c>
      <c r="T38" s="82">
        <v>1227080.2999999998</v>
      </c>
      <c r="U38" s="82">
        <v>1185573.7</v>
      </c>
      <c r="V38" s="82">
        <v>1212880</v>
      </c>
      <c r="W38" s="98" t="s">
        <v>237</v>
      </c>
      <c r="X38" s="4">
        <f t="shared" si="1"/>
        <v>0.98377975999589506</v>
      </c>
      <c r="Y38" s="4">
        <f t="shared" si="2"/>
        <v>0.97239503829033958</v>
      </c>
      <c r="Z38" s="91"/>
      <c r="AA38" s="91"/>
      <c r="AE38" s="92"/>
      <c r="AF38" s="92"/>
    </row>
    <row r="39" spans="1:32">
      <c r="A39" s="48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49"/>
      <c r="S39" s="2">
        <f>7797865.47+25696297.93</f>
        <v>33494163.399999999</v>
      </c>
      <c r="T39" s="82">
        <v>3074746.9499999997</v>
      </c>
      <c r="U39" s="99">
        <v>3280453.9499999997</v>
      </c>
      <c r="V39" s="82">
        <v>3574423.5700000008</v>
      </c>
      <c r="W39" s="98" t="s">
        <v>238</v>
      </c>
      <c r="X39" s="4">
        <f t="shared" si="1"/>
        <v>9.1799484981314683E-2</v>
      </c>
      <c r="Y39" s="4">
        <f t="shared" si="2"/>
        <v>0.10671780415330513</v>
      </c>
      <c r="Z39" s="91"/>
      <c r="AA39" s="91"/>
      <c r="AE39" s="92"/>
      <c r="AF39" s="92"/>
    </row>
    <row r="40" spans="1:32">
      <c r="A40" s="48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49"/>
      <c r="S40" s="2">
        <v>14451176.300000001</v>
      </c>
      <c r="T40" s="61">
        <v>448436.99999999994</v>
      </c>
      <c r="U40" s="61">
        <v>331096.48999999993</v>
      </c>
      <c r="V40" s="61">
        <v>451054.45</v>
      </c>
      <c r="W40" s="91" t="s">
        <v>245</v>
      </c>
      <c r="X40" s="4">
        <f t="shared" si="1"/>
        <v>3.1031176334067691E-2</v>
      </c>
      <c r="Y40" s="4">
        <f t="shared" si="2"/>
        <v>3.1212299998028534E-2</v>
      </c>
      <c r="Z40" s="91"/>
      <c r="AA40" s="91"/>
      <c r="AE40" s="92"/>
      <c r="AF40" s="92"/>
    </row>
    <row r="41" spans="1:32">
      <c r="A41" s="48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49"/>
      <c r="S41" s="2">
        <v>3213396.34</v>
      </c>
      <c r="T41" s="61">
        <v>256479.80000000002</v>
      </c>
      <c r="U41" s="61">
        <v>303484.89999999997</v>
      </c>
      <c r="V41" s="61">
        <v>337360.30000000005</v>
      </c>
      <c r="W41" s="91" t="s">
        <v>247</v>
      </c>
      <c r="X41" s="4">
        <f t="shared" si="1"/>
        <v>7.9815800126292552E-2</v>
      </c>
      <c r="Y41" s="4">
        <f t="shared" si="2"/>
        <v>0.1049855866830296</v>
      </c>
      <c r="Z41" s="91"/>
      <c r="AA41" s="91"/>
      <c r="AE41" s="92"/>
      <c r="AF41" s="92"/>
    </row>
    <row r="42" spans="1:32">
      <c r="A42" s="48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49"/>
      <c r="S42" s="2">
        <v>343304.5</v>
      </c>
      <c r="T42" s="97">
        <v>343306</v>
      </c>
      <c r="U42" s="82">
        <v>343306</v>
      </c>
      <c r="V42" s="82">
        <v>343306</v>
      </c>
      <c r="W42" s="98" t="s">
        <v>214</v>
      </c>
      <c r="X42" s="4">
        <f>T42/S42</f>
        <v>1.0000043692989751</v>
      </c>
      <c r="Y42" s="4">
        <f>V42/S42</f>
        <v>1.0000043692989751</v>
      </c>
      <c r="Z42" s="91"/>
      <c r="AA42" s="91"/>
      <c r="AE42" s="92"/>
      <c r="AF42" s="92"/>
    </row>
    <row r="43" spans="1:32">
      <c r="A43" s="48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49"/>
      <c r="S43" s="2">
        <v>7195046.0999999996</v>
      </c>
      <c r="T43" s="97">
        <v>4469059.8220000006</v>
      </c>
      <c r="U43" s="82">
        <v>3500596.2319</v>
      </c>
      <c r="V43" s="82">
        <v>3860399.8335000011</v>
      </c>
      <c r="W43" s="98" t="s">
        <v>236</v>
      </c>
      <c r="X43" s="4">
        <f t="shared" ref="X43:X45" si="3">T43/S43</f>
        <v>0.62113011645609895</v>
      </c>
      <c r="Y43" s="4">
        <f t="shared" ref="Y43:Y45" si="4">V43/S43</f>
        <v>0.53653580252946553</v>
      </c>
      <c r="Z43" s="91"/>
      <c r="AA43" s="91"/>
      <c r="AE43" s="92"/>
      <c r="AF43" s="92"/>
    </row>
    <row r="44" spans="1:32">
      <c r="A44" s="48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49"/>
      <c r="S44" s="2">
        <v>1220475.3</v>
      </c>
      <c r="T44" s="82">
        <v>317197</v>
      </c>
      <c r="U44" s="82">
        <v>317197</v>
      </c>
      <c r="V44" s="82">
        <v>317197</v>
      </c>
      <c r="W44" s="98" t="s">
        <v>215</v>
      </c>
      <c r="X44" s="4">
        <f t="shared" si="3"/>
        <v>0.25989628794617964</v>
      </c>
      <c r="Y44" s="4">
        <f t="shared" si="4"/>
        <v>0.25989628794617964</v>
      </c>
      <c r="Z44" s="91"/>
      <c r="AA44" s="91"/>
      <c r="AE44" s="92"/>
      <c r="AF44" s="92"/>
    </row>
    <row r="45" spans="1:32">
      <c r="A45" s="48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49"/>
      <c r="S45" s="2">
        <v>678533.9</v>
      </c>
      <c r="T45" s="82">
        <v>156554</v>
      </c>
      <c r="U45" s="82">
        <v>252439.34999999998</v>
      </c>
      <c r="V45" s="82">
        <v>266350.25</v>
      </c>
      <c r="W45" s="98" t="s">
        <v>237</v>
      </c>
      <c r="X45" s="4">
        <f t="shared" si="3"/>
        <v>0.23072391814174648</v>
      </c>
      <c r="Y45" s="4">
        <f t="shared" si="4"/>
        <v>0.39253786730478757</v>
      </c>
      <c r="Z45" s="91"/>
      <c r="AA45" s="91"/>
      <c r="AE45" s="92"/>
      <c r="AF45" s="92"/>
    </row>
    <row r="46" spans="1:32">
      <c r="A46" s="48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49"/>
      <c r="S46" s="2">
        <v>6367487.5</v>
      </c>
      <c r="T46" s="82">
        <v>6296</v>
      </c>
      <c r="U46" s="82">
        <v>4722</v>
      </c>
      <c r="V46" s="82">
        <v>5036.8</v>
      </c>
      <c r="W46" s="98" t="s">
        <v>245</v>
      </c>
      <c r="X46" s="4">
        <f t="shared" ref="X46" si="5">T46/S46</f>
        <v>9.8877304431300409E-4</v>
      </c>
      <c r="Y46" s="4">
        <f t="shared" ref="Y46" si="6">V46/S46</f>
        <v>7.9101843545040338E-4</v>
      </c>
      <c r="Z46" s="91"/>
      <c r="AA46" s="91"/>
      <c r="AE46" s="92"/>
      <c r="AF46" s="92"/>
    </row>
    <row r="47" spans="1:32">
      <c r="A47" s="48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49"/>
      <c r="S47" s="2">
        <v>12205282.979999993</v>
      </c>
      <c r="T47" s="82">
        <v>69780.633000000002</v>
      </c>
      <c r="U47" s="99">
        <v>114967.58550000002</v>
      </c>
      <c r="V47" s="82">
        <v>162101.495</v>
      </c>
      <c r="W47" s="98" t="s">
        <v>238</v>
      </c>
      <c r="X47" s="4">
        <f t="shared" ref="X47" si="7">T47/S47</f>
        <v>5.7172482698143916E-3</v>
      </c>
      <c r="Y47" s="4">
        <f t="shared" ref="Y47" si="8">V47/S47</f>
        <v>1.3281256589103688E-2</v>
      </c>
      <c r="Z47" s="91"/>
      <c r="AA47" s="91"/>
      <c r="AE47" s="92"/>
      <c r="AF47" s="92"/>
    </row>
    <row r="48" spans="1:32">
      <c r="A48" s="48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49"/>
      <c r="T48" s="82"/>
      <c r="U48" s="82"/>
      <c r="V48" s="82"/>
      <c r="W48" s="91"/>
      <c r="X48" s="91"/>
      <c r="Y48" s="91"/>
      <c r="Z48" s="91"/>
      <c r="AA48" s="91"/>
      <c r="AE48" s="92"/>
      <c r="AF48" s="92"/>
    </row>
    <row r="49" spans="1:55">
      <c r="A49" s="48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49"/>
      <c r="T49" s="82"/>
      <c r="U49" s="82"/>
      <c r="V49" s="82"/>
      <c r="W49" s="4"/>
      <c r="X49" s="91"/>
      <c r="Y49" s="91"/>
      <c r="Z49" s="91"/>
      <c r="AA49" s="91"/>
      <c r="AE49" s="92"/>
      <c r="AF49" s="92"/>
    </row>
    <row r="50" spans="1:55">
      <c r="A50" s="48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49"/>
      <c r="T50" s="82"/>
      <c r="U50" s="82"/>
      <c r="V50" s="82"/>
      <c r="W50" s="4"/>
      <c r="X50" s="91"/>
      <c r="Y50" s="91"/>
      <c r="Z50" s="91"/>
      <c r="AA50" s="91"/>
    </row>
    <row r="51" spans="1:55">
      <c r="A51" s="48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49"/>
      <c r="X51" s="91"/>
      <c r="Y51" s="91"/>
      <c r="Z51" s="91"/>
      <c r="AA51" s="91"/>
    </row>
    <row r="52" spans="1:55" ht="15.75" thickBot="1">
      <c r="A52" s="50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2"/>
      <c r="X52" s="91"/>
      <c r="Y52" s="91"/>
    </row>
    <row r="53" spans="1:55">
      <c r="S53" s="2">
        <f>(0.4*0.9)+(0.2*0.6)+(0.4*0.4)</f>
        <v>0.64000000000000012</v>
      </c>
      <c r="X53" s="91"/>
      <c r="Y53" s="91"/>
    </row>
    <row r="54" spans="1:55">
      <c r="S54" s="2">
        <f>(0.35*0.95)+(0.3*0.8)+(0.35*0.1)</f>
        <v>0.60750000000000004</v>
      </c>
    </row>
    <row r="56" spans="1:55" hidden="1"/>
    <row r="57" spans="1:55" ht="15.75" hidden="1" thickBot="1"/>
    <row r="58" spans="1:55" ht="16.5" hidden="1" thickBot="1">
      <c r="A58" s="12"/>
      <c r="B58" s="60"/>
      <c r="C58" s="113"/>
      <c r="D58" s="114"/>
      <c r="E58" s="114"/>
      <c r="F58" s="115"/>
      <c r="G58" s="113"/>
      <c r="H58" s="114"/>
      <c r="I58" s="114"/>
      <c r="J58" s="114"/>
      <c r="K58" s="115"/>
      <c r="L58" s="113"/>
      <c r="M58" s="114"/>
      <c r="N58" s="114"/>
      <c r="O58" s="115"/>
      <c r="P58" s="113"/>
      <c r="Q58" s="114"/>
      <c r="R58" s="114"/>
      <c r="S58" s="115"/>
      <c r="T58" s="113"/>
      <c r="U58" s="114"/>
      <c r="V58" s="114"/>
      <c r="W58" s="114"/>
      <c r="X58" s="115"/>
      <c r="Y58" s="113"/>
      <c r="Z58" s="114"/>
      <c r="AA58" s="114"/>
      <c r="AB58" s="115"/>
      <c r="AC58" s="113"/>
      <c r="AD58" s="114"/>
      <c r="AE58" s="114"/>
      <c r="AF58" s="115"/>
      <c r="AG58" s="113"/>
      <c r="AH58" s="114"/>
      <c r="AI58" s="114"/>
      <c r="AJ58" s="114"/>
      <c r="AK58" s="113"/>
      <c r="AL58" s="114"/>
      <c r="AM58" s="114"/>
      <c r="AN58" s="114"/>
      <c r="AO58" s="115"/>
      <c r="AP58" s="113"/>
      <c r="AQ58" s="114"/>
      <c r="AR58" s="114"/>
      <c r="AS58" s="115"/>
      <c r="AT58" s="113"/>
      <c r="AU58" s="114"/>
      <c r="AV58" s="114"/>
      <c r="AW58" s="114"/>
      <c r="AX58" s="115"/>
      <c r="AY58" s="116"/>
      <c r="AZ58" s="117"/>
      <c r="BA58" s="117"/>
      <c r="BB58" s="117"/>
      <c r="BC58" s="117"/>
    </row>
    <row r="59" spans="1:55" ht="16.5" hidden="1" thickBot="1">
      <c r="A59" s="13"/>
      <c r="B59" s="14"/>
      <c r="C59" s="15"/>
      <c r="D59" s="16"/>
      <c r="E59" s="16"/>
      <c r="F59" s="14"/>
      <c r="G59" s="15"/>
      <c r="H59" s="16"/>
      <c r="I59" s="16"/>
      <c r="J59" s="16"/>
      <c r="K59" s="16"/>
      <c r="L59" s="15"/>
      <c r="M59" s="16"/>
      <c r="N59" s="16"/>
      <c r="O59" s="14"/>
      <c r="P59" s="15"/>
      <c r="Q59" s="16"/>
      <c r="R59" s="16"/>
      <c r="S59" s="14"/>
      <c r="T59" s="15"/>
      <c r="U59" s="16"/>
      <c r="V59" s="16"/>
      <c r="W59" s="16"/>
      <c r="X59" s="14"/>
      <c r="Y59" s="15"/>
      <c r="Z59" s="16"/>
      <c r="AA59" s="16"/>
      <c r="AB59" s="14"/>
      <c r="AC59" s="15"/>
      <c r="AD59" s="16"/>
      <c r="AE59" s="16"/>
      <c r="AF59" s="16"/>
      <c r="AG59" s="15"/>
      <c r="AH59" s="16"/>
      <c r="AI59" s="16"/>
      <c r="AJ59" s="16"/>
      <c r="AK59" s="15"/>
      <c r="AL59" s="16"/>
      <c r="AM59" s="16"/>
      <c r="AN59" s="14"/>
      <c r="AO59" s="17"/>
      <c r="AP59" s="15"/>
      <c r="AQ59" s="16"/>
      <c r="AR59" s="16"/>
      <c r="AS59" s="14"/>
      <c r="AT59" s="15"/>
      <c r="AU59" s="16"/>
      <c r="AV59" s="16"/>
      <c r="AW59" s="16"/>
      <c r="AX59" s="14"/>
      <c r="AY59" s="15"/>
      <c r="AZ59" s="16"/>
      <c r="BA59" s="16"/>
      <c r="BB59" s="14"/>
      <c r="BC59" s="14"/>
    </row>
    <row r="60" spans="1:55" ht="17.25" hidden="1" thickBot="1">
      <c r="A60" s="18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</row>
    <row r="61" spans="1:55" ht="16.5" hidden="1">
      <c r="A61" s="18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6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</row>
    <row r="62" spans="1:55" ht="16.5" hidden="1">
      <c r="A62" s="21"/>
      <c r="B62" s="5"/>
      <c r="C62" s="5"/>
      <c r="D62" s="5"/>
      <c r="E62" s="5"/>
      <c r="F62" s="5"/>
      <c r="G62" s="5"/>
      <c r="H62" s="5"/>
      <c r="I62" s="5"/>
      <c r="J62" s="5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</row>
    <row r="63" spans="1:55" ht="16.5" hidden="1">
      <c r="A63" s="7"/>
      <c r="B63" s="66"/>
      <c r="C63" s="66"/>
      <c r="D63" s="66"/>
      <c r="E63" s="66"/>
      <c r="F63" s="66"/>
      <c r="G63" s="66"/>
      <c r="H63" s="66"/>
      <c r="I63" s="66"/>
      <c r="J63" s="66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  <c r="AP63" s="67"/>
      <c r="AQ63" s="67"/>
      <c r="AR63" s="67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67"/>
    </row>
    <row r="64" spans="1:55" hidden="1"/>
    <row r="65" spans="1:81"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</row>
    <row r="66" spans="1:81" s="61" customFormat="1" hidden="1"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Q66" s="62"/>
      <c r="AR66" s="62"/>
      <c r="AS66" s="62"/>
      <c r="AT66" s="62"/>
      <c r="AU66" s="62"/>
      <c r="AV66" s="62"/>
      <c r="AW66" s="62"/>
      <c r="AX66" s="62"/>
      <c r="AY66" s="62"/>
      <c r="AZ66" s="62"/>
      <c r="BA66" s="62"/>
      <c r="BB66" s="62"/>
      <c r="BC66" s="62"/>
    </row>
    <row r="67" spans="1:81" s="61" customFormat="1" hidden="1"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Q67" s="62"/>
      <c r="AR67" s="62"/>
      <c r="AS67" s="62"/>
      <c r="AT67" s="62"/>
      <c r="AU67" s="62"/>
      <c r="AV67" s="62"/>
      <c r="AW67" s="62"/>
      <c r="AX67" s="62"/>
      <c r="AY67" s="62"/>
      <c r="AZ67" s="62"/>
      <c r="BA67" s="62"/>
      <c r="BB67" s="62"/>
      <c r="BC67" s="62"/>
    </row>
    <row r="68" spans="1:81" s="61" customFormat="1" hidden="1"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  <c r="AR68" s="62"/>
      <c r="AS68" s="62"/>
      <c r="AT68" s="62"/>
      <c r="AU68" s="62"/>
      <c r="AV68" s="62"/>
      <c r="AW68" s="62"/>
      <c r="AX68" s="62"/>
      <c r="AY68" s="62"/>
      <c r="AZ68" s="62"/>
      <c r="BA68" s="62"/>
      <c r="BB68" s="62"/>
      <c r="BC68" s="62"/>
      <c r="BD68" s="62"/>
      <c r="BE68" s="62"/>
      <c r="BF68" s="62"/>
      <c r="BG68" s="62"/>
      <c r="BH68" s="62"/>
      <c r="BI68" s="62"/>
      <c r="BJ68" s="62"/>
      <c r="BK68" s="62"/>
      <c r="BL68" s="62"/>
      <c r="BM68" s="62"/>
      <c r="BN68" s="62"/>
      <c r="BO68" s="62"/>
      <c r="BP68" s="62"/>
      <c r="BQ68" s="62"/>
      <c r="BR68" s="62"/>
      <c r="BS68" s="62"/>
      <c r="BT68" s="62"/>
      <c r="BU68" s="62"/>
      <c r="BV68" s="62"/>
      <c r="BW68" s="62"/>
      <c r="BX68" s="62"/>
      <c r="BY68" s="62"/>
      <c r="BZ68" s="62"/>
      <c r="CA68" s="62"/>
      <c r="CB68" s="62"/>
      <c r="CC68" s="62"/>
    </row>
    <row r="69" spans="1:81" s="61" customFormat="1" hidden="1"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Q69" s="62"/>
      <c r="AR69" s="62"/>
      <c r="AS69" s="62"/>
      <c r="AT69" s="62"/>
      <c r="AU69" s="62"/>
      <c r="AV69" s="62"/>
      <c r="AW69" s="62"/>
      <c r="AX69" s="62"/>
      <c r="AY69" s="62"/>
      <c r="AZ69" s="62"/>
      <c r="BA69" s="62"/>
      <c r="BB69" s="62"/>
      <c r="BC69" s="62"/>
      <c r="BD69" s="62"/>
      <c r="BE69" s="62"/>
      <c r="BF69" s="62"/>
      <c r="BG69" s="62"/>
      <c r="BH69" s="62"/>
      <c r="BI69" s="62"/>
      <c r="BJ69" s="62"/>
      <c r="BK69" s="62"/>
      <c r="BL69" s="62"/>
      <c r="BM69" s="62"/>
      <c r="BN69" s="62"/>
      <c r="BO69" s="62"/>
      <c r="BP69" s="62"/>
      <c r="BQ69" s="62"/>
      <c r="BR69" s="62"/>
      <c r="BS69" s="62"/>
      <c r="BT69" s="62"/>
      <c r="BU69" s="62"/>
      <c r="BV69" s="62"/>
      <c r="BW69" s="62"/>
      <c r="BX69" s="62"/>
      <c r="BY69" s="62"/>
      <c r="BZ69" s="62"/>
      <c r="CA69" s="62"/>
      <c r="CB69" s="62"/>
      <c r="CC69" s="62"/>
    </row>
    <row r="70" spans="1:81" hidden="1"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</row>
    <row r="71" spans="1:81" hidden="1"/>
    <row r="72" spans="1:81" hidden="1"/>
    <row r="73" spans="1:81">
      <c r="A73" t="s">
        <v>270</v>
      </c>
      <c r="C73" s="81">
        <v>1262</v>
      </c>
      <c r="D73" s="81">
        <v>1218</v>
      </c>
      <c r="E73" s="81">
        <v>1192</v>
      </c>
      <c r="F73" s="81">
        <v>1183</v>
      </c>
      <c r="G73" s="81">
        <v>1230</v>
      </c>
      <c r="H73" s="81"/>
      <c r="I73" s="81">
        <v>1215</v>
      </c>
      <c r="J73" s="81"/>
      <c r="K73" s="81"/>
      <c r="L73" s="81"/>
      <c r="M73" s="81"/>
      <c r="N73" s="81"/>
      <c r="O73" s="81"/>
      <c r="P73" s="81"/>
      <c r="Q73" s="81"/>
      <c r="R73" s="81">
        <f>5202609.67+4951.7</f>
        <v>5207561.37</v>
      </c>
      <c r="S73" s="86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</row>
    <row r="74" spans="1:81">
      <c r="A74" t="s">
        <v>271</v>
      </c>
      <c r="C74" s="81">
        <v>796</v>
      </c>
      <c r="D74" s="81">
        <v>906</v>
      </c>
      <c r="E74" s="81">
        <v>888</v>
      </c>
      <c r="F74" s="81">
        <v>846</v>
      </c>
      <c r="G74" s="81">
        <v>725</v>
      </c>
      <c r="H74" s="81">
        <v>158</v>
      </c>
      <c r="I74" s="81">
        <v>744</v>
      </c>
      <c r="J74" s="81"/>
      <c r="K74" s="81"/>
      <c r="L74" s="81"/>
      <c r="M74" s="81"/>
      <c r="N74" s="81"/>
      <c r="O74" s="81"/>
      <c r="P74" s="81"/>
      <c r="Q74" s="81"/>
      <c r="R74" s="81"/>
      <c r="S74" s="86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</row>
    <row r="75" spans="1:81">
      <c r="A75" t="s">
        <v>0</v>
      </c>
      <c r="C75" s="85">
        <v>505</v>
      </c>
      <c r="D75" s="85">
        <v>489</v>
      </c>
      <c r="E75" s="85">
        <v>489</v>
      </c>
      <c r="F75" s="85">
        <v>487</v>
      </c>
      <c r="G75" s="85">
        <v>496</v>
      </c>
      <c r="H75" s="85">
        <v>78</v>
      </c>
      <c r="I75" s="85">
        <v>516</v>
      </c>
      <c r="J75" s="85"/>
      <c r="K75" s="85"/>
      <c r="L75" s="85"/>
      <c r="M75" s="85"/>
      <c r="N75" s="85"/>
      <c r="O75" s="85"/>
      <c r="P75" s="85"/>
      <c r="Q75" s="81"/>
      <c r="R75" s="81"/>
      <c r="S75" s="86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</row>
    <row r="76" spans="1:81">
      <c r="A76" t="s">
        <v>1</v>
      </c>
      <c r="C76" s="83">
        <v>42330</v>
      </c>
      <c r="D76" s="83">
        <f>C76+1</f>
        <v>42331</v>
      </c>
      <c r="E76" s="83">
        <f t="shared" ref="E76:I76" si="9">D76+1</f>
        <v>42332</v>
      </c>
      <c r="F76" s="83">
        <f t="shared" si="9"/>
        <v>42333</v>
      </c>
      <c r="G76" s="83">
        <f t="shared" si="9"/>
        <v>42334</v>
      </c>
      <c r="H76" s="83">
        <f t="shared" si="9"/>
        <v>42335</v>
      </c>
      <c r="I76" s="83">
        <f t="shared" si="9"/>
        <v>42336</v>
      </c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</row>
    <row r="77" spans="1:81">
      <c r="C77" s="85"/>
      <c r="D77" s="85"/>
      <c r="E77" s="85"/>
      <c r="F77" s="85"/>
      <c r="G77" s="85"/>
      <c r="H77" s="85"/>
      <c r="I77" s="85"/>
      <c r="J77" s="81"/>
      <c r="K77" s="81"/>
      <c r="L77" s="81"/>
      <c r="M77" s="81"/>
      <c r="N77" s="81"/>
      <c r="O77" s="81"/>
      <c r="P77" s="81"/>
      <c r="Q77" s="81"/>
      <c r="R77" s="81"/>
      <c r="S77" s="86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</row>
    <row r="79" spans="1:81">
      <c r="Q79" s="25"/>
      <c r="S79" s="93" t="s">
        <v>126</v>
      </c>
      <c r="T79" s="94" t="s">
        <v>217</v>
      </c>
      <c r="U79" s="94" t="s">
        <v>218</v>
      </c>
      <c r="V79" s="94" t="s">
        <v>219</v>
      </c>
      <c r="W79" s="94" t="s">
        <v>220</v>
      </c>
      <c r="X79" s="94" t="s">
        <v>221</v>
      </c>
      <c r="Y79" s="94" t="s">
        <v>222</v>
      </c>
      <c r="Z79" s="94" t="s">
        <v>126</v>
      </c>
      <c r="AA79" s="94" t="s">
        <v>127</v>
      </c>
    </row>
    <row r="80" spans="1:81">
      <c r="D80" t="s">
        <v>25</v>
      </c>
      <c r="E80" t="s">
        <v>12</v>
      </c>
      <c r="F80" t="s">
        <v>13</v>
      </c>
      <c r="G80" t="s">
        <v>14</v>
      </c>
      <c r="H80" t="s">
        <v>15</v>
      </c>
      <c r="I80" t="s">
        <v>16</v>
      </c>
      <c r="J80" t="s">
        <v>17</v>
      </c>
      <c r="Q80" s="25"/>
      <c r="R80" t="s">
        <v>223</v>
      </c>
      <c r="S80" s="2">
        <v>57</v>
      </c>
      <c r="T80">
        <v>41</v>
      </c>
      <c r="U80">
        <v>28</v>
      </c>
      <c r="V80">
        <v>10</v>
      </c>
      <c r="W80">
        <v>3</v>
      </c>
      <c r="X80">
        <v>19</v>
      </c>
      <c r="Y80">
        <v>60</v>
      </c>
      <c r="Z80">
        <v>0.95</v>
      </c>
      <c r="AA80">
        <v>0.68333333333333335</v>
      </c>
    </row>
    <row r="81" spans="4:27">
      <c r="E81" s="63">
        <f>SUM(E82:E84)</f>
        <v>329</v>
      </c>
      <c r="F81" s="63">
        <f t="shared" ref="F81:J81" si="10">SUM(F82:F84)</f>
        <v>321</v>
      </c>
      <c r="G81" s="63">
        <f t="shared" si="10"/>
        <v>257</v>
      </c>
      <c r="H81" s="63">
        <f t="shared" si="10"/>
        <v>36</v>
      </c>
      <c r="I81" s="63">
        <f t="shared" si="10"/>
        <v>28</v>
      </c>
      <c r="J81" s="63">
        <f t="shared" si="10"/>
        <v>8</v>
      </c>
      <c r="M81" s="91"/>
      <c r="Q81" s="25"/>
      <c r="R81" t="s">
        <v>224</v>
      </c>
      <c r="S81" s="2">
        <v>22</v>
      </c>
      <c r="T81">
        <v>17</v>
      </c>
      <c r="U81">
        <v>11</v>
      </c>
      <c r="V81">
        <v>4</v>
      </c>
      <c r="W81">
        <v>2</v>
      </c>
      <c r="X81">
        <v>41</v>
      </c>
      <c r="Y81">
        <v>58</v>
      </c>
      <c r="Z81">
        <v>0.37931034482758619</v>
      </c>
      <c r="AA81">
        <v>0.29310344827586204</v>
      </c>
    </row>
    <row r="82" spans="4:27">
      <c r="D82" t="s">
        <v>26</v>
      </c>
      <c r="E82" s="63">
        <f>70+67</f>
        <v>137</v>
      </c>
      <c r="F82" s="63">
        <f>SUM(G82:I82)</f>
        <v>135</v>
      </c>
      <c r="G82" s="63">
        <v>133</v>
      </c>
      <c r="H82" s="63">
        <v>1</v>
      </c>
      <c r="I82" s="63">
        <v>1</v>
      </c>
      <c r="J82" s="63">
        <f>E82-F82</f>
        <v>2</v>
      </c>
      <c r="M82" s="91"/>
      <c r="Q82" s="25"/>
      <c r="R82" t="s">
        <v>225</v>
      </c>
      <c r="S82" s="2">
        <v>25</v>
      </c>
      <c r="T82">
        <v>15</v>
      </c>
      <c r="U82">
        <v>4</v>
      </c>
      <c r="V82">
        <v>7</v>
      </c>
      <c r="W82">
        <v>4</v>
      </c>
      <c r="X82">
        <v>74</v>
      </c>
      <c r="Y82">
        <v>89</v>
      </c>
      <c r="Z82">
        <v>0.2808988764044944</v>
      </c>
      <c r="AA82">
        <v>0.16853932584269662</v>
      </c>
    </row>
    <row r="83" spans="4:27">
      <c r="D83" t="s">
        <v>24</v>
      </c>
      <c r="E83" s="63">
        <f>29+14+16+9+13+23</f>
        <v>104</v>
      </c>
      <c r="F83" s="63">
        <f>SUM(G83:I83)</f>
        <v>100</v>
      </c>
      <c r="G83" s="94">
        <v>71</v>
      </c>
      <c r="H83" s="63">
        <v>24</v>
      </c>
      <c r="I83" s="63">
        <v>5</v>
      </c>
      <c r="J83" s="63">
        <f t="shared" ref="J83:J84" si="11">E83-F83</f>
        <v>4</v>
      </c>
      <c r="M83" s="91"/>
      <c r="Q83" s="25"/>
      <c r="R83" t="s">
        <v>226</v>
      </c>
      <c r="S83" s="2">
        <v>19</v>
      </c>
      <c r="T83">
        <v>11</v>
      </c>
      <c r="U83">
        <v>5</v>
      </c>
      <c r="V83">
        <v>6</v>
      </c>
      <c r="W83">
        <v>0</v>
      </c>
      <c r="X83">
        <v>24</v>
      </c>
      <c r="Y83">
        <v>35</v>
      </c>
      <c r="Z83">
        <v>0.54285714285714282</v>
      </c>
      <c r="AA83">
        <v>0.31428571428571428</v>
      </c>
    </row>
    <row r="84" spans="4:27">
      <c r="D84" t="s">
        <v>11</v>
      </c>
      <c r="E84" s="63">
        <v>88</v>
      </c>
      <c r="F84" s="63">
        <f>SUM(G84:I84)</f>
        <v>86</v>
      </c>
      <c r="G84" s="63">
        <v>53</v>
      </c>
      <c r="H84" s="63">
        <v>11</v>
      </c>
      <c r="I84" s="63">
        <v>22</v>
      </c>
      <c r="J84" s="63">
        <f t="shared" si="11"/>
        <v>2</v>
      </c>
      <c r="M84" s="91"/>
      <c r="Q84" s="25"/>
      <c r="R84" t="s">
        <v>228</v>
      </c>
      <c r="S84" s="2">
        <v>10</v>
      </c>
      <c r="T84">
        <v>8</v>
      </c>
      <c r="U84">
        <v>3</v>
      </c>
      <c r="V84">
        <v>5</v>
      </c>
      <c r="W84">
        <v>0</v>
      </c>
      <c r="X84">
        <v>30</v>
      </c>
      <c r="Y84">
        <v>38</v>
      </c>
      <c r="Z84">
        <v>0.26315789473684209</v>
      </c>
      <c r="AA84">
        <v>0.21052631578947367</v>
      </c>
    </row>
    <row r="85" spans="4:27">
      <c r="M85" s="91"/>
      <c r="Q85" s="25"/>
      <c r="R85" t="s">
        <v>229</v>
      </c>
      <c r="S85" s="2">
        <v>1</v>
      </c>
      <c r="T85">
        <v>2</v>
      </c>
      <c r="U85">
        <v>0</v>
      </c>
      <c r="V85">
        <v>2</v>
      </c>
      <c r="W85">
        <v>0</v>
      </c>
      <c r="X85">
        <v>9</v>
      </c>
      <c r="Y85">
        <v>11</v>
      </c>
      <c r="Z85">
        <v>9.0909090909090912E-2</v>
      </c>
      <c r="AA85">
        <v>0.18181818181818182</v>
      </c>
    </row>
    <row r="86" spans="4:27">
      <c r="R86" t="s">
        <v>227</v>
      </c>
      <c r="S86" s="2">
        <v>3</v>
      </c>
      <c r="T86">
        <v>6</v>
      </c>
      <c r="U86">
        <v>2</v>
      </c>
      <c r="V86">
        <v>2</v>
      </c>
      <c r="W86">
        <v>2</v>
      </c>
      <c r="X86">
        <v>24</v>
      </c>
      <c r="Y86">
        <v>30</v>
      </c>
      <c r="Z86">
        <v>0.1</v>
      </c>
      <c r="AA86">
        <v>0.2</v>
      </c>
    </row>
    <row r="87" spans="4:27">
      <c r="R87" t="s">
        <v>222</v>
      </c>
      <c r="S87" s="2">
        <v>137</v>
      </c>
      <c r="T87">
        <v>100</v>
      </c>
      <c r="U87">
        <v>53</v>
      </c>
      <c r="V87">
        <v>36</v>
      </c>
      <c r="W87">
        <v>11</v>
      </c>
      <c r="X87">
        <v>221</v>
      </c>
      <c r="Y87">
        <v>321</v>
      </c>
      <c r="Z87">
        <v>0.42679127725856697</v>
      </c>
      <c r="AA87">
        <v>0.3115264797507788</v>
      </c>
    </row>
    <row r="90" spans="4:27">
      <c r="D90" t="s">
        <v>18</v>
      </c>
      <c r="E90" t="s">
        <v>13</v>
      </c>
      <c r="F90" t="s">
        <v>14</v>
      </c>
      <c r="G90" t="s">
        <v>15</v>
      </c>
      <c r="H90" t="s">
        <v>16</v>
      </c>
    </row>
    <row r="91" spans="4:27">
      <c r="D91" s="53" t="s">
        <v>26</v>
      </c>
      <c r="E91">
        <f t="shared" ref="E91:E93" si="12">SUM(F91:H91)</f>
        <v>76</v>
      </c>
      <c r="F91">
        <v>74</v>
      </c>
      <c r="G91">
        <v>2</v>
      </c>
      <c r="H91">
        <v>0</v>
      </c>
    </row>
    <row r="92" spans="4:27">
      <c r="D92" t="s">
        <v>24</v>
      </c>
      <c r="E92">
        <f t="shared" si="12"/>
        <v>92</v>
      </c>
      <c r="F92">
        <v>92</v>
      </c>
      <c r="G92">
        <v>0</v>
      </c>
      <c r="H92">
        <v>0</v>
      </c>
    </row>
    <row r="93" spans="4:27">
      <c r="D93" t="s">
        <v>11</v>
      </c>
      <c r="E93">
        <f t="shared" si="12"/>
        <v>30</v>
      </c>
      <c r="F93">
        <v>25</v>
      </c>
      <c r="G93">
        <v>2</v>
      </c>
      <c r="H93">
        <v>3</v>
      </c>
    </row>
    <row r="99" spans="4:66" s="55" customFormat="1" ht="45">
      <c r="D99" s="55" t="s">
        <v>19</v>
      </c>
      <c r="E99" s="55" t="s">
        <v>20</v>
      </c>
      <c r="F99" s="55" t="s">
        <v>14</v>
      </c>
      <c r="G99" s="55" t="s">
        <v>23</v>
      </c>
      <c r="H99" s="55" t="s">
        <v>16</v>
      </c>
      <c r="S99" s="56"/>
    </row>
    <row r="100" spans="4:66" s="53" customFormat="1">
      <c r="D100" s="53" t="s">
        <v>26</v>
      </c>
      <c r="E100" s="53">
        <f>SUM(F100:H100)</f>
        <v>1816</v>
      </c>
      <c r="F100" s="53">
        <v>1388</v>
      </c>
      <c r="G100" s="53">
        <v>391</v>
      </c>
      <c r="H100" s="53">
        <v>37</v>
      </c>
      <c r="S100" s="54"/>
    </row>
    <row r="101" spans="4:66">
      <c r="D101" t="s">
        <v>24</v>
      </c>
      <c r="E101" s="53">
        <f>SUM(F101:H101)</f>
        <v>161</v>
      </c>
      <c r="F101">
        <v>142</v>
      </c>
      <c r="G101">
        <v>12</v>
      </c>
      <c r="H101" s="53">
        <v>7</v>
      </c>
    </row>
    <row r="102" spans="4:66">
      <c r="D102" t="s">
        <v>11</v>
      </c>
      <c r="E102" s="53">
        <f>SUM(F102:H102)</f>
        <v>290</v>
      </c>
      <c r="F102">
        <v>261</v>
      </c>
      <c r="G102">
        <v>10</v>
      </c>
      <c r="H102" s="53">
        <v>19</v>
      </c>
    </row>
    <row r="103" spans="4:66">
      <c r="H103" s="53"/>
    </row>
    <row r="104" spans="4:66">
      <c r="H104" s="53"/>
    </row>
    <row r="105" spans="4:66">
      <c r="H105" s="53"/>
      <c r="I105" s="42"/>
    </row>
    <row r="106" spans="4:66">
      <c r="H106" s="53"/>
      <c r="I106" s="42"/>
    </row>
    <row r="107" spans="4:66">
      <c r="I107" s="42"/>
    </row>
    <row r="108" spans="4:66">
      <c r="I108" s="42"/>
    </row>
    <row r="109" spans="4:66">
      <c r="I109" s="42"/>
    </row>
    <row r="110" spans="4:66">
      <c r="I110" s="42"/>
    </row>
    <row r="111" spans="4:66">
      <c r="I111" s="42"/>
      <c r="P111" s="64">
        <v>40810</v>
      </c>
      <c r="Q111" s="64">
        <v>40817</v>
      </c>
      <c r="R111" s="64">
        <v>40824</v>
      </c>
      <c r="S111" s="2">
        <v>40831</v>
      </c>
      <c r="T111" s="64">
        <v>40838</v>
      </c>
      <c r="U111" s="64">
        <v>40845</v>
      </c>
      <c r="V111" s="64">
        <v>40852</v>
      </c>
      <c r="W111" s="64">
        <v>40859</v>
      </c>
      <c r="X111" s="64">
        <v>40866</v>
      </c>
      <c r="Y111" s="64">
        <v>40873</v>
      </c>
      <c r="Z111" s="64">
        <v>40880</v>
      </c>
      <c r="AA111" s="64">
        <v>40887</v>
      </c>
      <c r="AB111" s="64">
        <v>40894</v>
      </c>
      <c r="AC111" s="64">
        <v>40901</v>
      </c>
      <c r="AD111" s="64">
        <v>40908</v>
      </c>
      <c r="AE111" s="64">
        <v>40915</v>
      </c>
      <c r="AF111" s="64">
        <v>40922</v>
      </c>
      <c r="AG111" s="64">
        <v>40929</v>
      </c>
      <c r="AH111" s="64">
        <v>40936</v>
      </c>
      <c r="AI111" s="64">
        <v>40943</v>
      </c>
      <c r="AJ111" s="64">
        <v>40950</v>
      </c>
      <c r="AK111" s="64">
        <v>40957</v>
      </c>
      <c r="AL111" s="64">
        <v>40964</v>
      </c>
      <c r="AM111" s="64">
        <v>40971</v>
      </c>
      <c r="AN111" s="64">
        <v>40978</v>
      </c>
      <c r="AO111" s="64">
        <v>40985</v>
      </c>
      <c r="AP111" s="64">
        <v>40992</v>
      </c>
      <c r="AQ111" s="64">
        <v>40999</v>
      </c>
      <c r="AR111" s="64">
        <v>41006</v>
      </c>
      <c r="AS111" s="64">
        <v>41013</v>
      </c>
      <c r="AT111" s="64">
        <v>41020</v>
      </c>
      <c r="AU111" s="64">
        <v>41027</v>
      </c>
      <c r="AV111" s="64">
        <v>41034</v>
      </c>
      <c r="AW111" s="64">
        <v>41041</v>
      </c>
      <c r="AX111" s="64">
        <v>41048</v>
      </c>
      <c r="AY111" s="64">
        <v>41055</v>
      </c>
      <c r="AZ111" s="64">
        <v>41062</v>
      </c>
      <c r="BA111" s="64">
        <v>41069</v>
      </c>
      <c r="BB111" s="64">
        <v>41076</v>
      </c>
      <c r="BC111" s="64">
        <v>41083</v>
      </c>
      <c r="BD111" s="64">
        <v>41090</v>
      </c>
      <c r="BE111" s="64">
        <v>41097</v>
      </c>
      <c r="BF111" s="64">
        <v>41104</v>
      </c>
      <c r="BG111" s="64">
        <v>41111</v>
      </c>
      <c r="BH111" s="64">
        <v>41118</v>
      </c>
      <c r="BI111" s="64">
        <v>41125</v>
      </c>
      <c r="BJ111" s="64">
        <v>41132</v>
      </c>
      <c r="BK111" s="64">
        <v>41139</v>
      </c>
      <c r="BL111" s="64">
        <v>41146</v>
      </c>
      <c r="BM111" s="64">
        <v>41153</v>
      </c>
      <c r="BN111" s="64">
        <v>41160</v>
      </c>
    </row>
    <row r="112" spans="4:66">
      <c r="I112" s="42"/>
      <c r="P112" s="24">
        <v>131912</v>
      </c>
      <c r="Q112" s="24">
        <v>643706</v>
      </c>
      <c r="R112" s="24">
        <v>1009481</v>
      </c>
      <c r="S112" s="2">
        <v>1287969</v>
      </c>
      <c r="T112" s="24">
        <v>1575605</v>
      </c>
      <c r="U112" s="24">
        <v>1760830</v>
      </c>
      <c r="V112" s="24">
        <v>1798664</v>
      </c>
      <c r="W112" s="24">
        <v>1915218</v>
      </c>
      <c r="X112" s="24">
        <v>2107058</v>
      </c>
      <c r="Y112" s="24">
        <v>2382238</v>
      </c>
      <c r="Z112" s="24">
        <v>2748007</v>
      </c>
      <c r="AA112" s="24">
        <v>3166664</v>
      </c>
      <c r="AB112" s="24">
        <v>3577564</v>
      </c>
      <c r="AC112" s="24">
        <v>3831357</v>
      </c>
      <c r="AD112" s="24">
        <v>4081048</v>
      </c>
      <c r="AE112" s="24">
        <v>4462728</v>
      </c>
      <c r="AF112" s="24">
        <v>5031673</v>
      </c>
      <c r="AG112" s="24">
        <v>5580053</v>
      </c>
      <c r="AH112" s="24">
        <v>6006644</v>
      </c>
      <c r="AI112" s="24">
        <v>6492527</v>
      </c>
      <c r="AJ112" s="24">
        <v>7136994</v>
      </c>
      <c r="AK112" s="24">
        <v>7896556</v>
      </c>
      <c r="AL112" s="24">
        <v>8769271</v>
      </c>
      <c r="AM112" s="24">
        <v>9999343</v>
      </c>
      <c r="AN112" s="24">
        <v>11900695</v>
      </c>
      <c r="AO112" s="24">
        <v>13632742</v>
      </c>
      <c r="AP112" s="24">
        <v>14607153</v>
      </c>
      <c r="AQ112" s="24">
        <v>15427008</v>
      </c>
      <c r="AR112" s="24">
        <v>16215317</v>
      </c>
      <c r="AS112" s="24">
        <v>16982353</v>
      </c>
      <c r="AT112" s="24">
        <v>17687641</v>
      </c>
      <c r="AU112" s="24">
        <v>18413613</v>
      </c>
      <c r="AV112" s="24">
        <v>19011308</v>
      </c>
      <c r="AW112" s="24">
        <v>19878546</v>
      </c>
      <c r="AX112" s="24">
        <v>20783856</v>
      </c>
      <c r="AY112" s="24">
        <v>21439221</v>
      </c>
      <c r="AZ112" s="24">
        <v>21704978</v>
      </c>
      <c r="BA112" s="24">
        <v>21827606</v>
      </c>
      <c r="BB112" s="24">
        <v>22012669</v>
      </c>
      <c r="BC112" s="24">
        <v>22119833</v>
      </c>
      <c r="BD112" s="24">
        <v>22177198</v>
      </c>
      <c r="BE112" s="24">
        <v>22196382</v>
      </c>
      <c r="BF112" s="24">
        <v>22269461</v>
      </c>
      <c r="BG112" s="24">
        <v>22302596</v>
      </c>
      <c r="BH112" s="24">
        <v>22302596</v>
      </c>
      <c r="BI112" s="24">
        <v>22302596</v>
      </c>
      <c r="BJ112" s="24">
        <v>22302596</v>
      </c>
      <c r="BK112" s="24">
        <v>22302596</v>
      </c>
      <c r="BL112" s="24">
        <v>22302596</v>
      </c>
      <c r="BM112" s="24">
        <v>22302596</v>
      </c>
      <c r="BN112" s="24">
        <v>22302596</v>
      </c>
    </row>
    <row r="113" spans="8:12">
      <c r="I113" s="42"/>
    </row>
    <row r="115" spans="8:12">
      <c r="H115" s="24"/>
      <c r="I115" s="65"/>
      <c r="J115" s="65"/>
      <c r="L115" s="64"/>
    </row>
  </sheetData>
  <mergeCells count="23">
    <mergeCell ref="O22:P23"/>
    <mergeCell ref="A1:P1"/>
    <mergeCell ref="A3:D3"/>
    <mergeCell ref="M3:P3"/>
    <mergeCell ref="A4:D4"/>
    <mergeCell ref="A6:D6"/>
    <mergeCell ref="D2:H2"/>
    <mergeCell ref="I2:M2"/>
    <mergeCell ref="A22:C23"/>
    <mergeCell ref="D22:D23"/>
    <mergeCell ref="L22:M23"/>
    <mergeCell ref="AP58:AS58"/>
    <mergeCell ref="AT58:AX58"/>
    <mergeCell ref="AY58:BC58"/>
    <mergeCell ref="C58:F58"/>
    <mergeCell ref="G58:K58"/>
    <mergeCell ref="L58:O58"/>
    <mergeCell ref="P58:S58"/>
    <mergeCell ref="AK58:AO58"/>
    <mergeCell ref="T58:X58"/>
    <mergeCell ref="Y58:AB58"/>
    <mergeCell ref="AC58:AF58"/>
    <mergeCell ref="AG58:AJ58"/>
  </mergeCells>
  <printOptions horizontalCentered="1" verticalCentered="1"/>
  <pageMargins left="0.196850393700787" right="0.196850393700787" top="0.23622047244094499" bottom="0.23622047244094499" header="0.31496062992126" footer="0.31496062992126"/>
  <pageSetup paperSize="9" scale="6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DD18"/>
  <sheetViews>
    <sheetView topLeftCell="AR1" workbookViewId="0">
      <selection activeCell="BK23" sqref="BK23"/>
    </sheetView>
  </sheetViews>
  <sheetFormatPr defaultRowHeight="15"/>
  <cols>
    <col min="1" max="1" width="18.5703125" customWidth="1"/>
    <col min="2" max="2" width="11.7109375" customWidth="1"/>
    <col min="4" max="48" width="10.42578125" customWidth="1"/>
    <col min="49" max="77" width="11.7109375" bestFit="1" customWidth="1"/>
    <col min="78" max="108" width="12.5703125" bestFit="1" customWidth="1"/>
  </cols>
  <sheetData>
    <row r="2" spans="3:108">
      <c r="D2" s="76">
        <v>41924</v>
      </c>
      <c r="E2" s="76">
        <v>41931</v>
      </c>
      <c r="F2" s="76">
        <v>41938</v>
      </c>
      <c r="G2" s="76">
        <v>41945</v>
      </c>
      <c r="H2" s="76">
        <v>41952</v>
      </c>
      <c r="I2" s="76">
        <v>41959</v>
      </c>
      <c r="J2" s="76">
        <v>41966</v>
      </c>
      <c r="K2" s="76">
        <v>41973</v>
      </c>
      <c r="L2" s="76">
        <v>41980</v>
      </c>
      <c r="M2" s="76">
        <v>41987</v>
      </c>
      <c r="N2" s="76">
        <v>41994</v>
      </c>
      <c r="O2" s="76">
        <v>42001</v>
      </c>
      <c r="P2" s="76">
        <v>42008</v>
      </c>
      <c r="Q2" s="76">
        <v>42015</v>
      </c>
      <c r="R2" s="76">
        <v>42022</v>
      </c>
      <c r="S2" s="76">
        <v>42029</v>
      </c>
      <c r="T2" s="76">
        <v>42036</v>
      </c>
      <c r="U2" s="76">
        <v>42043</v>
      </c>
      <c r="V2" s="76">
        <v>42050</v>
      </c>
      <c r="W2" s="76">
        <v>42057</v>
      </c>
      <c r="X2" s="76">
        <v>42064</v>
      </c>
      <c r="Y2" s="76">
        <v>42071</v>
      </c>
      <c r="Z2" s="76">
        <v>42078</v>
      </c>
      <c r="AA2" s="76">
        <v>42085</v>
      </c>
      <c r="AB2" s="76">
        <v>42092</v>
      </c>
      <c r="AC2" s="76">
        <v>42099</v>
      </c>
      <c r="AD2" s="64">
        <v>42106</v>
      </c>
      <c r="AE2" s="64">
        <v>42113</v>
      </c>
      <c r="AF2" s="64">
        <v>42120</v>
      </c>
      <c r="AG2" s="64">
        <v>42127</v>
      </c>
      <c r="AH2" s="64">
        <v>42134</v>
      </c>
      <c r="AI2" s="64">
        <v>42141</v>
      </c>
      <c r="AJ2" s="64">
        <v>42148</v>
      </c>
      <c r="AK2" s="64">
        <v>42155</v>
      </c>
      <c r="AL2" s="64">
        <v>42162</v>
      </c>
      <c r="AM2" s="64">
        <v>42169</v>
      </c>
      <c r="AN2" s="64">
        <v>42176</v>
      </c>
      <c r="AO2" s="64">
        <v>42183</v>
      </c>
      <c r="AP2" s="64">
        <v>42190</v>
      </c>
      <c r="AQ2" s="64">
        <v>42197</v>
      </c>
      <c r="AR2" s="64">
        <v>42204</v>
      </c>
      <c r="AS2" s="64">
        <v>42211</v>
      </c>
      <c r="AT2" s="64">
        <v>42218</v>
      </c>
      <c r="AU2" s="64">
        <v>42225</v>
      </c>
      <c r="AV2" s="64">
        <v>42232</v>
      </c>
      <c r="AW2" s="64">
        <v>42239</v>
      </c>
      <c r="AX2" s="64">
        <v>42246</v>
      </c>
      <c r="AY2" s="64">
        <v>42253</v>
      </c>
      <c r="AZ2" s="64">
        <v>42260</v>
      </c>
      <c r="BA2" s="64">
        <v>42267</v>
      </c>
      <c r="BB2" s="64">
        <v>42274</v>
      </c>
      <c r="BC2" s="64">
        <v>42281</v>
      </c>
      <c r="BD2" s="64">
        <v>42288</v>
      </c>
      <c r="BE2" s="64">
        <v>42295</v>
      </c>
      <c r="BF2" s="64">
        <v>42302</v>
      </c>
      <c r="BG2" s="64">
        <v>42309</v>
      </c>
      <c r="BH2" s="64">
        <v>42316</v>
      </c>
      <c r="BI2" s="64">
        <v>42323</v>
      </c>
      <c r="BJ2" s="64">
        <v>42330</v>
      </c>
      <c r="BK2" s="64">
        <v>42337</v>
      </c>
      <c r="BL2" s="64">
        <v>42344</v>
      </c>
      <c r="BM2" s="64">
        <v>42351</v>
      </c>
      <c r="BN2" s="64">
        <v>42358</v>
      </c>
      <c r="BO2" s="64">
        <v>42365</v>
      </c>
      <c r="BP2" s="64">
        <v>42372</v>
      </c>
      <c r="BQ2" s="64">
        <v>42379</v>
      </c>
      <c r="BR2" s="64">
        <v>42386</v>
      </c>
      <c r="BS2" s="64">
        <v>42393</v>
      </c>
      <c r="BT2" s="64">
        <v>42400</v>
      </c>
      <c r="BU2" s="64">
        <v>42407</v>
      </c>
      <c r="BV2" s="64">
        <v>42414</v>
      </c>
      <c r="BW2" s="64">
        <v>42421</v>
      </c>
      <c r="BX2" s="64">
        <v>42428</v>
      </c>
      <c r="BY2" s="64">
        <v>42435</v>
      </c>
      <c r="BZ2" s="64">
        <v>42442</v>
      </c>
      <c r="CA2" s="64">
        <v>42449</v>
      </c>
      <c r="CB2" s="64">
        <v>42456</v>
      </c>
      <c r="CC2" s="64">
        <v>42463</v>
      </c>
      <c r="CD2" s="64">
        <v>42470</v>
      </c>
      <c r="CE2" s="64">
        <v>42477</v>
      </c>
      <c r="CF2" s="64">
        <v>42484</v>
      </c>
      <c r="CG2" s="64">
        <v>42491</v>
      </c>
      <c r="CH2" s="64">
        <v>42498</v>
      </c>
      <c r="CI2" s="64">
        <v>42505</v>
      </c>
      <c r="CJ2" s="64">
        <v>42512</v>
      </c>
      <c r="CK2" s="64">
        <v>42519</v>
      </c>
      <c r="CL2" s="64">
        <v>42526</v>
      </c>
      <c r="CM2" s="64">
        <v>42533</v>
      </c>
      <c r="CN2" s="64">
        <v>42540</v>
      </c>
      <c r="CO2" s="64">
        <v>42547</v>
      </c>
      <c r="CP2" s="64">
        <v>42554</v>
      </c>
      <c r="CQ2" s="64">
        <v>42561</v>
      </c>
      <c r="CR2" s="64">
        <v>42568</v>
      </c>
      <c r="CS2" s="64">
        <v>42575</v>
      </c>
      <c r="CT2" s="64">
        <v>42582</v>
      </c>
      <c r="CU2" s="64">
        <v>42589</v>
      </c>
      <c r="CV2" s="64">
        <v>42596</v>
      </c>
      <c r="CW2" s="64">
        <v>42603</v>
      </c>
      <c r="CX2" s="64">
        <v>42610</v>
      </c>
      <c r="CY2" s="64">
        <v>42617</v>
      </c>
      <c r="CZ2" s="64">
        <v>42624</v>
      </c>
      <c r="DA2" s="64">
        <v>42631</v>
      </c>
      <c r="DB2" s="64">
        <v>42638</v>
      </c>
      <c r="DC2" s="64">
        <v>42645</v>
      </c>
      <c r="DD2">
        <v>42652</v>
      </c>
    </row>
    <row r="3" spans="3:108">
      <c r="C3" s="111" t="s">
        <v>250</v>
      </c>
      <c r="D3" s="105">
        <v>45808.22</v>
      </c>
      <c r="E3" s="105">
        <v>98625.919999999998</v>
      </c>
      <c r="F3" s="105">
        <v>144779.76999999999</v>
      </c>
      <c r="G3" s="105">
        <v>144779.76999999999</v>
      </c>
      <c r="H3" s="105">
        <v>1001922.63</v>
      </c>
      <c r="I3" s="105">
        <v>1307856.69</v>
      </c>
      <c r="J3" s="105">
        <v>440709.53</v>
      </c>
      <c r="K3" s="105">
        <v>101389.98</v>
      </c>
      <c r="L3" s="105">
        <v>101946.02</v>
      </c>
      <c r="M3" s="105">
        <v>99242.47</v>
      </c>
      <c r="N3" s="105">
        <v>107688.73</v>
      </c>
      <c r="O3" s="105">
        <v>143518.65</v>
      </c>
      <c r="P3" s="105">
        <v>165527.85</v>
      </c>
      <c r="Q3" s="105">
        <v>272470.38</v>
      </c>
      <c r="R3" s="105">
        <v>407521.31</v>
      </c>
      <c r="S3" s="105">
        <v>251602.5</v>
      </c>
      <c r="T3" s="105">
        <v>274046.92</v>
      </c>
      <c r="U3" s="105">
        <v>334133.96000000002</v>
      </c>
      <c r="V3" s="105">
        <v>363545.08</v>
      </c>
      <c r="W3" s="105">
        <v>315390.49</v>
      </c>
      <c r="X3" s="105">
        <v>302018.12</v>
      </c>
      <c r="Y3" s="105">
        <v>440206.05</v>
      </c>
      <c r="Z3" s="105">
        <v>462020.1</v>
      </c>
      <c r="AA3" s="105">
        <v>414514.7</v>
      </c>
      <c r="AB3" s="105">
        <v>269223.69</v>
      </c>
      <c r="AC3" s="105">
        <v>327511.15000000002</v>
      </c>
      <c r="AD3" s="105">
        <v>354295.45</v>
      </c>
      <c r="AE3" s="105">
        <v>357575.07</v>
      </c>
      <c r="AF3" s="105">
        <v>417149.17</v>
      </c>
      <c r="AG3" s="105">
        <v>554927.94999999995</v>
      </c>
      <c r="AH3" s="105">
        <v>727376</v>
      </c>
      <c r="AI3" s="105">
        <v>629920.31000000006</v>
      </c>
      <c r="AJ3" s="105">
        <v>820053.8</v>
      </c>
      <c r="AK3" s="105">
        <v>833984.73</v>
      </c>
      <c r="AL3" s="105">
        <v>852495.01</v>
      </c>
      <c r="AM3" s="105">
        <v>1125559.25</v>
      </c>
      <c r="AN3" s="105">
        <v>1157755.44</v>
      </c>
      <c r="AO3" s="105">
        <v>861627.08</v>
      </c>
      <c r="AP3" s="105">
        <v>1249373.58</v>
      </c>
      <c r="AQ3" s="105">
        <v>1131367.69</v>
      </c>
      <c r="AR3" s="105">
        <v>580253.46</v>
      </c>
      <c r="AS3" s="105">
        <v>1184716.02</v>
      </c>
      <c r="AT3" s="105">
        <v>1913391.82</v>
      </c>
      <c r="AU3" s="105">
        <v>1362915.78</v>
      </c>
      <c r="AV3" s="105">
        <v>743358.23</v>
      </c>
      <c r="AW3" s="105">
        <v>739531.65</v>
      </c>
      <c r="AX3" s="105">
        <v>1034912.68</v>
      </c>
      <c r="AY3" s="105">
        <v>1003866.91</v>
      </c>
      <c r="AZ3" s="105">
        <v>1048838.93</v>
      </c>
      <c r="BA3" s="105">
        <v>598639.68000000005</v>
      </c>
      <c r="BB3" s="105">
        <v>834451.98</v>
      </c>
      <c r="BC3" s="105">
        <v>1253828.43</v>
      </c>
      <c r="BD3" s="105">
        <v>1277479.6000000001</v>
      </c>
      <c r="BE3" s="105">
        <v>1659029.78</v>
      </c>
      <c r="BF3" s="105">
        <v>1987538.01</v>
      </c>
      <c r="BG3" s="105">
        <v>1977440.72</v>
      </c>
      <c r="BH3" s="105">
        <v>1699856.76</v>
      </c>
      <c r="BI3" s="105">
        <v>2133345.85</v>
      </c>
      <c r="BJ3" s="105">
        <v>2060648.86</v>
      </c>
      <c r="BK3" s="105">
        <v>2279435.0699999998</v>
      </c>
      <c r="BL3" s="105">
        <v>2166255.09</v>
      </c>
      <c r="BM3" s="105">
        <v>2296941.79</v>
      </c>
      <c r="BN3" s="105">
        <v>2563918.63</v>
      </c>
      <c r="BO3" s="105">
        <v>2716902.59</v>
      </c>
      <c r="BP3" s="105">
        <v>2744923.1</v>
      </c>
      <c r="BQ3" s="105">
        <v>3601467.78</v>
      </c>
      <c r="BR3" s="105">
        <v>4276834.71</v>
      </c>
      <c r="BS3" s="105">
        <v>4400286.92</v>
      </c>
      <c r="BT3" s="105">
        <v>4019435.04</v>
      </c>
      <c r="BU3" s="105">
        <v>4769645.22</v>
      </c>
      <c r="BV3" s="105">
        <v>5257864.4000000004</v>
      </c>
      <c r="BW3" s="105">
        <v>4789077.67</v>
      </c>
      <c r="BX3" s="105">
        <v>4391887.3899999997</v>
      </c>
      <c r="BY3" s="105">
        <v>3341632.17</v>
      </c>
      <c r="BZ3" s="105">
        <v>3316754.77</v>
      </c>
      <c r="CA3" s="105">
        <v>3175335.83</v>
      </c>
      <c r="CB3" s="105">
        <v>2880789.21</v>
      </c>
      <c r="CC3" s="105">
        <v>2381584.46</v>
      </c>
      <c r="CD3" s="105">
        <v>2381991.52</v>
      </c>
      <c r="CE3" s="105">
        <v>2953708.19</v>
      </c>
      <c r="CF3" s="105">
        <v>2909635.06</v>
      </c>
      <c r="CG3" s="105">
        <v>2818150.18</v>
      </c>
      <c r="CH3" s="105">
        <v>2666399.61</v>
      </c>
      <c r="CI3" s="105">
        <v>2870306.12</v>
      </c>
      <c r="CJ3" s="105">
        <v>2392595.9900000002</v>
      </c>
      <c r="CK3" s="105">
        <v>2286482.2400000002</v>
      </c>
      <c r="CL3" s="105">
        <v>2348510.91</v>
      </c>
      <c r="CM3" s="105">
        <v>1627950.64</v>
      </c>
      <c r="CN3" s="105">
        <v>1169758.8</v>
      </c>
      <c r="CO3" s="105">
        <v>1190736.31</v>
      </c>
      <c r="CP3" s="105">
        <v>803055.97</v>
      </c>
      <c r="CQ3" s="105">
        <v>587806.71</v>
      </c>
      <c r="CR3" s="105">
        <v>461214.24</v>
      </c>
      <c r="CS3" s="105">
        <v>436845.34</v>
      </c>
      <c r="CT3" s="105">
        <v>522553.67</v>
      </c>
      <c r="CU3" s="105">
        <v>487204.24</v>
      </c>
      <c r="CV3" s="105">
        <v>397270.72</v>
      </c>
      <c r="CW3" s="105">
        <v>231784.84</v>
      </c>
      <c r="CX3" s="105">
        <v>196057.39</v>
      </c>
      <c r="CY3" s="105">
        <v>103418.45</v>
      </c>
      <c r="CZ3" s="105">
        <v>96682.03</v>
      </c>
      <c r="DA3" s="105">
        <v>119791.87</v>
      </c>
      <c r="DB3" s="105">
        <v>119591.53</v>
      </c>
      <c r="DC3" s="105">
        <v>102792.96000000001</v>
      </c>
      <c r="DD3" s="105">
        <v>62760.27</v>
      </c>
    </row>
    <row r="4" spans="3:108">
      <c r="C4" s="111" t="s">
        <v>251</v>
      </c>
      <c r="D4" s="105">
        <v>45808.22</v>
      </c>
      <c r="E4" s="105">
        <v>144434.14000000001</v>
      </c>
      <c r="F4" s="105">
        <v>289213.91000000003</v>
      </c>
      <c r="G4" s="105">
        <v>433993.68000000005</v>
      </c>
      <c r="H4" s="105">
        <v>1435916.31</v>
      </c>
      <c r="I4" s="105">
        <v>2743773</v>
      </c>
      <c r="J4" s="105">
        <v>3184482.5300000003</v>
      </c>
      <c r="K4" s="105">
        <v>3285872.5100000002</v>
      </c>
      <c r="L4" s="105">
        <v>3387818.5300000003</v>
      </c>
      <c r="M4" s="105">
        <v>3487061.0000000005</v>
      </c>
      <c r="N4" s="105">
        <v>3594749.7300000004</v>
      </c>
      <c r="O4" s="105">
        <v>3738268.3800000004</v>
      </c>
      <c r="P4" s="105">
        <v>3903796.2300000004</v>
      </c>
      <c r="Q4" s="105">
        <v>4176266.6100000003</v>
      </c>
      <c r="R4" s="105">
        <v>4583787.92</v>
      </c>
      <c r="S4" s="105">
        <v>4835390.42</v>
      </c>
      <c r="T4" s="105">
        <v>5109437.34</v>
      </c>
      <c r="U4" s="105">
        <v>5443571.2999999998</v>
      </c>
      <c r="V4" s="105">
        <v>5807116.3799999999</v>
      </c>
      <c r="W4" s="105">
        <v>6122506.8700000001</v>
      </c>
      <c r="X4" s="105">
        <v>6424524.9900000002</v>
      </c>
      <c r="Y4" s="105">
        <v>6864731.04</v>
      </c>
      <c r="Z4" s="105">
        <v>7326751.1399999997</v>
      </c>
      <c r="AA4" s="105">
        <v>7741265.8399999999</v>
      </c>
      <c r="AB4" s="105">
        <v>8010489.5300000003</v>
      </c>
      <c r="AC4" s="105">
        <v>8338000.6800000006</v>
      </c>
      <c r="AD4" s="105">
        <v>8692296.1300000008</v>
      </c>
      <c r="AE4" s="105">
        <v>9049871.2000000011</v>
      </c>
      <c r="AF4" s="105">
        <v>9467020.370000001</v>
      </c>
      <c r="AG4" s="105">
        <v>10021948.32</v>
      </c>
      <c r="AH4" s="105">
        <v>10749324.32</v>
      </c>
      <c r="AI4" s="105">
        <v>11379244.630000001</v>
      </c>
      <c r="AJ4" s="105">
        <v>12199298.430000002</v>
      </c>
      <c r="AK4" s="105">
        <v>13033283.160000002</v>
      </c>
      <c r="AL4" s="105">
        <v>13885778.170000002</v>
      </c>
      <c r="AM4" s="105">
        <v>15011337.420000002</v>
      </c>
      <c r="AN4" s="105">
        <v>16169092.860000001</v>
      </c>
      <c r="AO4" s="105">
        <v>17030719.940000001</v>
      </c>
      <c r="AP4" s="105">
        <v>18280093.520000003</v>
      </c>
      <c r="AQ4" s="105">
        <v>19411461.210000005</v>
      </c>
      <c r="AR4" s="105">
        <v>19991714.670000006</v>
      </c>
      <c r="AS4" s="105">
        <v>21176430.690000005</v>
      </c>
      <c r="AT4" s="105">
        <v>23089822.510000005</v>
      </c>
      <c r="AU4" s="105">
        <v>24452738.290000007</v>
      </c>
      <c r="AV4" s="105">
        <v>25196096.520000007</v>
      </c>
      <c r="AW4" s="105">
        <v>25935628.170000006</v>
      </c>
      <c r="AX4" s="105">
        <v>26970540.850000005</v>
      </c>
      <c r="AY4" s="105">
        <v>27974407.760000005</v>
      </c>
      <c r="AZ4" s="105">
        <v>29023246.690000005</v>
      </c>
      <c r="BA4" s="105">
        <v>29621886.370000005</v>
      </c>
      <c r="BB4" s="105">
        <v>30456338.350000005</v>
      </c>
      <c r="BC4" s="105">
        <v>31710166.780000005</v>
      </c>
      <c r="BD4" s="105">
        <v>32987646.380000006</v>
      </c>
      <c r="BE4" s="105">
        <v>34646676.160000004</v>
      </c>
      <c r="BF4" s="105">
        <v>36634214.170000002</v>
      </c>
      <c r="BG4" s="105">
        <v>38611654.890000001</v>
      </c>
      <c r="BH4" s="105">
        <v>40311511.649999999</v>
      </c>
      <c r="BI4" s="105">
        <v>42444857.5</v>
      </c>
      <c r="BJ4" s="105">
        <v>44505506.359999999</v>
      </c>
      <c r="BK4" s="105">
        <v>46784941.43</v>
      </c>
      <c r="BL4" s="105">
        <v>48951196.519999996</v>
      </c>
      <c r="BM4" s="105">
        <v>51248138.309999995</v>
      </c>
      <c r="BN4" s="105">
        <v>53812056.939999998</v>
      </c>
      <c r="BO4" s="105">
        <v>56528959.530000001</v>
      </c>
      <c r="BP4" s="105">
        <v>59273882.630000003</v>
      </c>
      <c r="BQ4" s="105">
        <v>62875350.410000004</v>
      </c>
      <c r="BR4" s="105">
        <v>67152185.120000005</v>
      </c>
      <c r="BS4" s="105">
        <v>71552472.040000007</v>
      </c>
      <c r="BT4" s="105">
        <v>75571907.080000013</v>
      </c>
      <c r="BU4" s="105">
        <v>80341552.300000012</v>
      </c>
      <c r="BV4" s="105">
        <v>85599416.700000018</v>
      </c>
      <c r="BW4" s="105">
        <v>90388494.37000002</v>
      </c>
      <c r="BX4" s="105">
        <v>94780381.76000002</v>
      </c>
      <c r="BY4" s="105">
        <v>98122013.930000022</v>
      </c>
      <c r="BZ4" s="105">
        <v>101438768.70000002</v>
      </c>
      <c r="CA4" s="105">
        <v>104614104.53000002</v>
      </c>
      <c r="CB4" s="105">
        <v>107494893.74000001</v>
      </c>
      <c r="CC4" s="105">
        <v>109876478.2</v>
      </c>
      <c r="CD4" s="105">
        <v>112258469.72</v>
      </c>
      <c r="CE4" s="105">
        <v>115212177.91</v>
      </c>
      <c r="CF4" s="105">
        <v>118121812.97</v>
      </c>
      <c r="CG4" s="105">
        <v>120939963.15000001</v>
      </c>
      <c r="CH4" s="105">
        <v>123606362.76000001</v>
      </c>
      <c r="CI4" s="105">
        <v>126476668.88000001</v>
      </c>
      <c r="CJ4" s="105">
        <v>128869264.87</v>
      </c>
      <c r="CK4" s="105">
        <v>131155747.11</v>
      </c>
      <c r="CL4" s="105">
        <v>133504258.02</v>
      </c>
      <c r="CM4" s="105">
        <v>135132208.66</v>
      </c>
      <c r="CN4" s="105">
        <v>136301967.46000001</v>
      </c>
      <c r="CO4" s="105">
        <v>137492703.77000001</v>
      </c>
      <c r="CP4" s="105">
        <v>138295759.74000001</v>
      </c>
      <c r="CQ4" s="105">
        <v>138883566.45000002</v>
      </c>
      <c r="CR4" s="105">
        <v>139344780.69000003</v>
      </c>
      <c r="CS4" s="105">
        <v>139781626.03000003</v>
      </c>
      <c r="CT4" s="105">
        <v>140304179.70000002</v>
      </c>
      <c r="CU4" s="105">
        <v>140791383.94000003</v>
      </c>
      <c r="CV4" s="105">
        <v>141188654.66000003</v>
      </c>
      <c r="CW4" s="105">
        <v>141420439.50000003</v>
      </c>
      <c r="CX4" s="105">
        <v>141616496.89000002</v>
      </c>
      <c r="CY4" s="105">
        <v>141719915.34</v>
      </c>
      <c r="CZ4" s="105">
        <v>141816597.37</v>
      </c>
      <c r="DA4" s="105">
        <v>141936389.24000001</v>
      </c>
      <c r="DB4" s="105">
        <v>142055980.77000001</v>
      </c>
      <c r="DC4" s="105">
        <v>142158773.73000002</v>
      </c>
      <c r="DD4" s="105">
        <v>142221534.00000003</v>
      </c>
    </row>
    <row r="5" spans="3:108">
      <c r="C5" s="111" t="s">
        <v>256</v>
      </c>
      <c r="D5" s="105">
        <v>45808.22</v>
      </c>
      <c r="E5" s="105">
        <v>98625.919999999998</v>
      </c>
      <c r="F5" s="105">
        <v>144779.76999999999</v>
      </c>
      <c r="G5" s="105">
        <v>144779.76999999999</v>
      </c>
      <c r="H5" s="105">
        <v>1001922.63</v>
      </c>
      <c r="I5" s="105">
        <v>1307856.69</v>
      </c>
      <c r="J5" s="105">
        <v>440709.53</v>
      </c>
      <c r="K5" s="105">
        <v>101389.98</v>
      </c>
      <c r="L5" s="105">
        <v>101946.02</v>
      </c>
      <c r="M5" s="105">
        <v>99242.47</v>
      </c>
      <c r="N5" s="105">
        <v>107688.73</v>
      </c>
      <c r="O5" s="105">
        <v>143518.65</v>
      </c>
      <c r="P5" s="105">
        <v>165527.85</v>
      </c>
      <c r="Q5" s="105">
        <v>272470.38</v>
      </c>
      <c r="R5" s="105">
        <v>407521.31</v>
      </c>
      <c r="S5" s="105">
        <v>251602.5</v>
      </c>
      <c r="T5" s="105">
        <v>274046.92</v>
      </c>
      <c r="U5" s="105">
        <v>296237.96000000002</v>
      </c>
      <c r="V5" s="105">
        <v>355499.08</v>
      </c>
      <c r="W5" s="105">
        <v>307344.49</v>
      </c>
      <c r="X5" s="105">
        <v>276062.07</v>
      </c>
      <c r="Y5" s="105">
        <v>316609.34999999998</v>
      </c>
      <c r="Z5" s="105">
        <v>159536.78</v>
      </c>
      <c r="AA5" s="105">
        <v>158277.81</v>
      </c>
      <c r="AB5" s="105">
        <v>106492.28</v>
      </c>
      <c r="AC5" s="105">
        <v>249209.66</v>
      </c>
      <c r="AD5" s="105">
        <v>164513.89000000001</v>
      </c>
      <c r="AE5" s="105">
        <v>182737.79</v>
      </c>
      <c r="AF5" s="105">
        <v>304947.43</v>
      </c>
      <c r="AG5" s="105">
        <v>358920.41</v>
      </c>
      <c r="AH5" s="105">
        <v>283773.59000000003</v>
      </c>
      <c r="AI5" s="105">
        <v>389589.68</v>
      </c>
      <c r="AJ5" s="105">
        <v>309899.98</v>
      </c>
      <c r="AK5" s="105">
        <v>563205.32999999996</v>
      </c>
      <c r="AL5" s="105">
        <v>416111.76</v>
      </c>
      <c r="AM5" s="105">
        <v>460683.7</v>
      </c>
      <c r="AN5" s="105">
        <v>547797.48</v>
      </c>
      <c r="AO5" s="105">
        <v>316488.5</v>
      </c>
      <c r="AP5" s="105">
        <v>320862.15999999997</v>
      </c>
      <c r="AQ5" s="105">
        <v>224390.05</v>
      </c>
      <c r="AR5" s="105">
        <v>229881.53</v>
      </c>
      <c r="AS5" s="105">
        <v>421547.15</v>
      </c>
      <c r="AT5" s="105">
        <v>517935.91</v>
      </c>
      <c r="AU5" s="105">
        <v>524304.23</v>
      </c>
      <c r="AV5" s="105">
        <v>497614.74</v>
      </c>
      <c r="AW5" s="105">
        <v>546478.62</v>
      </c>
      <c r="AX5" s="105">
        <v>607243.46</v>
      </c>
      <c r="AY5" s="105">
        <v>689472.15</v>
      </c>
      <c r="AZ5" s="105">
        <v>445202.55</v>
      </c>
      <c r="BA5" s="105">
        <v>551576.66</v>
      </c>
      <c r="BB5" s="105">
        <v>564277.1</v>
      </c>
      <c r="BC5" s="105">
        <v>762616.9</v>
      </c>
      <c r="BD5" s="105">
        <v>1165244.23</v>
      </c>
      <c r="BE5" s="105">
        <v>1600819.98</v>
      </c>
      <c r="BF5" s="105">
        <v>1565129.03</v>
      </c>
      <c r="BG5" s="105">
        <v>1430043.46</v>
      </c>
      <c r="BH5" s="105">
        <v>1620274.54</v>
      </c>
      <c r="BI5" s="105">
        <v>1847791.74</v>
      </c>
      <c r="BJ5" s="105">
        <v>1542471.1</v>
      </c>
      <c r="BK5" s="105">
        <v>1548548.09</v>
      </c>
      <c r="BL5" s="105">
        <v>1977559.5</v>
      </c>
      <c r="BM5" s="105">
        <v>2200552.31</v>
      </c>
      <c r="BN5" s="105">
        <v>2317423.0099999998</v>
      </c>
      <c r="BO5" s="105">
        <v>2454830.61</v>
      </c>
      <c r="BP5" s="105">
        <v>2959593.44</v>
      </c>
      <c r="BQ5" s="105">
        <v>4866809.74</v>
      </c>
      <c r="BR5" s="105">
        <v>4505032.17</v>
      </c>
      <c r="BS5" s="105">
        <v>3952426.94</v>
      </c>
      <c r="BT5" s="105">
        <v>5448956.0300000003</v>
      </c>
      <c r="BU5" s="105">
        <v>5385659.6299999999</v>
      </c>
      <c r="BV5" s="105">
        <v>5009673.59</v>
      </c>
      <c r="BW5" s="105">
        <v>4605550.1500000004</v>
      </c>
      <c r="BX5" s="105">
        <v>4239264.2699999996</v>
      </c>
      <c r="BY5" s="105">
        <v>5541464.2000000002</v>
      </c>
      <c r="BZ5" s="105">
        <v>6008507.79</v>
      </c>
      <c r="CA5" s="105">
        <v>4840463.59</v>
      </c>
      <c r="CB5" s="105">
        <v>4140554.69</v>
      </c>
      <c r="CC5" s="105">
        <v>4103139.54</v>
      </c>
      <c r="CD5" s="105">
        <v>4245019.3499999996</v>
      </c>
      <c r="CE5" s="105">
        <v>4561888.88</v>
      </c>
      <c r="CF5" s="105">
        <v>4232052.82</v>
      </c>
      <c r="CG5" s="105">
        <v>3456283</v>
      </c>
      <c r="CH5" s="105">
        <v>2295461.4900000002</v>
      </c>
      <c r="CI5" s="105">
        <v>1759259.75</v>
      </c>
      <c r="CJ5" s="105">
        <v>2881573.43</v>
      </c>
      <c r="CK5" s="105">
        <v>3167398.98</v>
      </c>
      <c r="CL5" s="105">
        <v>2370329.9900000002</v>
      </c>
      <c r="CM5" s="105">
        <v>2014820.07</v>
      </c>
      <c r="CN5" s="105">
        <v>1659590.48</v>
      </c>
      <c r="CO5" s="105">
        <v>1004151.43</v>
      </c>
      <c r="CP5" s="105">
        <v>372766.07</v>
      </c>
      <c r="CQ5" s="105">
        <v>361801.54</v>
      </c>
      <c r="CR5" s="105">
        <v>486247.83</v>
      </c>
      <c r="CS5" s="105">
        <v>423931.08</v>
      </c>
      <c r="CT5" s="105">
        <v>276012.94</v>
      </c>
      <c r="CU5" s="105">
        <v>256274.35</v>
      </c>
      <c r="CV5" s="105">
        <v>204251.43</v>
      </c>
      <c r="CW5" s="105">
        <v>155544.4</v>
      </c>
      <c r="CX5" s="105">
        <v>113565.7</v>
      </c>
      <c r="CY5" s="105">
        <v>102582.52</v>
      </c>
      <c r="CZ5" s="105">
        <v>97260.52</v>
      </c>
      <c r="DA5" s="105">
        <v>90213.98</v>
      </c>
      <c r="DB5" s="105">
        <v>81264.38</v>
      </c>
      <c r="DC5" s="105">
        <v>80164.38</v>
      </c>
      <c r="DD5" s="105">
        <v>57260.27</v>
      </c>
    </row>
    <row r="6" spans="3:108">
      <c r="C6" s="111" t="s">
        <v>257</v>
      </c>
      <c r="D6" s="105">
        <v>45808.22</v>
      </c>
      <c r="E6" s="105">
        <v>144434.14000000001</v>
      </c>
      <c r="F6" s="105">
        <v>289213.90999999997</v>
      </c>
      <c r="G6" s="105">
        <v>433993.68</v>
      </c>
      <c r="H6" s="105">
        <v>1435916.3</v>
      </c>
      <c r="I6" s="105">
        <v>2743772.99</v>
      </c>
      <c r="J6" s="105">
        <v>3184482.52</v>
      </c>
      <c r="K6" s="105">
        <v>3285872.5</v>
      </c>
      <c r="L6" s="105">
        <v>3387818.52</v>
      </c>
      <c r="M6" s="105">
        <v>3487060.99</v>
      </c>
      <c r="N6" s="105">
        <v>3594749.72</v>
      </c>
      <c r="O6" s="105">
        <v>3738268.37</v>
      </c>
      <c r="P6" s="105">
        <v>3903796.22</v>
      </c>
      <c r="Q6" s="105">
        <v>4176266.61</v>
      </c>
      <c r="R6" s="105">
        <v>4583787.91</v>
      </c>
      <c r="S6" s="105">
        <v>4835390.41</v>
      </c>
      <c r="T6" s="105">
        <v>5109437.33</v>
      </c>
      <c r="U6" s="105">
        <v>5405675.29</v>
      </c>
      <c r="V6" s="105">
        <v>5761174.3700000001</v>
      </c>
      <c r="W6" s="105">
        <v>6068518.8600000003</v>
      </c>
      <c r="X6" s="105">
        <v>6344580.9199999999</v>
      </c>
      <c r="Y6" s="105">
        <v>6661190.2699999996</v>
      </c>
      <c r="Z6" s="105">
        <v>6820727.0599999996</v>
      </c>
      <c r="AA6" s="105">
        <v>6979004.8700000001</v>
      </c>
      <c r="AB6" s="105">
        <v>7085497.1500000004</v>
      </c>
      <c r="AC6" s="105">
        <v>7334706.8099999996</v>
      </c>
      <c r="AD6" s="105">
        <v>7499220.7000000002</v>
      </c>
      <c r="AE6" s="105">
        <v>7681958.4900000002</v>
      </c>
      <c r="AF6" s="105">
        <v>7986905.9199999999</v>
      </c>
      <c r="AG6" s="105">
        <v>8345826.3300000001</v>
      </c>
      <c r="AH6" s="105">
        <v>8629599.9199999999</v>
      </c>
      <c r="AI6" s="105">
        <v>9019189.5999999996</v>
      </c>
      <c r="AJ6" s="105">
        <v>9329089.5800000001</v>
      </c>
      <c r="AK6" s="105">
        <v>9892294.9100000001</v>
      </c>
      <c r="AL6" s="105">
        <v>10308406.67</v>
      </c>
      <c r="AM6" s="105">
        <v>10769090.369999999</v>
      </c>
      <c r="AN6" s="105">
        <v>11316887.85</v>
      </c>
      <c r="AO6" s="105">
        <v>11633376.34</v>
      </c>
      <c r="AP6" s="105">
        <v>11954238.5</v>
      </c>
      <c r="AQ6" s="105">
        <v>12178628.560000001</v>
      </c>
      <c r="AR6" s="105">
        <v>12408510.09</v>
      </c>
      <c r="AS6" s="105">
        <v>12830057.23</v>
      </c>
      <c r="AT6" s="105">
        <v>13347993.140000001</v>
      </c>
      <c r="AU6" s="105">
        <v>13872297.380000001</v>
      </c>
      <c r="AV6" s="105">
        <v>14369912.119999999</v>
      </c>
      <c r="AW6" s="105">
        <v>14916390.74</v>
      </c>
      <c r="AX6" s="105">
        <v>15523634.199999999</v>
      </c>
      <c r="AY6" s="105">
        <v>16213106.35</v>
      </c>
      <c r="AZ6" s="105">
        <v>16658308.9</v>
      </c>
      <c r="BA6" s="105">
        <v>17209885.559999999</v>
      </c>
      <c r="BB6" s="105">
        <v>17774162.66</v>
      </c>
      <c r="BC6" s="105">
        <v>18536779.559999999</v>
      </c>
      <c r="BD6" s="105">
        <v>19702023.789999999</v>
      </c>
      <c r="BE6" s="105">
        <v>21302843.77</v>
      </c>
      <c r="BF6" s="105">
        <v>22867972.800000001</v>
      </c>
      <c r="BG6" s="105">
        <v>24298016.260000002</v>
      </c>
      <c r="BH6" s="105">
        <v>25918290.800000001</v>
      </c>
      <c r="BI6" s="105">
        <v>27766082.539999999</v>
      </c>
      <c r="BJ6" s="105">
        <v>29308553.640000001</v>
      </c>
      <c r="BK6" s="105">
        <v>30857101.719999999</v>
      </c>
      <c r="BL6" s="105">
        <v>32834661.219999999</v>
      </c>
      <c r="BM6" s="105">
        <v>35035213.539999999</v>
      </c>
      <c r="BN6" s="105">
        <v>37352636.549999997</v>
      </c>
      <c r="BO6" s="105">
        <v>39807467.159999996</v>
      </c>
      <c r="BP6" s="105">
        <v>42767060.600000001</v>
      </c>
      <c r="BQ6" s="105">
        <v>47633870.340000004</v>
      </c>
      <c r="BR6" s="105">
        <v>52138902.520000003</v>
      </c>
      <c r="BS6" s="105">
        <v>56091329.450000003</v>
      </c>
      <c r="BT6" s="105">
        <v>61540285.479999997</v>
      </c>
      <c r="BU6" s="105">
        <v>66925945.109999999</v>
      </c>
      <c r="BV6" s="105">
        <v>71935618.709999993</v>
      </c>
      <c r="BW6" s="105">
        <v>76541168.859999999</v>
      </c>
      <c r="BX6" s="105">
        <v>80780433.120000005</v>
      </c>
      <c r="BY6" s="105">
        <v>86321897.319999993</v>
      </c>
      <c r="BZ6" s="105">
        <v>92330405.109999999</v>
      </c>
      <c r="CA6" s="105">
        <v>97170868.700000003</v>
      </c>
      <c r="CB6" s="105">
        <v>101311423.39</v>
      </c>
      <c r="CC6" s="105">
        <v>105414562.93000001</v>
      </c>
      <c r="CD6" s="105">
        <v>109659582.28</v>
      </c>
      <c r="CE6" s="105">
        <v>114221471.16</v>
      </c>
      <c r="CF6" s="105">
        <v>118453523.98</v>
      </c>
      <c r="CG6" s="105">
        <v>121909806.98999999</v>
      </c>
      <c r="CH6" s="105">
        <v>124205268.48</v>
      </c>
      <c r="CI6" s="105">
        <v>125964528.23</v>
      </c>
      <c r="CJ6" s="105">
        <v>128846101.66</v>
      </c>
      <c r="CK6" s="105">
        <v>132013500.64</v>
      </c>
      <c r="CL6" s="105">
        <v>134383830.63</v>
      </c>
      <c r="CM6" s="105">
        <v>136398650.69999999</v>
      </c>
      <c r="CN6" s="105">
        <v>138058241.16999999</v>
      </c>
      <c r="CO6" s="105">
        <v>139062392.61000001</v>
      </c>
      <c r="CP6" s="105">
        <v>139435158.66999999</v>
      </c>
      <c r="CQ6" s="105">
        <v>139796960.22</v>
      </c>
      <c r="CR6" s="105">
        <v>140283208.05000001</v>
      </c>
      <c r="CS6" s="105">
        <v>140707139.13</v>
      </c>
      <c r="CT6" s="105">
        <v>140983152.06999999</v>
      </c>
      <c r="CU6" s="105">
        <v>141239426.41999999</v>
      </c>
      <c r="CV6" s="105">
        <v>141443677.84999999</v>
      </c>
      <c r="CW6" s="105">
        <v>141599222.25</v>
      </c>
      <c r="CX6" s="105">
        <v>141712787.94999999</v>
      </c>
      <c r="CY6" s="105">
        <v>141815370.46000001</v>
      </c>
      <c r="CZ6" s="105">
        <v>141912630.97999999</v>
      </c>
      <c r="DA6" s="105">
        <v>142002844.96000001</v>
      </c>
      <c r="DB6" s="105">
        <v>142084109.34999999</v>
      </c>
      <c r="DC6" s="105">
        <v>142164273.72999999</v>
      </c>
      <c r="DD6" s="105">
        <v>142221534</v>
      </c>
    </row>
    <row r="7" spans="3:108">
      <c r="C7" s="111" t="s">
        <v>258</v>
      </c>
      <c r="D7" s="105">
        <v>72303.459230769236</v>
      </c>
      <c r="E7" s="105">
        <v>125121.15923076925</v>
      </c>
      <c r="F7" s="105">
        <v>171275.0092307693</v>
      </c>
      <c r="G7" s="105">
        <v>171275.00923076918</v>
      </c>
      <c r="H7" s="105">
        <v>1028417.8692307693</v>
      </c>
      <c r="I7" s="105">
        <v>1334351.9292307689</v>
      </c>
      <c r="J7" s="105">
        <v>449516.76923076989</v>
      </c>
      <c r="K7" s="105">
        <v>106659.61923076851</v>
      </c>
      <c r="L7" s="105">
        <v>106659.6192307695</v>
      </c>
      <c r="M7" s="105">
        <v>106659.61923076901</v>
      </c>
      <c r="N7" s="105">
        <v>106659.61923076901</v>
      </c>
      <c r="O7" s="105">
        <v>106659.61923076901</v>
      </c>
      <c r="P7" s="105">
        <v>106659.61923076901</v>
      </c>
      <c r="Q7" s="105">
        <v>133790.08000000016</v>
      </c>
      <c r="R7" s="105">
        <v>129301.15000000008</v>
      </c>
      <c r="S7" s="105">
        <v>133628.25999999978</v>
      </c>
      <c r="T7" s="105">
        <v>364073.52000000008</v>
      </c>
      <c r="U7" s="105">
        <v>276753.51999999949</v>
      </c>
      <c r="V7" s="105">
        <v>680854.41999999969</v>
      </c>
      <c r="W7" s="105">
        <v>278976.94000000058</v>
      </c>
      <c r="X7" s="105">
        <v>253421.87999999934</v>
      </c>
      <c r="Y7" s="105">
        <v>290316.93999999971</v>
      </c>
      <c r="Z7" s="105">
        <v>209629.79773825861</v>
      </c>
      <c r="AA7" s="105">
        <v>183223.27806174321</v>
      </c>
      <c r="AB7" s="105">
        <v>227554.45439999961</v>
      </c>
      <c r="AC7" s="105">
        <v>255998.76120000042</v>
      </c>
      <c r="AD7" s="105">
        <v>213332.30100000018</v>
      </c>
      <c r="AE7" s="105">
        <v>213332.30100000018</v>
      </c>
      <c r="AF7" s="105">
        <v>284443.06799999927</v>
      </c>
      <c r="AG7" s="105">
        <v>227554.4544000006</v>
      </c>
      <c r="AH7" s="105">
        <v>227554.45439999961</v>
      </c>
      <c r="AI7" s="105">
        <v>341331.68160000088</v>
      </c>
      <c r="AJ7" s="105">
        <v>426664.60199999838</v>
      </c>
      <c r="AK7" s="105">
        <v>341331.68159999989</v>
      </c>
      <c r="AL7" s="105">
        <v>497775.36900000041</v>
      </c>
      <c r="AM7" s="105">
        <v>511997.52240000083</v>
      </c>
      <c r="AN7" s="105">
        <v>426664.60200000036</v>
      </c>
      <c r="AO7" s="105">
        <v>554663.9826000001</v>
      </c>
      <c r="AP7" s="105">
        <v>468636.80600081611</v>
      </c>
      <c r="AQ7" s="105">
        <v>406893.08956225042</v>
      </c>
      <c r="AR7" s="105">
        <v>262242.37643693254</v>
      </c>
      <c r="AS7" s="105">
        <v>540441.82919999969</v>
      </c>
      <c r="AT7" s="105">
        <v>440886.75540000078</v>
      </c>
      <c r="AU7" s="105">
        <v>469331.06219999964</v>
      </c>
      <c r="AV7" s="105">
        <v>583108.28940000094</v>
      </c>
      <c r="AW7" s="105">
        <f t="shared" ref="AW7:BB7" si="0">AW13*142221534</f>
        <v>511997.52239999885</v>
      </c>
      <c r="AX7" s="105">
        <f t="shared" si="0"/>
        <v>639996.90300000052</v>
      </c>
      <c r="AY7" s="105">
        <f t="shared" si="0"/>
        <v>711107.66999999864</v>
      </c>
      <c r="AZ7" s="105">
        <f t="shared" si="0"/>
        <v>810662.74380000145</v>
      </c>
      <c r="BA7" s="105">
        <f t="shared" si="0"/>
        <v>739551.9767999975</v>
      </c>
      <c r="BB7" s="105">
        <f t="shared" si="0"/>
        <v>847594.42460932815</v>
      </c>
      <c r="BC7" s="105">
        <f t="shared" ref="BC7:BE8" si="1">BC13*142221534</f>
        <v>850911.74992122489</v>
      </c>
      <c r="BD7" s="105">
        <f t="shared" si="1"/>
        <v>878970.70114168525</v>
      </c>
      <c r="BE7" s="105">
        <f t="shared" si="1"/>
        <v>1035888.2887906319</v>
      </c>
      <c r="BF7" s="105">
        <f t="shared" ref="BF7:BG7" si="2">BF13*142221534</f>
        <v>1324503.0733210342</v>
      </c>
      <c r="BG7" s="105">
        <f t="shared" si="2"/>
        <v>1455440.4525762554</v>
      </c>
      <c r="BH7" s="105">
        <f t="shared" ref="BH7:BI7" si="3">BH13*142221534</f>
        <v>1512843.0131004744</v>
      </c>
      <c r="BI7" s="105">
        <f t="shared" si="3"/>
        <v>1508913.8473393668</v>
      </c>
      <c r="BJ7" s="105">
        <f t="shared" ref="BJ7" si="4">BJ13*142221534</f>
        <v>1689140.1831342974</v>
      </c>
      <c r="BK7" s="105"/>
      <c r="BL7" s="105"/>
      <c r="BM7" s="105"/>
      <c r="BN7" s="105"/>
      <c r="BO7" s="105"/>
      <c r="BP7" s="105"/>
      <c r="BQ7" s="105"/>
      <c r="BR7" s="105"/>
      <c r="BS7" s="105"/>
      <c r="BT7" s="105"/>
      <c r="BU7" s="105"/>
      <c r="BV7" s="105"/>
      <c r="BW7" s="105"/>
      <c r="BX7" s="105"/>
      <c r="BY7" s="105"/>
      <c r="BZ7" s="105"/>
      <c r="CA7" s="105"/>
      <c r="CB7" s="105"/>
      <c r="CC7" s="105"/>
      <c r="CD7" s="105"/>
      <c r="CE7" s="105"/>
      <c r="CF7" s="105"/>
      <c r="CG7" s="105"/>
      <c r="CH7" s="105"/>
      <c r="CI7" s="105"/>
      <c r="CJ7" s="105"/>
      <c r="CK7" s="105"/>
      <c r="CL7" s="105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C7" s="105"/>
      <c r="DD7" s="105"/>
    </row>
    <row r="8" spans="3:108">
      <c r="C8" s="111" t="s">
        <v>259</v>
      </c>
      <c r="D8" s="105">
        <f>D7</f>
        <v>72303.459230769236</v>
      </c>
      <c r="E8" s="105">
        <f>D8+E7</f>
        <v>197424.61846153848</v>
      </c>
      <c r="F8" s="105">
        <f t="shared" ref="F8:AV8" si="5">E8+F7</f>
        <v>368699.62769230781</v>
      </c>
      <c r="G8" s="105">
        <f t="shared" si="5"/>
        <v>539974.63692307705</v>
      </c>
      <c r="H8" s="105">
        <f t="shared" si="5"/>
        <v>1568392.5061538464</v>
      </c>
      <c r="I8" s="105">
        <f t="shared" si="5"/>
        <v>2902744.4353846153</v>
      </c>
      <c r="J8" s="105">
        <f t="shared" si="5"/>
        <v>3352261.2046153853</v>
      </c>
      <c r="K8" s="105">
        <f t="shared" si="5"/>
        <v>3458920.8238461539</v>
      </c>
      <c r="L8" s="105">
        <f t="shared" si="5"/>
        <v>3565580.4430769235</v>
      </c>
      <c r="M8" s="105">
        <f t="shared" si="5"/>
        <v>3672240.0623076926</v>
      </c>
      <c r="N8" s="105">
        <f t="shared" si="5"/>
        <v>3778899.6815384617</v>
      </c>
      <c r="O8" s="105">
        <f t="shared" si="5"/>
        <v>3885559.3007692308</v>
      </c>
      <c r="P8" s="105">
        <f t="shared" si="5"/>
        <v>3992218.92</v>
      </c>
      <c r="Q8" s="105">
        <f t="shared" si="5"/>
        <v>4126009</v>
      </c>
      <c r="R8" s="105">
        <f t="shared" si="5"/>
        <v>4255310.1500000004</v>
      </c>
      <c r="S8" s="105">
        <f t="shared" si="5"/>
        <v>4388938.41</v>
      </c>
      <c r="T8" s="105">
        <f t="shared" si="5"/>
        <v>4753011.9300000006</v>
      </c>
      <c r="U8" s="105">
        <f t="shared" si="5"/>
        <v>5029765.45</v>
      </c>
      <c r="V8" s="105">
        <f t="shared" si="5"/>
        <v>5710619.8700000001</v>
      </c>
      <c r="W8" s="105">
        <f t="shared" si="5"/>
        <v>5989596.8100000005</v>
      </c>
      <c r="X8" s="105">
        <f t="shared" si="5"/>
        <v>6243018.6899999995</v>
      </c>
      <c r="Y8" s="105">
        <f t="shared" si="5"/>
        <v>6533335.629999999</v>
      </c>
      <c r="Z8" s="105">
        <f t="shared" si="5"/>
        <v>6742965.4277382577</v>
      </c>
      <c r="AA8" s="105">
        <f t="shared" si="5"/>
        <v>6926188.7058000006</v>
      </c>
      <c r="AB8" s="105">
        <f t="shared" si="5"/>
        <v>7153743.1601999998</v>
      </c>
      <c r="AC8" s="105">
        <f t="shared" si="5"/>
        <v>7409741.9214000003</v>
      </c>
      <c r="AD8" s="105">
        <f t="shared" si="5"/>
        <v>7623074.2224000003</v>
      </c>
      <c r="AE8" s="105">
        <f t="shared" si="5"/>
        <v>7836406.5234000003</v>
      </c>
      <c r="AF8" s="105">
        <f t="shared" si="5"/>
        <v>8120849.5913999993</v>
      </c>
      <c r="AG8" s="105">
        <f t="shared" si="5"/>
        <v>8348404.0457999995</v>
      </c>
      <c r="AH8" s="105">
        <f t="shared" si="5"/>
        <v>8575958.5001999997</v>
      </c>
      <c r="AI8" s="105">
        <f t="shared" si="5"/>
        <v>8917290.1818000004</v>
      </c>
      <c r="AJ8" s="105">
        <f t="shared" si="5"/>
        <v>9343954.7837999985</v>
      </c>
      <c r="AK8" s="105">
        <f t="shared" si="5"/>
        <v>9685286.4653999992</v>
      </c>
      <c r="AL8" s="105">
        <f t="shared" si="5"/>
        <v>10183061.8344</v>
      </c>
      <c r="AM8" s="105">
        <f t="shared" si="5"/>
        <v>10695059.356800001</v>
      </c>
      <c r="AN8" s="105">
        <f t="shared" si="5"/>
        <v>11121723.958800001</v>
      </c>
      <c r="AO8" s="105">
        <f t="shared" si="5"/>
        <v>11676387.941400001</v>
      </c>
      <c r="AP8" s="105">
        <f t="shared" si="5"/>
        <v>12145024.747400817</v>
      </c>
      <c r="AQ8" s="105">
        <f t="shared" si="5"/>
        <v>12551917.836963067</v>
      </c>
      <c r="AR8" s="105">
        <f t="shared" si="5"/>
        <v>12814160.213399999</v>
      </c>
      <c r="AS8" s="105">
        <f t="shared" si="5"/>
        <v>13354602.042599998</v>
      </c>
      <c r="AT8" s="105">
        <f t="shared" si="5"/>
        <v>13795488.797999999</v>
      </c>
      <c r="AU8" s="105">
        <f t="shared" si="5"/>
        <v>14264819.860199999</v>
      </c>
      <c r="AV8" s="105">
        <f t="shared" si="5"/>
        <v>14847928.149599999</v>
      </c>
      <c r="AW8" s="105">
        <f t="shared" ref="AW8:BB8" si="6">AW14*142221534</f>
        <v>15359925.672</v>
      </c>
      <c r="AX8" s="105">
        <f t="shared" si="6"/>
        <v>15999922.575000001</v>
      </c>
      <c r="AY8" s="105">
        <f t="shared" si="6"/>
        <v>16711030.244999999</v>
      </c>
      <c r="AZ8" s="105">
        <f t="shared" si="6"/>
        <v>17521692.9888</v>
      </c>
      <c r="BA8" s="105">
        <f t="shared" si="6"/>
        <v>18261244.965599999</v>
      </c>
      <c r="BB8" s="105">
        <f t="shared" si="6"/>
        <v>19108839.390209325</v>
      </c>
      <c r="BC8" s="105">
        <f t="shared" si="1"/>
        <v>19959751.14013055</v>
      </c>
      <c r="BD8" s="105">
        <f t="shared" si="1"/>
        <v>20838721.841272235</v>
      </c>
      <c r="BE8" s="105">
        <f t="shared" si="1"/>
        <v>21874610.130062867</v>
      </c>
      <c r="BF8" s="105">
        <f t="shared" ref="BF8:BG8" si="7">BF14*142221534</f>
        <v>23199113.203383904</v>
      </c>
      <c r="BG8" s="105">
        <f t="shared" si="7"/>
        <v>24654553.655960158</v>
      </c>
      <c r="BH8" s="105">
        <f t="shared" ref="BH8:BI8" si="8">BH14*142221534</f>
        <v>26167396.669060633</v>
      </c>
      <c r="BI8" s="105">
        <f t="shared" si="8"/>
        <v>27676310.516399998</v>
      </c>
      <c r="BJ8" s="105">
        <f t="shared" ref="BJ8" si="9">BJ14*142221534</f>
        <v>29365450.699534297</v>
      </c>
      <c r="BK8" s="105"/>
      <c r="BL8" s="105"/>
      <c r="BM8" s="105"/>
      <c r="BN8" s="105"/>
      <c r="BO8" s="105"/>
      <c r="BP8" s="105"/>
      <c r="BQ8" s="105"/>
      <c r="BR8" s="105"/>
      <c r="BS8" s="105"/>
      <c r="BT8" s="105"/>
      <c r="BU8" s="105"/>
      <c r="BV8" s="105"/>
      <c r="BW8" s="105"/>
      <c r="BX8" s="105"/>
      <c r="BY8" s="105"/>
      <c r="BZ8" s="105"/>
      <c r="CA8" s="105"/>
      <c r="CB8" s="105"/>
      <c r="CC8" s="105"/>
      <c r="CD8" s="105"/>
      <c r="CE8" s="105"/>
      <c r="CF8" s="105"/>
      <c r="CG8" s="105"/>
      <c r="CH8" s="105"/>
      <c r="CI8" s="105"/>
      <c r="CJ8" s="105"/>
      <c r="CK8" s="105"/>
      <c r="CL8" s="105"/>
      <c r="CM8" s="105"/>
      <c r="CN8" s="105"/>
      <c r="CO8" s="105"/>
      <c r="CP8" s="105"/>
      <c r="CQ8" s="105"/>
      <c r="CR8" s="105"/>
      <c r="CS8" s="105"/>
      <c r="CT8" s="105"/>
      <c r="CU8" s="105"/>
      <c r="CV8" s="105"/>
      <c r="CW8" s="105"/>
      <c r="CX8" s="105"/>
      <c r="CY8" s="105"/>
      <c r="CZ8" s="105"/>
      <c r="DA8" s="105"/>
      <c r="DB8" s="105"/>
      <c r="DC8" s="105"/>
      <c r="DD8" s="105"/>
    </row>
    <row r="9" spans="3:108">
      <c r="C9" s="111" t="s">
        <v>260</v>
      </c>
      <c r="D9" s="95">
        <f>D3/142221534</f>
        <v>3.2209060549157065E-4</v>
      </c>
      <c r="E9" s="95">
        <f t="shared" ref="E9:BP9" si="10">E3/142221534</f>
        <v>6.9346685572945659E-4</v>
      </c>
      <c r="F9" s="95">
        <f t="shared" si="10"/>
        <v>1.0179876839185266E-3</v>
      </c>
      <c r="G9" s="95">
        <f t="shared" si="10"/>
        <v>1.0179876839185266E-3</v>
      </c>
      <c r="H9" s="95">
        <f t="shared" si="10"/>
        <v>7.0448025824274962E-3</v>
      </c>
      <c r="I9" s="95">
        <f t="shared" si="10"/>
        <v>9.1959118511546912E-3</v>
      </c>
      <c r="J9" s="95">
        <f t="shared" si="10"/>
        <v>3.0987538778761872E-3</v>
      </c>
      <c r="K9" s="95">
        <f t="shared" si="10"/>
        <v>7.129017466511084E-4</v>
      </c>
      <c r="L9" s="95">
        <f t="shared" si="10"/>
        <v>7.1681142182027091E-4</v>
      </c>
      <c r="M9" s="95">
        <f t="shared" si="10"/>
        <v>6.9780199389496108E-4</v>
      </c>
      <c r="N9" s="95">
        <f t="shared" si="10"/>
        <v>7.5719004690246133E-4</v>
      </c>
      <c r="O9" s="95">
        <f t="shared" si="10"/>
        <v>1.009120391009142E-3</v>
      </c>
      <c r="P9" s="95">
        <f t="shared" si="10"/>
        <v>1.1638733273682733E-3</v>
      </c>
      <c r="Q9" s="95">
        <f t="shared" si="10"/>
        <v>1.9158166301314118E-3</v>
      </c>
      <c r="R9" s="95">
        <f t="shared" si="10"/>
        <v>2.8653980767778808E-3</v>
      </c>
      <c r="S9" s="95">
        <f t="shared" si="10"/>
        <v>1.7690886388554916E-3</v>
      </c>
      <c r="T9" s="95">
        <f t="shared" si="10"/>
        <v>1.9269017306479059E-3</v>
      </c>
      <c r="U9" s="95">
        <f t="shared" si="10"/>
        <v>2.3493907750987979E-3</v>
      </c>
      <c r="V9" s="95">
        <f t="shared" si="10"/>
        <v>2.5561887133069457E-3</v>
      </c>
      <c r="W9" s="95">
        <f t="shared" si="10"/>
        <v>2.2176001139180513E-3</v>
      </c>
      <c r="X9" s="95">
        <f t="shared" si="10"/>
        <v>2.1235751823630309E-3</v>
      </c>
      <c r="Y9" s="95">
        <f t="shared" si="10"/>
        <v>3.0952137669953694E-3</v>
      </c>
      <c r="Z9" s="95">
        <f t="shared" si="10"/>
        <v>3.2485945482770562E-3</v>
      </c>
      <c r="AA9" s="95">
        <f t="shared" si="10"/>
        <v>2.9145705881642369E-3</v>
      </c>
      <c r="AB9" s="95">
        <f t="shared" si="10"/>
        <v>1.8929882306008596E-3</v>
      </c>
      <c r="AC9" s="95">
        <f t="shared" si="10"/>
        <v>2.3028239169463607E-3</v>
      </c>
      <c r="AD9" s="95">
        <f t="shared" si="10"/>
        <v>2.4911519376524232E-3</v>
      </c>
      <c r="AE9" s="95">
        <f t="shared" si="10"/>
        <v>2.5142118773659127E-3</v>
      </c>
      <c r="AF9" s="95">
        <f t="shared" si="10"/>
        <v>2.9330942949891119E-3</v>
      </c>
      <c r="AG9" s="95">
        <f t="shared" si="10"/>
        <v>3.9018560297626936E-3</v>
      </c>
      <c r="AH9" s="95">
        <f t="shared" si="10"/>
        <v>5.1143872488395459E-3</v>
      </c>
      <c r="AI9" s="95">
        <f t="shared" si="10"/>
        <v>4.4291486126144582E-3</v>
      </c>
      <c r="AJ9" s="95">
        <f t="shared" si="10"/>
        <v>5.7660311834352735E-3</v>
      </c>
      <c r="AK9" s="95">
        <f t="shared" si="10"/>
        <v>5.863983508995199E-3</v>
      </c>
      <c r="AL9" s="95">
        <f t="shared" si="10"/>
        <v>5.994134545054197E-3</v>
      </c>
      <c r="AM9" s="95">
        <f t="shared" si="10"/>
        <v>7.9141267735165898E-3</v>
      </c>
      <c r="AN9" s="95">
        <f t="shared" si="10"/>
        <v>8.1405073299237515E-3</v>
      </c>
      <c r="AO9" s="95">
        <f t="shared" si="10"/>
        <v>6.0583447229587608E-3</v>
      </c>
      <c r="AP9" s="95">
        <f t="shared" si="10"/>
        <v>8.7847004940897356E-3</v>
      </c>
      <c r="AQ9" s="95">
        <f t="shared" si="10"/>
        <v>7.9549675648977313E-3</v>
      </c>
      <c r="AR9" s="95">
        <f t="shared" si="10"/>
        <v>4.0799268836461851E-3</v>
      </c>
      <c r="AS9" s="95">
        <f t="shared" si="10"/>
        <v>8.3300748253777104E-3</v>
      </c>
      <c r="AT9" s="95">
        <f t="shared" si="10"/>
        <v>1.3453601337192721E-2</v>
      </c>
      <c r="AU9" s="95">
        <f t="shared" si="10"/>
        <v>9.583047951092976E-3</v>
      </c>
      <c r="AV9" s="95">
        <f t="shared" si="10"/>
        <v>5.2267628473195906E-3</v>
      </c>
      <c r="AW9" s="95">
        <f t="shared" si="10"/>
        <v>5.1998570764958847E-3</v>
      </c>
      <c r="AX9" s="95">
        <f t="shared" si="10"/>
        <v>7.2767649939706044E-3</v>
      </c>
      <c r="AY9" s="95">
        <f t="shared" si="10"/>
        <v>7.0584733673312791E-3</v>
      </c>
      <c r="AZ9" s="95">
        <f t="shared" si="10"/>
        <v>7.3746844131212927E-3</v>
      </c>
      <c r="BA9" s="95">
        <f t="shared" si="10"/>
        <v>4.2092056186090639E-3</v>
      </c>
      <c r="BB9" s="95">
        <f t="shared" si="10"/>
        <v>5.867268876455797E-3</v>
      </c>
      <c r="BC9" s="95">
        <f t="shared" si="10"/>
        <v>8.8160238097277164E-3</v>
      </c>
      <c r="BD9" s="95">
        <f t="shared" si="10"/>
        <v>8.9823219035170872E-3</v>
      </c>
      <c r="BE9" s="95">
        <f t="shared" si="10"/>
        <v>1.166510958881937E-2</v>
      </c>
      <c r="BF9" s="95">
        <f t="shared" si="10"/>
        <v>1.39749442584412E-2</v>
      </c>
      <c r="BG9" s="95">
        <f t="shared" si="10"/>
        <v>1.3903947344570197E-2</v>
      </c>
      <c r="BH9" s="95">
        <f t="shared" si="10"/>
        <v>1.1952175681075131E-2</v>
      </c>
      <c r="BI9" s="95">
        <f t="shared" si="10"/>
        <v>1.5000160594527127E-2</v>
      </c>
      <c r="BJ9" s="95">
        <f t="shared" si="10"/>
        <v>1.4489007410087421E-2</v>
      </c>
      <c r="BK9" s="95">
        <f t="shared" si="10"/>
        <v>1.6027355393311956E-2</v>
      </c>
      <c r="BL9" s="95">
        <f t="shared" si="10"/>
        <v>1.5231554808008188E-2</v>
      </c>
      <c r="BM9" s="95">
        <f t="shared" si="10"/>
        <v>1.6150450113975003E-2</v>
      </c>
      <c r="BN9" s="95">
        <f t="shared" si="10"/>
        <v>1.8027640104064692E-2</v>
      </c>
      <c r="BO9" s="95">
        <f t="shared" si="10"/>
        <v>1.9103313778066826E-2</v>
      </c>
      <c r="BP9" s="95">
        <f t="shared" si="10"/>
        <v>1.9300333942397219E-2</v>
      </c>
      <c r="BQ9" s="95">
        <f t="shared" ref="BQ9:DD9" si="11">BQ3/142221534</f>
        <v>2.5322942867428217E-2</v>
      </c>
      <c r="BR9" s="95">
        <f t="shared" si="11"/>
        <v>3.0071639573230873E-2</v>
      </c>
      <c r="BS9" s="95">
        <f t="shared" si="11"/>
        <v>3.0939667125232946E-2</v>
      </c>
      <c r="BT9" s="95">
        <f t="shared" si="11"/>
        <v>2.82617893855652E-2</v>
      </c>
      <c r="BU9" s="95">
        <f t="shared" si="11"/>
        <v>3.3536730239458676E-2</v>
      </c>
      <c r="BV9" s="95">
        <f t="shared" si="11"/>
        <v>3.6969537960404787E-2</v>
      </c>
      <c r="BW9" s="95">
        <f t="shared" si="11"/>
        <v>3.3673365314706841E-2</v>
      </c>
      <c r="BX9" s="95">
        <f t="shared" si="11"/>
        <v>3.0880607644127925E-2</v>
      </c>
      <c r="BY9" s="95">
        <f t="shared" si="11"/>
        <v>2.349596489375512E-2</v>
      </c>
      <c r="BZ9" s="95">
        <f t="shared" si="11"/>
        <v>2.332104482855599E-2</v>
      </c>
      <c r="CA9" s="95">
        <f t="shared" si="11"/>
        <v>2.2326688094926609E-2</v>
      </c>
      <c r="CB9" s="95">
        <f t="shared" si="11"/>
        <v>2.0255647151155041E-2</v>
      </c>
      <c r="CC9" s="95">
        <f t="shared" si="11"/>
        <v>1.6745596767364358E-2</v>
      </c>
      <c r="CD9" s="95">
        <f t="shared" si="11"/>
        <v>1.6748458921839501E-2</v>
      </c>
      <c r="CE9" s="95">
        <f t="shared" si="11"/>
        <v>2.0768361210335418E-2</v>
      </c>
      <c r="CF9" s="95">
        <f t="shared" si="11"/>
        <v>2.045847051544248E-2</v>
      </c>
      <c r="CG9" s="95">
        <f t="shared" si="11"/>
        <v>1.9815214340185645E-2</v>
      </c>
      <c r="CH9" s="95">
        <f t="shared" si="11"/>
        <v>1.8748212981586881E-2</v>
      </c>
      <c r="CI9" s="95">
        <f t="shared" si="11"/>
        <v>2.0181937567907263E-2</v>
      </c>
      <c r="CJ9" s="95">
        <f t="shared" si="11"/>
        <v>1.6823021962342217E-2</v>
      </c>
      <c r="CK9" s="95">
        <f t="shared" si="11"/>
        <v>1.6076906047153169E-2</v>
      </c>
      <c r="CL9" s="95">
        <f t="shared" si="11"/>
        <v>1.6513047243605177E-2</v>
      </c>
      <c r="CM9" s="95">
        <f t="shared" si="11"/>
        <v>1.1446583328232136E-2</v>
      </c>
      <c r="CN9" s="95">
        <f t="shared" si="11"/>
        <v>8.2249063633359487E-3</v>
      </c>
      <c r="CO9" s="95">
        <f t="shared" si="11"/>
        <v>8.3724051942795103E-3</v>
      </c>
      <c r="CP9" s="95">
        <f t="shared" si="11"/>
        <v>5.6465146128996191E-3</v>
      </c>
      <c r="CQ9" s="95">
        <f t="shared" si="11"/>
        <v>4.1330359297066781E-3</v>
      </c>
      <c r="CR9" s="95">
        <f t="shared" si="11"/>
        <v>3.2429283177328127E-3</v>
      </c>
      <c r="CS9" s="95">
        <f t="shared" si="11"/>
        <v>3.0715836604603072E-3</v>
      </c>
      <c r="CT9" s="95">
        <f t="shared" si="11"/>
        <v>3.6742232719835519E-3</v>
      </c>
      <c r="CU9" s="95">
        <f t="shared" si="11"/>
        <v>3.4256713895379582E-3</v>
      </c>
      <c r="CV9" s="95">
        <f t="shared" si="11"/>
        <v>2.7933232670658719E-3</v>
      </c>
      <c r="CW9" s="95">
        <f t="shared" si="11"/>
        <v>1.6297450426881206E-3</v>
      </c>
      <c r="CX9" s="95">
        <f t="shared" si="11"/>
        <v>1.3785351942554635E-3</v>
      </c>
      <c r="CY9" s="95">
        <f t="shared" si="11"/>
        <v>7.2716449535694077E-4</v>
      </c>
      <c r="CZ9" s="95">
        <f t="shared" si="11"/>
        <v>6.797988130264436E-4</v>
      </c>
      <c r="DA9" s="95">
        <f t="shared" si="11"/>
        <v>8.4229066183465575E-4</v>
      </c>
      <c r="DB9" s="95">
        <f t="shared" si="11"/>
        <v>8.4088201439312281E-4</v>
      </c>
      <c r="DC9" s="95">
        <f t="shared" si="11"/>
        <v>7.2276649751225439E-4</v>
      </c>
      <c r="DD9" s="95">
        <f t="shared" si="11"/>
        <v>4.4128528384456881E-4</v>
      </c>
    </row>
    <row r="10" spans="3:108">
      <c r="C10" s="111" t="s">
        <v>261</v>
      </c>
      <c r="D10" s="96">
        <f>D9</f>
        <v>3.2209060549157065E-4</v>
      </c>
      <c r="E10" s="96">
        <f>D10+E9</f>
        <v>1.0155574612210273E-3</v>
      </c>
      <c r="F10" s="96">
        <f t="shared" ref="F10:BQ10" si="12">E10+F9</f>
        <v>2.0335451451395539E-3</v>
      </c>
      <c r="G10" s="96">
        <f t="shared" si="12"/>
        <v>3.0515328290580805E-3</v>
      </c>
      <c r="H10" s="96">
        <f t="shared" si="12"/>
        <v>1.0096335411485576E-2</v>
      </c>
      <c r="I10" s="96">
        <f t="shared" si="12"/>
        <v>1.9292247262640269E-2</v>
      </c>
      <c r="J10" s="96">
        <f t="shared" si="12"/>
        <v>2.2391001140516457E-2</v>
      </c>
      <c r="K10" s="96">
        <f t="shared" si="12"/>
        <v>2.3103902887167564E-2</v>
      </c>
      <c r="L10" s="96">
        <f t="shared" si="12"/>
        <v>2.3820714308987835E-2</v>
      </c>
      <c r="M10" s="96">
        <f t="shared" si="12"/>
        <v>2.4518516302882796E-2</v>
      </c>
      <c r="N10" s="96">
        <f t="shared" si="12"/>
        <v>2.5275706349785258E-2</v>
      </c>
      <c r="O10" s="96">
        <f t="shared" si="12"/>
        <v>2.6284826740794399E-2</v>
      </c>
      <c r="P10" s="96">
        <f t="shared" si="12"/>
        <v>2.7448700068162673E-2</v>
      </c>
      <c r="Q10" s="96">
        <f t="shared" si="12"/>
        <v>2.9364516698294086E-2</v>
      </c>
      <c r="R10" s="96">
        <f t="shared" si="12"/>
        <v>3.2229914775071963E-2</v>
      </c>
      <c r="S10" s="96">
        <f t="shared" si="12"/>
        <v>3.3999003413927455E-2</v>
      </c>
      <c r="T10" s="96">
        <f t="shared" si="12"/>
        <v>3.592590514457536E-2</v>
      </c>
      <c r="U10" s="96">
        <f t="shared" si="12"/>
        <v>3.8275295919674157E-2</v>
      </c>
      <c r="V10" s="96">
        <f t="shared" si="12"/>
        <v>4.0831484632981099E-2</v>
      </c>
      <c r="W10" s="96">
        <f t="shared" si="12"/>
        <v>4.3049084746899148E-2</v>
      </c>
      <c r="X10" s="96">
        <f t="shared" si="12"/>
        <v>4.5172659929262178E-2</v>
      </c>
      <c r="Y10" s="96">
        <f t="shared" si="12"/>
        <v>4.8267873696257547E-2</v>
      </c>
      <c r="Z10" s="96">
        <f t="shared" si="12"/>
        <v>5.1516468244534604E-2</v>
      </c>
      <c r="AA10" s="96">
        <f t="shared" si="12"/>
        <v>5.4431038832698841E-2</v>
      </c>
      <c r="AB10" s="96">
        <f t="shared" si="12"/>
        <v>5.6324027063299698E-2</v>
      </c>
      <c r="AC10" s="96">
        <f t="shared" si="12"/>
        <v>5.8626850980246059E-2</v>
      </c>
      <c r="AD10" s="96">
        <f t="shared" si="12"/>
        <v>6.1118002917898484E-2</v>
      </c>
      <c r="AE10" s="96">
        <f t="shared" si="12"/>
        <v>6.3632214795264402E-2</v>
      </c>
      <c r="AF10" s="96">
        <f t="shared" si="12"/>
        <v>6.6565309090253516E-2</v>
      </c>
      <c r="AG10" s="96">
        <f t="shared" si="12"/>
        <v>7.0467165120016204E-2</v>
      </c>
      <c r="AH10" s="96">
        <f t="shared" si="12"/>
        <v>7.5581552368855748E-2</v>
      </c>
      <c r="AI10" s="96">
        <f t="shared" si="12"/>
        <v>8.0010700981470201E-2</v>
      </c>
      <c r="AJ10" s="96">
        <f t="shared" si="12"/>
        <v>8.5776732164905473E-2</v>
      </c>
      <c r="AK10" s="96">
        <f t="shared" si="12"/>
        <v>9.1640715673900669E-2</v>
      </c>
      <c r="AL10" s="96">
        <f t="shared" si="12"/>
        <v>9.7634850218954863E-2</v>
      </c>
      <c r="AM10" s="96">
        <f t="shared" si="12"/>
        <v>0.10554897699247145</v>
      </c>
      <c r="AN10" s="96">
        <f t="shared" si="12"/>
        <v>0.1136894843223952</v>
      </c>
      <c r="AO10" s="96">
        <f t="shared" si="12"/>
        <v>0.11974782904535396</v>
      </c>
      <c r="AP10" s="96">
        <f t="shared" si="12"/>
        <v>0.12853252953944369</v>
      </c>
      <c r="AQ10" s="96">
        <f t="shared" si="12"/>
        <v>0.13648749710434141</v>
      </c>
      <c r="AR10" s="96">
        <f t="shared" si="12"/>
        <v>0.14056742398798761</v>
      </c>
      <c r="AS10" s="96">
        <f t="shared" si="12"/>
        <v>0.14889749881336531</v>
      </c>
      <c r="AT10" s="96">
        <f t="shared" si="12"/>
        <v>0.16235110015055804</v>
      </c>
      <c r="AU10" s="96">
        <f t="shared" si="12"/>
        <v>0.171934148101651</v>
      </c>
      <c r="AV10" s="96">
        <f t="shared" si="12"/>
        <v>0.1771609109489706</v>
      </c>
      <c r="AW10" s="96">
        <f t="shared" si="12"/>
        <v>0.1823607680254665</v>
      </c>
      <c r="AX10" s="96">
        <f t="shared" si="12"/>
        <v>0.18963753301943709</v>
      </c>
      <c r="AY10" s="96">
        <f t="shared" si="12"/>
        <v>0.19669600638676837</v>
      </c>
      <c r="AZ10" s="96">
        <f t="shared" si="12"/>
        <v>0.20407069079988965</v>
      </c>
      <c r="BA10" s="96">
        <f t="shared" si="12"/>
        <v>0.20827989641849873</v>
      </c>
      <c r="BB10" s="96">
        <f t="shared" si="12"/>
        <v>0.21414716529495453</v>
      </c>
      <c r="BC10" s="96">
        <f t="shared" si="12"/>
        <v>0.22296318910468224</v>
      </c>
      <c r="BD10" s="96">
        <f t="shared" si="12"/>
        <v>0.23194551100819932</v>
      </c>
      <c r="BE10" s="96">
        <f t="shared" si="12"/>
        <v>0.24361062059701868</v>
      </c>
      <c r="BF10" s="96">
        <f t="shared" si="12"/>
        <v>0.25758556485545986</v>
      </c>
      <c r="BG10" s="96">
        <f t="shared" si="12"/>
        <v>0.27148951220003004</v>
      </c>
      <c r="BH10" s="96">
        <f t="shared" si="12"/>
        <v>0.28344168788110519</v>
      </c>
      <c r="BI10" s="96">
        <f t="shared" si="12"/>
        <v>0.29844184847563232</v>
      </c>
      <c r="BJ10" s="96">
        <f t="shared" si="12"/>
        <v>0.31293085588571973</v>
      </c>
      <c r="BK10" s="96">
        <f t="shared" si="12"/>
        <v>0.32895821127903169</v>
      </c>
      <c r="BL10" s="96">
        <f t="shared" si="12"/>
        <v>0.34418976608703988</v>
      </c>
      <c r="BM10" s="96">
        <f t="shared" si="12"/>
        <v>0.36034021620101486</v>
      </c>
      <c r="BN10" s="96">
        <f t="shared" si="12"/>
        <v>0.37836785630507958</v>
      </c>
      <c r="BO10" s="96">
        <f t="shared" si="12"/>
        <v>0.39747117008314642</v>
      </c>
      <c r="BP10" s="96">
        <f t="shared" si="12"/>
        <v>0.41677150402554364</v>
      </c>
      <c r="BQ10" s="96">
        <f t="shared" si="12"/>
        <v>0.44209444689297184</v>
      </c>
      <c r="BR10" s="96">
        <f t="shared" ref="BR10:DD10" si="13">BQ10+BR9</f>
        <v>0.47216608646620273</v>
      </c>
      <c r="BS10" s="96">
        <f t="shared" si="13"/>
        <v>0.50310575359143572</v>
      </c>
      <c r="BT10" s="96">
        <f t="shared" si="13"/>
        <v>0.53136754297700095</v>
      </c>
      <c r="BU10" s="96">
        <f t="shared" si="13"/>
        <v>0.56490427321645964</v>
      </c>
      <c r="BV10" s="96">
        <f t="shared" si="13"/>
        <v>0.60187381117686445</v>
      </c>
      <c r="BW10" s="96">
        <f t="shared" si="13"/>
        <v>0.63554717649157133</v>
      </c>
      <c r="BX10" s="96">
        <f t="shared" si="13"/>
        <v>0.66642778413569925</v>
      </c>
      <c r="BY10" s="96">
        <f t="shared" si="13"/>
        <v>0.68992374902945441</v>
      </c>
      <c r="BZ10" s="96">
        <f t="shared" si="13"/>
        <v>0.71324479385801043</v>
      </c>
      <c r="CA10" s="96">
        <f t="shared" si="13"/>
        <v>0.73557148195293709</v>
      </c>
      <c r="CB10" s="96">
        <f t="shared" si="13"/>
        <v>0.75582712910409211</v>
      </c>
      <c r="CC10" s="96">
        <f t="shared" si="13"/>
        <v>0.77257272587145642</v>
      </c>
      <c r="CD10" s="96">
        <f t="shared" si="13"/>
        <v>0.78932118479329594</v>
      </c>
      <c r="CE10" s="96">
        <f t="shared" si="13"/>
        <v>0.81008954600363137</v>
      </c>
      <c r="CF10" s="96">
        <f t="shared" si="13"/>
        <v>0.83054801651907384</v>
      </c>
      <c r="CG10" s="96">
        <f t="shared" si="13"/>
        <v>0.85036323085925947</v>
      </c>
      <c r="CH10" s="96">
        <f t="shared" si="13"/>
        <v>0.86911144384084638</v>
      </c>
      <c r="CI10" s="96">
        <f t="shared" si="13"/>
        <v>0.88929338140875369</v>
      </c>
      <c r="CJ10" s="96">
        <f t="shared" si="13"/>
        <v>0.90611640337109589</v>
      </c>
      <c r="CK10" s="96">
        <f t="shared" si="13"/>
        <v>0.92219330941824906</v>
      </c>
      <c r="CL10" s="96">
        <f t="shared" si="13"/>
        <v>0.9387063566618542</v>
      </c>
      <c r="CM10" s="96">
        <f t="shared" si="13"/>
        <v>0.95015293999008632</v>
      </c>
      <c r="CN10" s="96">
        <f t="shared" si="13"/>
        <v>0.95837784635342227</v>
      </c>
      <c r="CO10" s="96">
        <f t="shared" si="13"/>
        <v>0.96675025154770178</v>
      </c>
      <c r="CP10" s="96">
        <f t="shared" si="13"/>
        <v>0.97239676616060144</v>
      </c>
      <c r="CQ10" s="96">
        <f t="shared" si="13"/>
        <v>0.97652980209030815</v>
      </c>
      <c r="CR10" s="96">
        <f t="shared" si="13"/>
        <v>0.97977273040804091</v>
      </c>
      <c r="CS10" s="96">
        <f t="shared" si="13"/>
        <v>0.98284431406850126</v>
      </c>
      <c r="CT10" s="96">
        <f t="shared" si="13"/>
        <v>0.98651853734048478</v>
      </c>
      <c r="CU10" s="96">
        <f t="shared" si="13"/>
        <v>0.98994420873002276</v>
      </c>
      <c r="CV10" s="96">
        <f t="shared" si="13"/>
        <v>0.99273753199708858</v>
      </c>
      <c r="CW10" s="96">
        <f t="shared" si="13"/>
        <v>0.99436727703977668</v>
      </c>
      <c r="CX10" s="96">
        <f t="shared" si="13"/>
        <v>0.99574581223403213</v>
      </c>
      <c r="CY10" s="96">
        <f t="shared" si="13"/>
        <v>0.99647297672938906</v>
      </c>
      <c r="CZ10" s="96">
        <f t="shared" si="13"/>
        <v>0.99715277554241555</v>
      </c>
      <c r="DA10" s="96">
        <f t="shared" si="13"/>
        <v>0.99799506620425016</v>
      </c>
      <c r="DB10" s="96">
        <f t="shared" si="13"/>
        <v>0.9988359482186433</v>
      </c>
      <c r="DC10" s="96">
        <f t="shared" si="13"/>
        <v>0.99955871471615554</v>
      </c>
      <c r="DD10" s="96">
        <f t="shared" si="13"/>
        <v>1</v>
      </c>
    </row>
    <row r="11" spans="3:108">
      <c r="C11" s="111" t="s">
        <v>262</v>
      </c>
      <c r="D11" s="96">
        <f>D5/142221534</f>
        <v>3.2209060549157065E-4</v>
      </c>
      <c r="E11" s="96">
        <f t="shared" ref="E11:BP11" si="14">E5/142221534</f>
        <v>6.9346685572945659E-4</v>
      </c>
      <c r="F11" s="96">
        <f t="shared" si="14"/>
        <v>1.0179876839185266E-3</v>
      </c>
      <c r="G11" s="96">
        <f t="shared" si="14"/>
        <v>1.0179876839185266E-3</v>
      </c>
      <c r="H11" s="96">
        <f t="shared" si="14"/>
        <v>7.0448025824274962E-3</v>
      </c>
      <c r="I11" s="96">
        <f t="shared" si="14"/>
        <v>9.1959118511546912E-3</v>
      </c>
      <c r="J11" s="96">
        <f t="shared" si="14"/>
        <v>3.0987538778761872E-3</v>
      </c>
      <c r="K11" s="96">
        <f t="shared" si="14"/>
        <v>7.129017466511084E-4</v>
      </c>
      <c r="L11" s="96">
        <f t="shared" si="14"/>
        <v>7.1681142182027091E-4</v>
      </c>
      <c r="M11" s="96">
        <f t="shared" si="14"/>
        <v>6.9780199389496108E-4</v>
      </c>
      <c r="N11" s="96">
        <f t="shared" si="14"/>
        <v>7.5719004690246133E-4</v>
      </c>
      <c r="O11" s="96">
        <f t="shared" si="14"/>
        <v>1.009120391009142E-3</v>
      </c>
      <c r="P11" s="96">
        <f t="shared" si="14"/>
        <v>1.1638733273682733E-3</v>
      </c>
      <c r="Q11" s="96">
        <f t="shared" si="14"/>
        <v>1.9158166301314118E-3</v>
      </c>
      <c r="R11" s="96">
        <f t="shared" si="14"/>
        <v>2.8653980767778808E-3</v>
      </c>
      <c r="S11" s="96">
        <f t="shared" si="14"/>
        <v>1.7690886388554916E-3</v>
      </c>
      <c r="T11" s="96">
        <f t="shared" si="14"/>
        <v>1.9269017306479059E-3</v>
      </c>
      <c r="U11" s="96">
        <f t="shared" si="14"/>
        <v>2.0829332356941108E-3</v>
      </c>
      <c r="V11" s="96">
        <f t="shared" si="14"/>
        <v>2.4996150020432208E-3</v>
      </c>
      <c r="W11" s="96">
        <f t="shared" si="14"/>
        <v>2.1610264026543265E-3</v>
      </c>
      <c r="X11" s="96">
        <f t="shared" si="14"/>
        <v>1.9410708226505278E-3</v>
      </c>
      <c r="Y11" s="96">
        <f t="shared" si="14"/>
        <v>2.2261702647645466E-3</v>
      </c>
      <c r="Z11" s="96">
        <f t="shared" si="14"/>
        <v>1.1217484125856777E-3</v>
      </c>
      <c r="AA11" s="96">
        <f t="shared" si="14"/>
        <v>1.1128962369369466E-3</v>
      </c>
      <c r="AB11" s="96">
        <f t="shared" si="14"/>
        <v>7.4877746713096201E-4</v>
      </c>
      <c r="AC11" s="96">
        <f t="shared" si="14"/>
        <v>1.7522639011895345E-3</v>
      </c>
      <c r="AD11" s="96">
        <f t="shared" si="14"/>
        <v>1.156743886618464E-3</v>
      </c>
      <c r="AE11" s="96">
        <f t="shared" si="14"/>
        <v>1.284881303558433E-3</v>
      </c>
      <c r="AF11" s="96">
        <f t="shared" si="14"/>
        <v>2.1441719929697848E-3</v>
      </c>
      <c r="AG11" s="96">
        <f t="shared" si="14"/>
        <v>2.5236713450158678E-3</v>
      </c>
      <c r="AH11" s="96">
        <f t="shared" si="14"/>
        <v>1.9952927100336296E-3</v>
      </c>
      <c r="AI11" s="96">
        <f t="shared" si="14"/>
        <v>2.7393156932198465E-3</v>
      </c>
      <c r="AJ11" s="96">
        <f t="shared" si="14"/>
        <v>2.1789947786669209E-3</v>
      </c>
      <c r="AK11" s="96">
        <f t="shared" si="14"/>
        <v>3.9600566395240821E-3</v>
      </c>
      <c r="AL11" s="96">
        <f t="shared" si="14"/>
        <v>2.9257999706289203E-3</v>
      </c>
      <c r="AM11" s="96">
        <f t="shared" si="14"/>
        <v>3.239197940306283E-3</v>
      </c>
      <c r="AN11" s="96">
        <f t="shared" si="14"/>
        <v>3.8517196699622155E-3</v>
      </c>
      <c r="AO11" s="96">
        <f t="shared" si="14"/>
        <v>2.2253205340901469E-3</v>
      </c>
      <c r="AP11" s="96">
        <f t="shared" si="14"/>
        <v>2.2560729797781536E-3</v>
      </c>
      <c r="AQ11" s="96">
        <f t="shared" si="14"/>
        <v>1.5777501738942008E-3</v>
      </c>
      <c r="AR11" s="96">
        <f t="shared" si="14"/>
        <v>1.6163623294908351E-3</v>
      </c>
      <c r="AS11" s="96">
        <f t="shared" si="14"/>
        <v>2.9640177415046023E-3</v>
      </c>
      <c r="AT11" s="96">
        <f t="shared" si="14"/>
        <v>3.6417544898650861E-3</v>
      </c>
      <c r="AU11" s="96">
        <f t="shared" si="14"/>
        <v>3.6865319565460458E-3</v>
      </c>
      <c r="AV11" s="96">
        <f t="shared" si="14"/>
        <v>3.4988705718783765E-3</v>
      </c>
      <c r="AW11" s="96">
        <f t="shared" si="14"/>
        <v>3.8424463907132376E-3</v>
      </c>
      <c r="AX11" s="96">
        <f t="shared" si="14"/>
        <v>4.2697012394761541E-3</v>
      </c>
      <c r="AY11" s="96">
        <f t="shared" si="14"/>
        <v>4.847874513855265E-3</v>
      </c>
      <c r="AZ11" s="96">
        <f t="shared" si="14"/>
        <v>3.1303455776253968E-3</v>
      </c>
      <c r="BA11" s="96">
        <f t="shared" si="14"/>
        <v>3.8782921579231457E-3</v>
      </c>
      <c r="BB11" s="96">
        <f t="shared" si="14"/>
        <v>3.9675925588033662E-3</v>
      </c>
      <c r="BC11" s="96">
        <f t="shared" si="14"/>
        <v>5.3621760260299262E-3</v>
      </c>
      <c r="BD11" s="96">
        <f t="shared" si="14"/>
        <v>8.1931631394160046E-3</v>
      </c>
      <c r="BE11" s="96">
        <f t="shared" si="14"/>
        <v>1.1255819951991236E-2</v>
      </c>
      <c r="BF11" s="96">
        <f t="shared" si="14"/>
        <v>1.1004866745425486E-2</v>
      </c>
      <c r="BG11" s="96">
        <f t="shared" si="14"/>
        <v>1.0055041735100396E-2</v>
      </c>
      <c r="BH11" s="96">
        <f t="shared" si="14"/>
        <v>1.1392610488929195E-2</v>
      </c>
      <c r="BI11" s="96">
        <f t="shared" si="14"/>
        <v>1.299234854266162E-2</v>
      </c>
      <c r="BJ11" s="96">
        <f t="shared" si="14"/>
        <v>1.0845552404180931E-2</v>
      </c>
      <c r="BK11" s="96">
        <f t="shared" si="14"/>
        <v>1.088828144688694E-2</v>
      </c>
      <c r="BL11" s="96">
        <f t="shared" si="14"/>
        <v>1.3904782520486665E-2</v>
      </c>
      <c r="BM11" s="96">
        <f t="shared" si="14"/>
        <v>1.5472708303090024E-2</v>
      </c>
      <c r="BN11" s="96">
        <f t="shared" si="14"/>
        <v>1.6294459388969885E-2</v>
      </c>
      <c r="BO11" s="96">
        <f t="shared" si="14"/>
        <v>1.7260611251739135E-2</v>
      </c>
      <c r="BP11" s="96">
        <f t="shared" si="14"/>
        <v>2.0809742074642507E-2</v>
      </c>
      <c r="BQ11" s="96">
        <f t="shared" ref="BQ11:DD11" si="15">BQ5/142221534</f>
        <v>3.4219921576714253E-2</v>
      </c>
      <c r="BR11" s="96">
        <f t="shared" si="15"/>
        <v>3.1676160728234024E-2</v>
      </c>
      <c r="BS11" s="96">
        <f t="shared" si="15"/>
        <v>2.7790636402501467E-2</v>
      </c>
      <c r="BT11" s="96">
        <f t="shared" si="15"/>
        <v>3.8313157485701146E-2</v>
      </c>
      <c r="BU11" s="96">
        <f t="shared" si="15"/>
        <v>3.7868102519552346E-2</v>
      </c>
      <c r="BV11" s="96">
        <f t="shared" si="15"/>
        <v>3.5224437882943944E-2</v>
      </c>
      <c r="BW11" s="96">
        <f t="shared" si="15"/>
        <v>3.2382931195215486E-2</v>
      </c>
      <c r="BX11" s="96">
        <f t="shared" si="15"/>
        <v>2.9807471138653303E-2</v>
      </c>
      <c r="BY11" s="96">
        <f t="shared" si="15"/>
        <v>3.896360870358774E-2</v>
      </c>
      <c r="BZ11" s="96">
        <f t="shared" si="15"/>
        <v>4.2247524836850653E-2</v>
      </c>
      <c r="CA11" s="96">
        <f t="shared" si="15"/>
        <v>3.4034674313103669E-2</v>
      </c>
      <c r="CB11" s="96">
        <f t="shared" si="15"/>
        <v>2.9113416045702334E-2</v>
      </c>
      <c r="CC11" s="96">
        <f t="shared" si="15"/>
        <v>2.8850339499220983E-2</v>
      </c>
      <c r="CD11" s="96">
        <f t="shared" si="15"/>
        <v>2.9847936740718881E-2</v>
      </c>
      <c r="CE11" s="96">
        <f t="shared" si="15"/>
        <v>3.2075936404961009E-2</v>
      </c>
      <c r="CF11" s="96">
        <f t="shared" si="15"/>
        <v>2.9756765385472499E-2</v>
      </c>
      <c r="CG11" s="96">
        <f t="shared" si="15"/>
        <v>2.4302107443166798E-2</v>
      </c>
      <c r="CH11" s="96">
        <f t="shared" si="15"/>
        <v>1.6140041704233062E-2</v>
      </c>
      <c r="CI11" s="96">
        <f t="shared" si="15"/>
        <v>1.2369854975688844E-2</v>
      </c>
      <c r="CJ11" s="96">
        <f t="shared" si="15"/>
        <v>2.0261161224712991E-2</v>
      </c>
      <c r="CK11" s="96">
        <f t="shared" si="15"/>
        <v>2.2270881848314193E-2</v>
      </c>
      <c r="CL11" s="96">
        <f t="shared" si="15"/>
        <v>1.666646339224551E-2</v>
      </c>
      <c r="CM11" s="96">
        <f t="shared" si="15"/>
        <v>1.4166772171083459E-2</v>
      </c>
      <c r="CN11" s="96">
        <f t="shared" si="15"/>
        <v>1.1669052029772089E-2</v>
      </c>
      <c r="CO11" s="96">
        <f t="shared" si="15"/>
        <v>7.0604739082620223E-3</v>
      </c>
      <c r="CP11" s="96">
        <f t="shared" si="15"/>
        <v>2.6210241129869969E-3</v>
      </c>
      <c r="CQ11" s="96">
        <f t="shared" si="15"/>
        <v>2.5439293883583059E-3</v>
      </c>
      <c r="CR11" s="96">
        <f t="shared" si="15"/>
        <v>3.4189465991837776E-3</v>
      </c>
      <c r="CS11" s="96">
        <f t="shared" si="15"/>
        <v>2.9807798304298983E-3</v>
      </c>
      <c r="CT11" s="96">
        <f t="shared" si="15"/>
        <v>1.9407253756663881E-3</v>
      </c>
      <c r="CU11" s="96">
        <f t="shared" si="15"/>
        <v>1.8019377431268602E-3</v>
      </c>
      <c r="CV11" s="96">
        <f t="shared" si="15"/>
        <v>1.4361498168062228E-3</v>
      </c>
      <c r="CW11" s="96">
        <f t="shared" si="15"/>
        <v>1.0936768548706554E-3</v>
      </c>
      <c r="CX11" s="96">
        <f t="shared" si="15"/>
        <v>7.9851269217782442E-4</v>
      </c>
      <c r="CY11" s="96">
        <f t="shared" si="15"/>
        <v>7.2128683410207063E-4</v>
      </c>
      <c r="CZ11" s="96">
        <f t="shared" si="15"/>
        <v>6.8386634052196348E-4</v>
      </c>
      <c r="DA11" s="96">
        <f t="shared" si="15"/>
        <v>6.3432011638968821E-4</v>
      </c>
      <c r="DB11" s="96">
        <f t="shared" si="15"/>
        <v>5.7139293688113365E-4</v>
      </c>
      <c r="DC11" s="96">
        <f t="shared" si="15"/>
        <v>5.6365852445382854E-4</v>
      </c>
      <c r="DD11" s="96">
        <f t="shared" si="15"/>
        <v>4.0261322170804316E-4</v>
      </c>
    </row>
    <row r="12" spans="3:108">
      <c r="C12" s="111" t="s">
        <v>263</v>
      </c>
      <c r="D12" s="96">
        <f>D11</f>
        <v>3.2209060549157065E-4</v>
      </c>
      <c r="E12" s="96">
        <f>D12+E11</f>
        <v>1.0155574612210273E-3</v>
      </c>
      <c r="F12" s="96">
        <f t="shared" ref="F12:BQ12" si="16">E12+F11</f>
        <v>2.0335451451395539E-3</v>
      </c>
      <c r="G12" s="96">
        <f t="shared" si="16"/>
        <v>3.0515328290580805E-3</v>
      </c>
      <c r="H12" s="96">
        <f t="shared" si="16"/>
        <v>1.0096335411485576E-2</v>
      </c>
      <c r="I12" s="96">
        <f t="shared" si="16"/>
        <v>1.9292247262640269E-2</v>
      </c>
      <c r="J12" s="96">
        <f t="shared" si="16"/>
        <v>2.2391001140516457E-2</v>
      </c>
      <c r="K12" s="96">
        <f t="shared" si="16"/>
        <v>2.3103902887167564E-2</v>
      </c>
      <c r="L12" s="96">
        <f t="shared" si="16"/>
        <v>2.3820714308987835E-2</v>
      </c>
      <c r="M12" s="96">
        <f t="shared" si="16"/>
        <v>2.4518516302882796E-2</v>
      </c>
      <c r="N12" s="96">
        <f t="shared" si="16"/>
        <v>2.5275706349785258E-2</v>
      </c>
      <c r="O12" s="96">
        <f t="shared" si="16"/>
        <v>2.6284826740794399E-2</v>
      </c>
      <c r="P12" s="96">
        <f t="shared" si="16"/>
        <v>2.7448700068162673E-2</v>
      </c>
      <c r="Q12" s="96">
        <f t="shared" si="16"/>
        <v>2.9364516698294086E-2</v>
      </c>
      <c r="R12" s="96">
        <f t="shared" si="16"/>
        <v>3.2229914775071963E-2</v>
      </c>
      <c r="S12" s="96">
        <f t="shared" si="16"/>
        <v>3.3999003413927455E-2</v>
      </c>
      <c r="T12" s="96">
        <f t="shared" si="16"/>
        <v>3.592590514457536E-2</v>
      </c>
      <c r="U12" s="96">
        <f t="shared" si="16"/>
        <v>3.8008838380269472E-2</v>
      </c>
      <c r="V12" s="96">
        <f t="shared" si="16"/>
        <v>4.0508453382312695E-2</v>
      </c>
      <c r="W12" s="96">
        <f t="shared" si="16"/>
        <v>4.2669479784967018E-2</v>
      </c>
      <c r="X12" s="96">
        <f t="shared" si="16"/>
        <v>4.4610550607617545E-2</v>
      </c>
      <c r="Y12" s="96">
        <f t="shared" si="16"/>
        <v>4.6836720872382095E-2</v>
      </c>
      <c r="Z12" s="96">
        <f t="shared" si="16"/>
        <v>4.7958469284967775E-2</v>
      </c>
      <c r="AA12" s="96">
        <f t="shared" si="16"/>
        <v>4.907136552190472E-2</v>
      </c>
      <c r="AB12" s="96">
        <f t="shared" si="16"/>
        <v>4.9820142989035684E-2</v>
      </c>
      <c r="AC12" s="96">
        <f t="shared" si="16"/>
        <v>5.1572406890225221E-2</v>
      </c>
      <c r="AD12" s="96">
        <f t="shared" si="16"/>
        <v>5.2729150776843682E-2</v>
      </c>
      <c r="AE12" s="96">
        <f t="shared" si="16"/>
        <v>5.4014032080402112E-2</v>
      </c>
      <c r="AF12" s="96">
        <f t="shared" si="16"/>
        <v>5.6158204073371895E-2</v>
      </c>
      <c r="AG12" s="96">
        <f t="shared" si="16"/>
        <v>5.8681875418387763E-2</v>
      </c>
      <c r="AH12" s="96">
        <f t="shared" si="16"/>
        <v>6.0677168128421395E-2</v>
      </c>
      <c r="AI12" s="96">
        <f t="shared" si="16"/>
        <v>6.3416483821641237E-2</v>
      </c>
      <c r="AJ12" s="96">
        <f t="shared" si="16"/>
        <v>6.5595478600308163E-2</v>
      </c>
      <c r="AK12" s="96">
        <f t="shared" si="16"/>
        <v>6.9555535239832239E-2</v>
      </c>
      <c r="AL12" s="96">
        <f t="shared" si="16"/>
        <v>7.2481335210461156E-2</v>
      </c>
      <c r="AM12" s="96">
        <f t="shared" si="16"/>
        <v>7.5720533150767433E-2</v>
      </c>
      <c r="AN12" s="96">
        <f t="shared" si="16"/>
        <v>7.9572252820729647E-2</v>
      </c>
      <c r="AO12" s="96">
        <f t="shared" si="16"/>
        <v>8.1797573354819797E-2</v>
      </c>
      <c r="AP12" s="96">
        <f t="shared" si="16"/>
        <v>8.4053646334597956E-2</v>
      </c>
      <c r="AQ12" s="96">
        <f t="shared" si="16"/>
        <v>8.5631396508492164E-2</v>
      </c>
      <c r="AR12" s="96">
        <f t="shared" si="16"/>
        <v>8.7247758837982997E-2</v>
      </c>
      <c r="AS12" s="96">
        <f t="shared" si="16"/>
        <v>9.0211776579487604E-2</v>
      </c>
      <c r="AT12" s="96">
        <f t="shared" si="16"/>
        <v>9.3853531069352694E-2</v>
      </c>
      <c r="AU12" s="96">
        <f t="shared" si="16"/>
        <v>9.7540063025898738E-2</v>
      </c>
      <c r="AV12" s="96">
        <f t="shared" si="16"/>
        <v>0.10103893359777712</v>
      </c>
      <c r="AW12" s="96">
        <f t="shared" si="16"/>
        <v>0.10488137998849036</v>
      </c>
      <c r="AX12" s="96">
        <f t="shared" si="16"/>
        <v>0.1091510812279665</v>
      </c>
      <c r="AY12" s="96">
        <f t="shared" si="16"/>
        <v>0.11399895574182177</v>
      </c>
      <c r="AZ12" s="96">
        <f t="shared" si="16"/>
        <v>0.11712930131944717</v>
      </c>
      <c r="BA12" s="96">
        <f t="shared" si="16"/>
        <v>0.12100759347737032</v>
      </c>
      <c r="BB12" s="96">
        <f t="shared" si="16"/>
        <v>0.12497518603617369</v>
      </c>
      <c r="BC12" s="96">
        <f t="shared" si="16"/>
        <v>0.13033736206220362</v>
      </c>
      <c r="BD12" s="96">
        <f t="shared" si="16"/>
        <v>0.13853052520161963</v>
      </c>
      <c r="BE12" s="96">
        <f t="shared" si="16"/>
        <v>0.14978634515361086</v>
      </c>
      <c r="BF12" s="96">
        <f t="shared" si="16"/>
        <v>0.16079121189903633</v>
      </c>
      <c r="BG12" s="96">
        <f t="shared" si="16"/>
        <v>0.17084625363413672</v>
      </c>
      <c r="BH12" s="96">
        <f t="shared" si="16"/>
        <v>0.18223886412306592</v>
      </c>
      <c r="BI12" s="96">
        <f t="shared" si="16"/>
        <v>0.19523121266572754</v>
      </c>
      <c r="BJ12" s="96">
        <f t="shared" si="16"/>
        <v>0.20607676506990846</v>
      </c>
      <c r="BK12" s="96">
        <f t="shared" si="16"/>
        <v>0.21696504651679541</v>
      </c>
      <c r="BL12" s="96">
        <f t="shared" si="16"/>
        <v>0.23086982903728206</v>
      </c>
      <c r="BM12" s="96">
        <f t="shared" si="16"/>
        <v>0.24634253734037209</v>
      </c>
      <c r="BN12" s="96">
        <f t="shared" si="16"/>
        <v>0.26263699672934199</v>
      </c>
      <c r="BO12" s="96">
        <f t="shared" si="16"/>
        <v>0.2798976079810811</v>
      </c>
      <c r="BP12" s="96">
        <f t="shared" si="16"/>
        <v>0.30070735005572358</v>
      </c>
      <c r="BQ12" s="96">
        <f t="shared" si="16"/>
        <v>0.33492727163243785</v>
      </c>
      <c r="BR12" s="96">
        <f t="shared" ref="BR12:DD12" si="17">BQ12+BR11</f>
        <v>0.36660343236067189</v>
      </c>
      <c r="BS12" s="96">
        <f t="shared" si="17"/>
        <v>0.39439406876317334</v>
      </c>
      <c r="BT12" s="96">
        <f t="shared" si="17"/>
        <v>0.43270722624887448</v>
      </c>
      <c r="BU12" s="96">
        <f t="shared" si="17"/>
        <v>0.47057532876842684</v>
      </c>
      <c r="BV12" s="96">
        <f t="shared" si="17"/>
        <v>0.50579976665137083</v>
      </c>
      <c r="BW12" s="96">
        <f t="shared" si="17"/>
        <v>0.53818269784658634</v>
      </c>
      <c r="BX12" s="96">
        <f t="shared" si="17"/>
        <v>0.56799016898523969</v>
      </c>
      <c r="BY12" s="96">
        <f t="shared" si="17"/>
        <v>0.60695377768882741</v>
      </c>
      <c r="BZ12" s="96">
        <f t="shared" si="17"/>
        <v>0.64920130252567809</v>
      </c>
      <c r="CA12" s="96">
        <f t="shared" si="17"/>
        <v>0.68323597683878179</v>
      </c>
      <c r="CB12" s="96">
        <f t="shared" si="17"/>
        <v>0.71234939288448418</v>
      </c>
      <c r="CC12" s="96">
        <f t="shared" si="17"/>
        <v>0.74119973238370518</v>
      </c>
      <c r="CD12" s="96">
        <f t="shared" si="17"/>
        <v>0.77104766912442402</v>
      </c>
      <c r="CE12" s="96">
        <f t="shared" si="17"/>
        <v>0.803123605529385</v>
      </c>
      <c r="CF12" s="96">
        <f t="shared" si="17"/>
        <v>0.83288037091485745</v>
      </c>
      <c r="CG12" s="96">
        <f t="shared" si="17"/>
        <v>0.85718247835802419</v>
      </c>
      <c r="CH12" s="96">
        <f t="shared" si="17"/>
        <v>0.8733225200622573</v>
      </c>
      <c r="CI12" s="96">
        <f t="shared" si="17"/>
        <v>0.88569237503794618</v>
      </c>
      <c r="CJ12" s="96">
        <f t="shared" si="17"/>
        <v>0.90595353626265918</v>
      </c>
      <c r="CK12" s="96">
        <f t="shared" si="17"/>
        <v>0.92822441811097334</v>
      </c>
      <c r="CL12" s="96">
        <f t="shared" si="17"/>
        <v>0.94489088150321887</v>
      </c>
      <c r="CM12" s="96">
        <f t="shared" si="17"/>
        <v>0.95905765367430229</v>
      </c>
      <c r="CN12" s="96">
        <f t="shared" si="17"/>
        <v>0.97072670570407438</v>
      </c>
      <c r="CO12" s="96">
        <f t="shared" si="17"/>
        <v>0.97778717961233641</v>
      </c>
      <c r="CP12" s="96">
        <f t="shared" si="17"/>
        <v>0.98040820372532345</v>
      </c>
      <c r="CQ12" s="96">
        <f t="shared" si="17"/>
        <v>0.98295213311368179</v>
      </c>
      <c r="CR12" s="96">
        <f t="shared" si="17"/>
        <v>0.98637107971286553</v>
      </c>
      <c r="CS12" s="96">
        <f t="shared" si="17"/>
        <v>0.98935185954329541</v>
      </c>
      <c r="CT12" s="96">
        <f t="shared" si="17"/>
        <v>0.99129258491896177</v>
      </c>
      <c r="CU12" s="96">
        <f t="shared" si="17"/>
        <v>0.99309452266208864</v>
      </c>
      <c r="CV12" s="96">
        <f t="shared" si="17"/>
        <v>0.99453067247889482</v>
      </c>
      <c r="CW12" s="96">
        <f t="shared" si="17"/>
        <v>0.99562434933376542</v>
      </c>
      <c r="CX12" s="96">
        <f t="shared" si="17"/>
        <v>0.99642286202594321</v>
      </c>
      <c r="CY12" s="96">
        <f t="shared" si="17"/>
        <v>0.99714414886004532</v>
      </c>
      <c r="CZ12" s="96">
        <f t="shared" si="17"/>
        <v>0.9978280152005673</v>
      </c>
      <c r="DA12" s="96">
        <f t="shared" si="17"/>
        <v>0.99846233531695694</v>
      </c>
      <c r="DB12" s="96">
        <f t="shared" si="17"/>
        <v>0.99903372825383807</v>
      </c>
      <c r="DC12" s="96">
        <f t="shared" si="17"/>
        <v>0.99959738677829191</v>
      </c>
      <c r="DD12" s="96">
        <f t="shared" si="17"/>
        <v>1</v>
      </c>
    </row>
    <row r="13" spans="3:108">
      <c r="C13" s="111" t="s">
        <v>264</v>
      </c>
      <c r="D13" s="95">
        <v>5.0838615782873803E-4</v>
      </c>
      <c r="E13" s="95">
        <f t="shared" ref="E13:BA13" si="18">E14-D14</f>
        <v>8.7976240806662408E-4</v>
      </c>
      <c r="F13" s="95">
        <f t="shared" si="18"/>
        <v>1.2042832362556945E-3</v>
      </c>
      <c r="G13" s="95">
        <f t="shared" si="18"/>
        <v>1.2042832362556938E-3</v>
      </c>
      <c r="H13" s="95">
        <f t="shared" si="18"/>
        <v>7.2310981347646647E-3</v>
      </c>
      <c r="I13" s="95">
        <f t="shared" si="18"/>
        <v>9.382207403491858E-3</v>
      </c>
      <c r="J13" s="95">
        <f t="shared" si="18"/>
        <v>3.1606800783822928E-3</v>
      </c>
      <c r="K13" s="95">
        <f t="shared" si="18"/>
        <v>7.4995407679099083E-4</v>
      </c>
      <c r="L13" s="95">
        <f t="shared" si="18"/>
        <v>7.4995407679099776E-4</v>
      </c>
      <c r="M13" s="95">
        <f t="shared" si="18"/>
        <v>7.499540767909943E-4</v>
      </c>
      <c r="N13" s="95">
        <f t="shared" si="18"/>
        <v>7.499540767909943E-4</v>
      </c>
      <c r="O13" s="95">
        <f t="shared" si="18"/>
        <v>7.499540767909943E-4</v>
      </c>
      <c r="P13" s="95">
        <f t="shared" si="18"/>
        <v>7.499540767909943E-4</v>
      </c>
      <c r="Q13" s="95">
        <f t="shared" si="18"/>
        <v>9.4071605218377236E-4</v>
      </c>
      <c r="R13" s="95">
        <f t="shared" si="18"/>
        <v>9.0915311038622382E-4</v>
      </c>
      <c r="S13" s="95">
        <f t="shared" si="18"/>
        <v>9.3957824980287277E-4</v>
      </c>
      <c r="T13" s="95">
        <f t="shared" si="18"/>
        <v>2.5599043250370233E-3</v>
      </c>
      <c r="U13" s="95">
        <f t="shared" si="18"/>
        <v>1.9459326039894878E-3</v>
      </c>
      <c r="V13" s="95">
        <f t="shared" si="18"/>
        <v>4.7872808065760261E-3</v>
      </c>
      <c r="W13" s="95">
        <f t="shared" si="18"/>
        <v>1.9615661015159672E-3</v>
      </c>
      <c r="X13" s="95">
        <f t="shared" si="18"/>
        <v>1.781881216384569E-3</v>
      </c>
      <c r="Y13" s="95">
        <f t="shared" si="18"/>
        <v>2.0413008623574522E-3</v>
      </c>
      <c r="Z13" s="95">
        <f t="shared" si="18"/>
        <v>1.4739666679657731E-3</v>
      </c>
      <c r="AA13" s="95">
        <f t="shared" si="18"/>
        <v>1.2882948880093004E-3</v>
      </c>
      <c r="AB13" s="95">
        <f t="shared" si="18"/>
        <v>1.5999999999999973E-3</v>
      </c>
      <c r="AC13" s="95">
        <f t="shared" si="18"/>
        <v>1.800000000000003E-3</v>
      </c>
      <c r="AD13" s="95">
        <f t="shared" si="18"/>
        <v>1.5999999999999973E-3</v>
      </c>
      <c r="AE13" s="95">
        <f t="shared" si="18"/>
        <v>1.4000000000000054E-3</v>
      </c>
      <c r="AF13" s="95">
        <f t="shared" si="18"/>
        <v>1.9999999999999948E-3</v>
      </c>
      <c r="AG13" s="95">
        <f t="shared" si="18"/>
        <v>1.5000000000000013E-3</v>
      </c>
      <c r="AH13" s="95">
        <f t="shared" si="18"/>
        <v>1.7000000000000001E-3</v>
      </c>
      <c r="AI13" s="95">
        <f t="shared" si="18"/>
        <v>2.3000000000000034E-3</v>
      </c>
      <c r="AJ13" s="95">
        <f t="shared" si="18"/>
        <v>3.0999999999999917E-3</v>
      </c>
      <c r="AK13" s="95">
        <f t="shared" si="18"/>
        <v>2.3999999999999994E-3</v>
      </c>
      <c r="AL13" s="95">
        <f t="shared" si="18"/>
        <v>3.5000000000000031E-3</v>
      </c>
      <c r="AM13" s="95">
        <f t="shared" si="18"/>
        <v>3.600000000000006E-3</v>
      </c>
      <c r="AN13" s="95">
        <f t="shared" si="18"/>
        <v>3.0000000000000027E-3</v>
      </c>
      <c r="AO13" s="95">
        <f t="shared" si="18"/>
        <v>3.9000000000000007E-3</v>
      </c>
      <c r="AP13" s="95">
        <f t="shared" si="18"/>
        <v>3.2951184874775441E-3</v>
      </c>
      <c r="AQ13" s="95">
        <f t="shared" si="18"/>
        <v>2.8609808804498649E-3</v>
      </c>
      <c r="AR13" s="95">
        <f t="shared" si="18"/>
        <v>1.8439006320725843E-3</v>
      </c>
      <c r="AS13" s="95">
        <f t="shared" si="18"/>
        <v>3.7999999999999978E-3</v>
      </c>
      <c r="AT13" s="95">
        <f t="shared" si="18"/>
        <v>3.1000000000000055E-3</v>
      </c>
      <c r="AU13" s="95">
        <f t="shared" si="18"/>
        <v>3.2999999999999974E-3</v>
      </c>
      <c r="AV13" s="95">
        <f t="shared" si="18"/>
        <v>4.1000000000000064E-3</v>
      </c>
      <c r="AW13" s="95">
        <f t="shared" si="18"/>
        <v>3.5999999999999921E-3</v>
      </c>
      <c r="AX13" s="95">
        <f t="shared" si="18"/>
        <v>4.500000000000004E-3</v>
      </c>
      <c r="AY13" s="95">
        <f t="shared" si="18"/>
        <v>4.9999999999999906E-3</v>
      </c>
      <c r="AZ13" s="95">
        <f t="shared" si="18"/>
        <v>5.7000000000000106E-3</v>
      </c>
      <c r="BA13" s="95">
        <f t="shared" si="18"/>
        <v>5.1999999999999824E-3</v>
      </c>
      <c r="BB13" s="95">
        <f t="shared" ref="BB13:BJ13" si="19">BB14-BA14</f>
        <v>5.9596771372844859E-3</v>
      </c>
      <c r="BC13" s="95">
        <f t="shared" si="19"/>
        <v>5.9830021937551658E-3</v>
      </c>
      <c r="BD13" s="95">
        <f t="shared" si="19"/>
        <v>6.1802926492248722E-3</v>
      </c>
      <c r="BE13" s="95">
        <f t="shared" si="19"/>
        <v>7.2836247764746509E-3</v>
      </c>
      <c r="BF13" s="95">
        <f t="shared" si="19"/>
        <v>9.3129573002709576E-3</v>
      </c>
      <c r="BG13" s="95">
        <f t="shared" si="19"/>
        <v>1.0233615203280366E-2</v>
      </c>
      <c r="BH13" s="95">
        <f t="shared" si="19"/>
        <v>1.0637228910078234E-2</v>
      </c>
      <c r="BI13" s="95">
        <f t="shared" si="19"/>
        <v>1.0609601829631277E-2</v>
      </c>
      <c r="BJ13" s="95">
        <f t="shared" si="19"/>
        <v>1.1876824385358531E-2</v>
      </c>
      <c r="BK13" s="106"/>
      <c r="BL13" s="106"/>
      <c r="BM13" s="106"/>
      <c r="BN13" s="106"/>
      <c r="BO13" s="106"/>
      <c r="BP13" s="106"/>
      <c r="BQ13" s="106"/>
      <c r="BR13" s="106"/>
      <c r="BS13" s="106"/>
      <c r="BT13" s="106"/>
      <c r="BU13" s="106"/>
      <c r="BV13" s="106"/>
      <c r="BW13" s="106"/>
      <c r="BX13" s="106"/>
      <c r="BY13" s="106"/>
      <c r="BZ13" s="106"/>
      <c r="CA13" s="106"/>
      <c r="CB13" s="106"/>
      <c r="CC13" s="106"/>
      <c r="CD13" s="106"/>
      <c r="CE13" s="106"/>
      <c r="CF13" s="106"/>
      <c r="CG13" s="106"/>
      <c r="CH13" s="106"/>
      <c r="CI13" s="106"/>
      <c r="CJ13" s="106"/>
      <c r="CK13" s="106"/>
      <c r="CL13" s="106"/>
      <c r="CM13" s="106"/>
      <c r="CN13" s="106"/>
      <c r="CO13" s="106"/>
      <c r="CP13" s="106"/>
      <c r="CQ13" s="106"/>
      <c r="CR13" s="106"/>
      <c r="CS13" s="106"/>
      <c r="CT13" s="106"/>
      <c r="CU13" s="106"/>
      <c r="CV13" s="106"/>
      <c r="CW13" s="106"/>
      <c r="CX13" s="106"/>
      <c r="CY13" s="106"/>
      <c r="CZ13" s="106"/>
      <c r="DA13" s="106"/>
      <c r="DB13" s="106"/>
      <c r="DC13" s="106"/>
      <c r="DD13" s="106"/>
    </row>
    <row r="14" spans="3:108">
      <c r="C14" s="111" t="s">
        <v>265</v>
      </c>
      <c r="D14" s="95">
        <v>5.0838615782873803E-4</v>
      </c>
      <c r="E14" s="95">
        <v>1.3881485658953621E-3</v>
      </c>
      <c r="F14" s="95">
        <v>2.5924318021510566E-3</v>
      </c>
      <c r="G14" s="95">
        <v>3.7967150384067504E-3</v>
      </c>
      <c r="H14" s="95">
        <v>1.1027813173171416E-2</v>
      </c>
      <c r="I14" s="95">
        <v>2.0410020576663274E-2</v>
      </c>
      <c r="J14" s="95">
        <v>2.3570700655045566E-2</v>
      </c>
      <c r="K14" s="95">
        <v>2.4320654731836557E-2</v>
      </c>
      <c r="L14" s="95">
        <v>2.5070608808627555E-2</v>
      </c>
      <c r="M14" s="95">
        <v>2.5820562885418549E-2</v>
      </c>
      <c r="N14" s="95">
        <v>2.6570516962209544E-2</v>
      </c>
      <c r="O14" s="95">
        <v>2.7320471039000538E-2</v>
      </c>
      <c r="P14" s="95">
        <v>2.8070425115791532E-2</v>
      </c>
      <c r="Q14" s="95">
        <v>2.9011141167975305E-2</v>
      </c>
      <c r="R14" s="95">
        <v>2.9920294278361528E-2</v>
      </c>
      <c r="S14" s="95">
        <v>3.0859872528164401E-2</v>
      </c>
      <c r="T14" s="95">
        <v>3.3419776853201424E-2</v>
      </c>
      <c r="U14" s="95">
        <v>3.5365709457190912E-2</v>
      </c>
      <c r="V14" s="95">
        <v>4.0152990263766938E-2</v>
      </c>
      <c r="W14" s="95">
        <v>4.2114556365282906E-2</v>
      </c>
      <c r="X14" s="95">
        <v>4.3896437581667475E-2</v>
      </c>
      <c r="Y14" s="95">
        <v>4.5937738444024927E-2</v>
      </c>
      <c r="Z14" s="95">
        <v>4.74117051119907E-2</v>
      </c>
      <c r="AA14" s="95">
        <v>4.87E-2</v>
      </c>
      <c r="AB14" s="95">
        <v>5.0299999999999997E-2</v>
      </c>
      <c r="AC14" s="95">
        <v>5.21E-2</v>
      </c>
      <c r="AD14" s="95">
        <v>5.3699999999999998E-2</v>
      </c>
      <c r="AE14" s="95">
        <v>5.5100000000000003E-2</v>
      </c>
      <c r="AF14" s="95">
        <v>5.7099999999999998E-2</v>
      </c>
      <c r="AG14" s="95">
        <v>5.8599999999999999E-2</v>
      </c>
      <c r="AH14" s="95">
        <v>6.0299999999999999E-2</v>
      </c>
      <c r="AI14" s="95">
        <v>6.2600000000000003E-2</v>
      </c>
      <c r="AJ14" s="95">
        <v>6.5699999999999995E-2</v>
      </c>
      <c r="AK14" s="95">
        <v>6.8099999999999994E-2</v>
      </c>
      <c r="AL14" s="95">
        <v>7.1599999999999997E-2</v>
      </c>
      <c r="AM14" s="95">
        <v>7.5200000000000003E-2</v>
      </c>
      <c r="AN14" s="95">
        <v>7.8200000000000006E-2</v>
      </c>
      <c r="AO14" s="95">
        <v>8.2100000000000006E-2</v>
      </c>
      <c r="AP14" s="95">
        <v>8.539511848747755E-2</v>
      </c>
      <c r="AQ14" s="95">
        <v>8.8256099367927415E-2</v>
      </c>
      <c r="AR14" s="95">
        <v>9.01E-2</v>
      </c>
      <c r="AS14" s="95">
        <v>9.3899999999999997E-2</v>
      </c>
      <c r="AT14" s="95">
        <v>9.7000000000000003E-2</v>
      </c>
      <c r="AU14" s="95">
        <v>0.1003</v>
      </c>
      <c r="AV14" s="95">
        <v>0.10440000000000001</v>
      </c>
      <c r="AW14" s="95">
        <v>0.108</v>
      </c>
      <c r="AX14" s="95">
        <v>0.1125</v>
      </c>
      <c r="AY14" s="95">
        <v>0.11749999999999999</v>
      </c>
      <c r="AZ14" s="95">
        <v>0.1232</v>
      </c>
      <c r="BA14" s="95">
        <v>0.12839999999999999</v>
      </c>
      <c r="BB14" s="95">
        <v>0.13435967713728447</v>
      </c>
      <c r="BC14" s="95">
        <v>0.14034267933103964</v>
      </c>
      <c r="BD14" s="95">
        <v>0.14652297198026451</v>
      </c>
      <c r="BE14" s="95">
        <v>0.15380659675673916</v>
      </c>
      <c r="BF14" s="95">
        <v>0.16311955405701012</v>
      </c>
      <c r="BG14" s="95">
        <v>0.17335316926029049</v>
      </c>
      <c r="BH14" s="95">
        <v>0.18399039817036872</v>
      </c>
      <c r="BI14" s="95">
        <v>0.1946</v>
      </c>
      <c r="BJ14" s="95">
        <v>0.20647682438535853</v>
      </c>
      <c r="BK14" s="106"/>
      <c r="BL14" s="106"/>
      <c r="BM14" s="106"/>
      <c r="BN14" s="106"/>
      <c r="BO14" s="106"/>
      <c r="BP14" s="106"/>
      <c r="BQ14" s="106"/>
      <c r="BR14" s="106"/>
      <c r="BS14" s="106"/>
      <c r="BT14" s="106"/>
      <c r="BU14" s="106"/>
      <c r="BV14" s="106"/>
      <c r="BW14" s="106"/>
      <c r="BX14" s="106"/>
      <c r="BY14" s="106"/>
      <c r="BZ14" s="106"/>
      <c r="CA14" s="106"/>
      <c r="CB14" s="106"/>
      <c r="CC14" s="106"/>
      <c r="CD14" s="106"/>
      <c r="CE14" s="106"/>
      <c r="CF14" s="106"/>
      <c r="CG14" s="106"/>
      <c r="CH14" s="106"/>
      <c r="CI14" s="106"/>
      <c r="CJ14" s="106"/>
      <c r="CK14" s="106"/>
      <c r="CL14" s="106"/>
      <c r="CM14" s="106"/>
      <c r="CN14" s="106"/>
      <c r="CO14" s="106"/>
      <c r="CP14" s="106"/>
      <c r="CQ14" s="106"/>
      <c r="CR14" s="106"/>
      <c r="CS14" s="106"/>
      <c r="CT14" s="106"/>
      <c r="CU14" s="106"/>
      <c r="CV14" s="106"/>
      <c r="CW14" s="106"/>
      <c r="CX14" s="106"/>
      <c r="CY14" s="106"/>
      <c r="CZ14" s="106"/>
      <c r="DA14" s="106"/>
      <c r="DB14" s="106"/>
      <c r="DC14" s="106"/>
      <c r="DD14" s="106"/>
    </row>
    <row r="15" spans="3:108"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102"/>
      <c r="BF15" s="86"/>
      <c r="BG15" s="102">
        <f>BG14-BG12</f>
        <v>2.5069156261537662E-3</v>
      </c>
      <c r="BH15" s="102">
        <f>BH14-BH12</f>
        <v>1.7515340473027996E-3</v>
      </c>
      <c r="BI15" s="102">
        <f>BI14-BI12</f>
        <v>-6.3121266572754853E-4</v>
      </c>
      <c r="BJ15" s="102">
        <f>BJ14-BJ12</f>
        <v>4.0005931545006312E-4</v>
      </c>
      <c r="BK15" s="86"/>
      <c r="BL15" s="86"/>
      <c r="BM15" s="86"/>
      <c r="BN15" s="86"/>
      <c r="BO15" s="86"/>
      <c r="BP15" s="86"/>
      <c r="BQ15" s="86"/>
      <c r="BR15" s="86"/>
      <c r="BS15" s="86"/>
      <c r="BT15" s="86"/>
      <c r="BU15" s="86"/>
      <c r="BV15" s="86"/>
      <c r="BW15" s="86"/>
      <c r="BX15" s="86"/>
      <c r="BY15" s="86"/>
      <c r="BZ15" s="86"/>
      <c r="CA15" s="86"/>
      <c r="CB15" s="86"/>
      <c r="CC15" s="86"/>
      <c r="CD15" s="86"/>
      <c r="CE15" s="86"/>
      <c r="CF15" s="86"/>
      <c r="CG15" s="86"/>
      <c r="CH15" s="86"/>
      <c r="CI15" s="86"/>
      <c r="CJ15" s="86"/>
      <c r="CK15" s="86"/>
      <c r="CL15" s="86"/>
      <c r="CM15" s="86"/>
      <c r="CN15" s="86"/>
      <c r="CO15" s="86"/>
      <c r="CP15" s="86"/>
      <c r="CQ15" s="86"/>
      <c r="CR15" s="86"/>
      <c r="CS15" s="86"/>
      <c r="CT15" s="86"/>
      <c r="CU15" s="86"/>
      <c r="CV15" s="86"/>
      <c r="CW15" s="86"/>
      <c r="CX15" s="86"/>
      <c r="CY15" s="86"/>
      <c r="CZ15" s="86"/>
      <c r="DA15" s="86"/>
      <c r="DB15" s="86"/>
      <c r="DC15" s="86"/>
      <c r="DD15" s="86"/>
    </row>
    <row r="16" spans="3:108"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  <c r="AQ16" s="86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102"/>
      <c r="BE16" s="102"/>
      <c r="BF16" s="102"/>
      <c r="BG16" s="102">
        <f>BG14-BG10</f>
        <v>-9.8136342939739551E-2</v>
      </c>
      <c r="BH16" s="102">
        <f t="shared" ref="BH16:BJ16" si="20">BH14-BH10</f>
        <v>-9.9451289710736468E-2</v>
      </c>
      <c r="BI16" s="102">
        <f t="shared" si="20"/>
        <v>-0.10384184847563233</v>
      </c>
      <c r="BJ16" s="102">
        <f t="shared" si="20"/>
        <v>-0.1064540315003612</v>
      </c>
      <c r="BK16" s="86"/>
      <c r="BL16" s="86"/>
      <c r="BM16" s="86"/>
      <c r="BN16" s="86"/>
      <c r="BO16" s="86"/>
      <c r="BP16" s="86"/>
      <c r="BQ16" s="86"/>
      <c r="BR16" s="86"/>
      <c r="BS16" s="86"/>
      <c r="BT16" s="86"/>
      <c r="BU16" s="86"/>
      <c r="BV16" s="86"/>
      <c r="BW16" s="86"/>
      <c r="BX16" s="86"/>
      <c r="BY16" s="86"/>
      <c r="BZ16" s="86"/>
      <c r="CA16" s="86"/>
      <c r="CB16" s="86"/>
      <c r="CC16" s="86"/>
      <c r="CD16" s="86"/>
      <c r="CE16" s="86"/>
      <c r="CF16" s="86"/>
      <c r="CG16" s="86"/>
      <c r="CH16" s="86"/>
      <c r="CI16" s="86"/>
      <c r="CJ16" s="86"/>
      <c r="CK16" s="86"/>
      <c r="CL16" s="86"/>
      <c r="CM16" s="86"/>
      <c r="CN16" s="86"/>
      <c r="CO16" s="86"/>
      <c r="CP16" s="86"/>
      <c r="CQ16" s="86"/>
      <c r="CR16" s="86"/>
      <c r="CS16" s="86"/>
      <c r="CT16" s="86"/>
      <c r="CU16" s="86"/>
      <c r="CV16" s="86"/>
      <c r="CW16" s="86"/>
      <c r="CX16" s="86"/>
      <c r="CY16" s="86"/>
      <c r="CZ16" s="86"/>
      <c r="DA16" s="86"/>
      <c r="DB16" s="86"/>
      <c r="DC16" s="86"/>
      <c r="DD16" s="86"/>
    </row>
    <row r="17" spans="6:58">
      <c r="F17" s="65"/>
      <c r="G17" s="65"/>
      <c r="H17" s="65"/>
      <c r="I17" s="65"/>
      <c r="J17" s="65"/>
      <c r="K17" s="65"/>
      <c r="L17" s="65"/>
      <c r="M17" s="65"/>
      <c r="N17" s="65"/>
      <c r="BD17" s="103"/>
      <c r="BE17" s="103"/>
      <c r="BF17" s="103"/>
    </row>
    <row r="18" spans="6:58">
      <c r="S18" s="65"/>
      <c r="T18" s="65"/>
    </row>
  </sheetData>
  <pageMargins left="0.7" right="0.7" top="0.75" bottom="0.75" header="0.3" footer="0.3"/>
  <pageSetup paperSize="9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C37"/>
  <sheetViews>
    <sheetView workbookViewId="0">
      <pane xSplit="1" ySplit="1" topLeftCell="OF2" activePane="bottomRight" state="frozen"/>
      <selection pane="topRight" activeCell="B1" sqref="B1"/>
      <selection pane="bottomLeft" activeCell="A2" sqref="A2"/>
      <selection pane="bottomRight" activeCell="OO2" sqref="OO2:OU2"/>
    </sheetView>
  </sheetViews>
  <sheetFormatPr defaultRowHeight="15"/>
  <cols>
    <col min="1" max="1" width="33.140625" customWidth="1"/>
    <col min="2" max="166" width="9.28515625" hidden="1" customWidth="1"/>
    <col min="167" max="731" width="9.28515625" bestFit="1" customWidth="1"/>
  </cols>
  <sheetData>
    <row r="1" spans="1:731">
      <c r="A1" s="75" t="s">
        <v>32</v>
      </c>
      <c r="B1" s="77">
        <v>41927</v>
      </c>
      <c r="C1" s="77">
        <v>41928</v>
      </c>
      <c r="D1" s="77">
        <v>41929</v>
      </c>
      <c r="E1" s="77">
        <v>41930</v>
      </c>
      <c r="F1" s="77">
        <v>41931</v>
      </c>
      <c r="G1" s="77">
        <v>41932</v>
      </c>
      <c r="H1" s="77">
        <v>41933</v>
      </c>
      <c r="I1" s="77">
        <v>41934</v>
      </c>
      <c r="J1" s="77">
        <v>41935</v>
      </c>
      <c r="K1" s="77">
        <v>41936</v>
      </c>
      <c r="L1" s="77">
        <v>41937</v>
      </c>
      <c r="M1" s="77">
        <v>41938</v>
      </c>
      <c r="N1" s="77">
        <v>41939</v>
      </c>
      <c r="O1" s="77">
        <v>41940</v>
      </c>
      <c r="P1" s="77">
        <v>41941</v>
      </c>
      <c r="Q1" s="77">
        <v>41942</v>
      </c>
      <c r="R1" s="77">
        <v>41943</v>
      </c>
      <c r="S1" s="77">
        <v>41944</v>
      </c>
      <c r="T1" s="77">
        <v>41945</v>
      </c>
      <c r="U1" s="77">
        <v>41946</v>
      </c>
      <c r="V1" s="77">
        <v>41947</v>
      </c>
      <c r="W1" s="77">
        <v>41948</v>
      </c>
      <c r="X1" s="77">
        <v>41949</v>
      </c>
      <c r="Y1" s="77">
        <v>41950</v>
      </c>
      <c r="Z1" s="77">
        <v>41951</v>
      </c>
      <c r="AA1" s="77">
        <v>41952</v>
      </c>
      <c r="AB1" s="77">
        <v>41953</v>
      </c>
      <c r="AC1" s="77">
        <v>41954</v>
      </c>
      <c r="AD1" s="77">
        <v>41955</v>
      </c>
      <c r="AE1" s="77">
        <v>41956</v>
      </c>
      <c r="AF1" s="77">
        <v>41957</v>
      </c>
      <c r="AG1" s="77">
        <v>41958</v>
      </c>
      <c r="AH1" s="77">
        <v>41959</v>
      </c>
      <c r="AI1" s="77">
        <v>41960</v>
      </c>
      <c r="AJ1" s="77">
        <v>41961</v>
      </c>
      <c r="AK1" s="77">
        <v>41962</v>
      </c>
      <c r="AL1" s="77">
        <v>41963</v>
      </c>
      <c r="AM1" s="77">
        <v>41964</v>
      </c>
      <c r="AN1" s="77">
        <v>41965</v>
      </c>
      <c r="AO1" s="77">
        <v>41966</v>
      </c>
      <c r="AP1" s="77">
        <v>41967</v>
      </c>
      <c r="AQ1" s="77">
        <v>41968</v>
      </c>
      <c r="AR1" s="77">
        <v>41969</v>
      </c>
      <c r="AS1" s="77">
        <v>41970</v>
      </c>
      <c r="AT1" s="77">
        <v>41971</v>
      </c>
      <c r="AU1" s="77">
        <v>41972</v>
      </c>
      <c r="AV1" s="77">
        <v>41973</v>
      </c>
      <c r="AW1" s="77">
        <v>41974</v>
      </c>
      <c r="AX1" s="77">
        <v>41975</v>
      </c>
      <c r="AY1" s="77">
        <v>41976</v>
      </c>
      <c r="AZ1" s="77">
        <v>41977</v>
      </c>
      <c r="BA1" s="77">
        <v>41978</v>
      </c>
      <c r="BB1" s="77">
        <v>41979</v>
      </c>
      <c r="BC1" s="77">
        <v>41980</v>
      </c>
      <c r="BD1" s="77">
        <v>41981</v>
      </c>
      <c r="BE1" s="77">
        <v>41982</v>
      </c>
      <c r="BF1" s="77">
        <v>41983</v>
      </c>
      <c r="BG1" s="77">
        <v>41984</v>
      </c>
      <c r="BH1" s="77">
        <v>41985</v>
      </c>
      <c r="BI1" s="77">
        <v>41986</v>
      </c>
      <c r="BJ1" s="77">
        <v>41987</v>
      </c>
      <c r="BK1" s="77">
        <v>41988</v>
      </c>
      <c r="BL1" s="77">
        <v>41989</v>
      </c>
      <c r="BM1" s="77">
        <v>41990</v>
      </c>
      <c r="BN1" s="77">
        <v>41991</v>
      </c>
      <c r="BO1" s="77">
        <v>41992</v>
      </c>
      <c r="BP1" s="77">
        <v>41993</v>
      </c>
      <c r="BQ1" s="77">
        <v>41994</v>
      </c>
      <c r="BR1" s="77">
        <v>41995</v>
      </c>
      <c r="BS1" s="77">
        <v>41996</v>
      </c>
      <c r="BT1" s="77">
        <v>41997</v>
      </c>
      <c r="BU1" s="77">
        <v>41998</v>
      </c>
      <c r="BV1" s="77">
        <v>41999</v>
      </c>
      <c r="BW1" s="77">
        <v>42000</v>
      </c>
      <c r="BX1" s="77">
        <v>42001</v>
      </c>
      <c r="BY1" s="77">
        <v>42002</v>
      </c>
      <c r="BZ1" s="77">
        <v>42003</v>
      </c>
      <c r="CA1" s="77">
        <v>42004</v>
      </c>
      <c r="CB1" s="77">
        <v>42005</v>
      </c>
      <c r="CC1" s="77">
        <v>42006</v>
      </c>
      <c r="CD1" s="77">
        <v>42007</v>
      </c>
      <c r="CE1" s="77">
        <v>42008</v>
      </c>
      <c r="CF1" s="77">
        <v>42009</v>
      </c>
      <c r="CG1" s="77">
        <v>42010</v>
      </c>
      <c r="CH1" s="77">
        <v>42011</v>
      </c>
      <c r="CI1" s="77">
        <v>42012</v>
      </c>
      <c r="CJ1" s="77">
        <v>42013</v>
      </c>
      <c r="CK1" s="77">
        <v>42014</v>
      </c>
      <c r="CL1" s="77">
        <v>42015</v>
      </c>
      <c r="CM1" s="77">
        <v>42016</v>
      </c>
      <c r="CN1" s="77">
        <v>42017</v>
      </c>
      <c r="CO1" s="77">
        <v>42018</v>
      </c>
      <c r="CP1" s="77">
        <v>42019</v>
      </c>
      <c r="CQ1" s="77">
        <v>42020</v>
      </c>
      <c r="CR1" s="77">
        <v>42021</v>
      </c>
      <c r="CS1" s="77">
        <v>42022</v>
      </c>
      <c r="CT1" s="77">
        <v>42023</v>
      </c>
      <c r="CU1" s="77">
        <v>42024</v>
      </c>
      <c r="CV1" s="77">
        <v>42025</v>
      </c>
      <c r="CW1" s="77">
        <v>42026</v>
      </c>
      <c r="CX1" s="77">
        <v>42027</v>
      </c>
      <c r="CY1" s="77">
        <v>42028</v>
      </c>
      <c r="CZ1" s="77">
        <v>42029</v>
      </c>
      <c r="DA1" s="77">
        <v>42030</v>
      </c>
      <c r="DB1" s="77">
        <v>42031</v>
      </c>
      <c r="DC1" s="77">
        <v>42032</v>
      </c>
      <c r="DD1" s="77">
        <v>42033</v>
      </c>
      <c r="DE1" s="77">
        <v>42034</v>
      </c>
      <c r="DF1" s="77">
        <v>42035</v>
      </c>
      <c r="DG1" s="77">
        <v>42036</v>
      </c>
      <c r="DH1" s="77">
        <v>42037</v>
      </c>
      <c r="DI1" s="77">
        <v>42038</v>
      </c>
      <c r="DJ1" s="77">
        <v>42039</v>
      </c>
      <c r="DK1" s="77">
        <v>42040</v>
      </c>
      <c r="DL1" s="77">
        <v>42041</v>
      </c>
      <c r="DM1" s="77">
        <v>42042</v>
      </c>
      <c r="DN1" s="77">
        <v>42043</v>
      </c>
      <c r="DO1" s="77">
        <v>42044</v>
      </c>
      <c r="DP1" s="77">
        <v>42045</v>
      </c>
      <c r="DQ1" s="77">
        <v>42046</v>
      </c>
      <c r="DR1" s="77">
        <v>42047</v>
      </c>
      <c r="DS1" s="77">
        <v>42048</v>
      </c>
      <c r="DT1" s="77">
        <v>42049</v>
      </c>
      <c r="DU1" s="77">
        <v>42050</v>
      </c>
      <c r="DV1" s="77">
        <v>42051</v>
      </c>
      <c r="DW1" s="77">
        <v>42052</v>
      </c>
      <c r="DX1" s="77">
        <v>42053</v>
      </c>
      <c r="DY1" s="77">
        <v>42054</v>
      </c>
      <c r="DZ1" s="77">
        <v>42055</v>
      </c>
      <c r="EA1" s="77">
        <v>42056</v>
      </c>
      <c r="EB1" s="77">
        <v>42057</v>
      </c>
      <c r="EC1" s="77">
        <v>42058</v>
      </c>
      <c r="ED1" s="77">
        <v>42059</v>
      </c>
      <c r="EE1" s="77">
        <v>42060</v>
      </c>
      <c r="EF1" s="77">
        <v>42061</v>
      </c>
      <c r="EG1" s="77">
        <v>42062</v>
      </c>
      <c r="EH1" s="77">
        <v>42063</v>
      </c>
      <c r="EI1" s="77">
        <v>42064</v>
      </c>
      <c r="EJ1" s="77">
        <v>42065</v>
      </c>
      <c r="EK1" s="77">
        <v>42066</v>
      </c>
      <c r="EL1" s="77">
        <v>42067</v>
      </c>
      <c r="EM1" s="77">
        <v>42068</v>
      </c>
      <c r="EN1" s="77">
        <v>42069</v>
      </c>
      <c r="EO1" s="77">
        <v>42070</v>
      </c>
      <c r="EP1" s="77">
        <v>42071</v>
      </c>
      <c r="EQ1" s="77">
        <v>42072</v>
      </c>
      <c r="ER1" s="77">
        <v>42073</v>
      </c>
      <c r="ES1" s="77">
        <v>42074</v>
      </c>
      <c r="ET1" s="77">
        <v>42075</v>
      </c>
      <c r="EU1" s="77">
        <v>42076</v>
      </c>
      <c r="EV1" s="77">
        <v>42077</v>
      </c>
      <c r="EW1" s="77">
        <v>42078</v>
      </c>
      <c r="EX1" s="77">
        <v>42079</v>
      </c>
      <c r="EY1" s="77">
        <v>42080</v>
      </c>
      <c r="EZ1" s="77">
        <v>42081</v>
      </c>
      <c r="FA1" s="77">
        <v>42082</v>
      </c>
      <c r="FB1" s="77">
        <v>42083</v>
      </c>
      <c r="FC1" s="77">
        <v>42084</v>
      </c>
      <c r="FD1" s="77">
        <v>42085</v>
      </c>
      <c r="FE1" s="77">
        <v>42086</v>
      </c>
      <c r="FF1" s="77">
        <v>42087</v>
      </c>
      <c r="FG1" s="77">
        <v>42088</v>
      </c>
      <c r="FH1" s="77">
        <v>42089</v>
      </c>
      <c r="FI1" s="77">
        <v>42090</v>
      </c>
      <c r="FJ1" s="77">
        <v>42091</v>
      </c>
      <c r="FK1" s="77">
        <v>42092</v>
      </c>
      <c r="FL1" s="77">
        <v>42093</v>
      </c>
      <c r="FM1" s="77">
        <v>42094</v>
      </c>
      <c r="FN1" s="77">
        <v>42095</v>
      </c>
      <c r="FO1" s="77">
        <v>42096</v>
      </c>
      <c r="FP1" s="77">
        <v>42097</v>
      </c>
      <c r="FQ1" s="77">
        <v>42098</v>
      </c>
      <c r="FR1" s="77">
        <v>42099</v>
      </c>
      <c r="FS1" s="77">
        <v>42100</v>
      </c>
      <c r="FT1" s="77">
        <v>42101</v>
      </c>
      <c r="FU1" s="77">
        <v>42102</v>
      </c>
      <c r="FV1" s="77">
        <v>42103</v>
      </c>
      <c r="FW1" s="77">
        <v>42104</v>
      </c>
      <c r="FX1" s="77">
        <v>42105</v>
      </c>
      <c r="FY1" s="77">
        <v>42106</v>
      </c>
      <c r="FZ1" s="77">
        <v>42107</v>
      </c>
      <c r="GA1" s="77">
        <v>42108</v>
      </c>
      <c r="GB1" s="77">
        <v>42109</v>
      </c>
      <c r="GC1" s="77">
        <v>42110</v>
      </c>
      <c r="GD1" s="77">
        <v>42111</v>
      </c>
      <c r="GE1" s="77">
        <v>42112</v>
      </c>
      <c r="GF1" s="77">
        <v>42113</v>
      </c>
      <c r="GG1" s="77">
        <v>42114</v>
      </c>
      <c r="GH1" s="77">
        <v>42115</v>
      </c>
      <c r="GI1" s="77">
        <v>42116</v>
      </c>
      <c r="GJ1" s="77">
        <v>42117</v>
      </c>
      <c r="GK1" s="77">
        <v>42118</v>
      </c>
      <c r="GL1" s="77">
        <v>42119</v>
      </c>
      <c r="GM1" s="77">
        <v>42120</v>
      </c>
      <c r="GN1" s="77">
        <v>42121</v>
      </c>
      <c r="GO1" s="77">
        <v>42122</v>
      </c>
      <c r="GP1" s="77">
        <v>42123</v>
      </c>
      <c r="GQ1" s="77">
        <v>42124</v>
      </c>
      <c r="GR1" s="77">
        <v>42125</v>
      </c>
      <c r="GS1" s="77">
        <v>42126</v>
      </c>
      <c r="GT1" s="77">
        <v>42127</v>
      </c>
      <c r="GU1" s="77">
        <v>42128</v>
      </c>
      <c r="GV1" s="77">
        <v>42129</v>
      </c>
      <c r="GW1" s="77">
        <v>42130</v>
      </c>
      <c r="GX1" s="77">
        <v>42131</v>
      </c>
      <c r="GY1" s="77">
        <v>42132</v>
      </c>
      <c r="GZ1" s="77">
        <v>42133</v>
      </c>
      <c r="HA1" s="77">
        <v>42134</v>
      </c>
      <c r="HB1" s="77">
        <v>42135</v>
      </c>
      <c r="HC1" s="77">
        <v>42136</v>
      </c>
      <c r="HD1" s="77">
        <v>42137</v>
      </c>
      <c r="HE1" s="77">
        <v>42138</v>
      </c>
      <c r="HF1" s="77">
        <v>42139</v>
      </c>
      <c r="HG1" s="77">
        <v>42140</v>
      </c>
      <c r="HH1" s="77">
        <v>42141</v>
      </c>
      <c r="HI1" s="77">
        <v>42142</v>
      </c>
      <c r="HJ1" s="77">
        <v>42143</v>
      </c>
      <c r="HK1" s="77">
        <v>42144</v>
      </c>
      <c r="HL1" s="77">
        <v>42145</v>
      </c>
      <c r="HM1" s="77">
        <v>42146</v>
      </c>
      <c r="HN1" s="77">
        <v>42147</v>
      </c>
      <c r="HO1" s="77">
        <v>42148</v>
      </c>
      <c r="HP1" s="77">
        <v>42149</v>
      </c>
      <c r="HQ1" s="77">
        <v>42150</v>
      </c>
      <c r="HR1" s="77">
        <v>42151</v>
      </c>
      <c r="HS1" s="77">
        <v>42152</v>
      </c>
      <c r="HT1" s="77">
        <v>42153</v>
      </c>
      <c r="HU1" s="77">
        <v>42154</v>
      </c>
      <c r="HV1" s="77">
        <v>42155</v>
      </c>
      <c r="HW1" s="77">
        <v>42156</v>
      </c>
      <c r="HX1" s="77">
        <v>42157</v>
      </c>
      <c r="HY1" s="77">
        <v>42158</v>
      </c>
      <c r="HZ1" s="77">
        <v>42159</v>
      </c>
      <c r="IA1" s="77">
        <v>42160</v>
      </c>
      <c r="IB1" s="77">
        <v>42161</v>
      </c>
      <c r="IC1" s="77">
        <v>42162</v>
      </c>
      <c r="ID1" s="77">
        <v>42163</v>
      </c>
      <c r="IE1" s="77">
        <v>42164</v>
      </c>
      <c r="IF1" s="77">
        <v>42165</v>
      </c>
      <c r="IG1" s="77">
        <v>42166</v>
      </c>
      <c r="IH1" s="77">
        <v>42167</v>
      </c>
      <c r="II1" s="77">
        <v>42168</v>
      </c>
      <c r="IJ1" s="77">
        <v>42169</v>
      </c>
      <c r="IK1" s="77">
        <v>42170</v>
      </c>
      <c r="IL1" s="77">
        <v>42171</v>
      </c>
      <c r="IM1" s="77">
        <v>42172</v>
      </c>
      <c r="IN1" s="77">
        <v>42173</v>
      </c>
      <c r="IO1" s="77">
        <v>42174</v>
      </c>
      <c r="IP1" s="77">
        <v>42175</v>
      </c>
      <c r="IQ1" s="77">
        <v>42176</v>
      </c>
      <c r="IR1" s="77">
        <v>42177</v>
      </c>
      <c r="IS1" s="77">
        <v>42178</v>
      </c>
      <c r="IT1" s="77">
        <v>42179</v>
      </c>
      <c r="IU1" s="77">
        <v>42180</v>
      </c>
      <c r="IV1" s="77">
        <v>42181</v>
      </c>
      <c r="IW1" s="77">
        <v>42182</v>
      </c>
      <c r="IX1" s="77">
        <v>42183</v>
      </c>
      <c r="IY1" s="77">
        <v>42184</v>
      </c>
      <c r="IZ1" s="77">
        <v>42185</v>
      </c>
      <c r="JA1" s="77">
        <v>42186</v>
      </c>
      <c r="JB1" s="77">
        <v>42187</v>
      </c>
      <c r="JC1" s="77">
        <v>42188</v>
      </c>
      <c r="JD1" s="77">
        <v>42189</v>
      </c>
      <c r="JE1" s="77">
        <v>42190</v>
      </c>
      <c r="JF1" s="77">
        <v>42191</v>
      </c>
      <c r="JG1" s="77">
        <v>42192</v>
      </c>
      <c r="JH1" s="77">
        <v>42193</v>
      </c>
      <c r="JI1" s="77">
        <v>42194</v>
      </c>
      <c r="JJ1" s="77">
        <v>42195</v>
      </c>
      <c r="JK1" s="77">
        <v>42196</v>
      </c>
      <c r="JL1" s="77">
        <v>42197</v>
      </c>
      <c r="JM1" s="77">
        <v>42198</v>
      </c>
      <c r="JN1" s="77">
        <v>42199</v>
      </c>
      <c r="JO1" s="77">
        <v>42200</v>
      </c>
      <c r="JP1" s="77">
        <v>42201</v>
      </c>
      <c r="JQ1" s="77">
        <v>42202</v>
      </c>
      <c r="JR1" s="77">
        <v>42203</v>
      </c>
      <c r="JS1" s="77">
        <v>42204</v>
      </c>
      <c r="JT1" s="77">
        <v>42205</v>
      </c>
      <c r="JU1" s="77">
        <v>42206</v>
      </c>
      <c r="JV1" s="77">
        <v>42207</v>
      </c>
      <c r="JW1" s="77">
        <v>42208</v>
      </c>
      <c r="JX1" s="77">
        <v>42209</v>
      </c>
      <c r="JY1" s="77">
        <v>42210</v>
      </c>
      <c r="JZ1" s="77">
        <v>42211</v>
      </c>
      <c r="KA1" s="77">
        <v>42212</v>
      </c>
      <c r="KB1" s="77">
        <v>42213</v>
      </c>
      <c r="KC1" s="77">
        <v>42214</v>
      </c>
      <c r="KD1" s="77">
        <v>42215</v>
      </c>
      <c r="KE1" s="77">
        <v>42216</v>
      </c>
      <c r="KF1" s="77">
        <v>42217</v>
      </c>
      <c r="KG1" s="77">
        <v>42218</v>
      </c>
      <c r="KH1" s="77">
        <v>42219</v>
      </c>
      <c r="KI1" s="77">
        <v>42220</v>
      </c>
      <c r="KJ1" s="77">
        <v>42221</v>
      </c>
      <c r="KK1" s="77">
        <v>42222</v>
      </c>
      <c r="KL1" s="77">
        <v>42223</v>
      </c>
      <c r="KM1" s="77">
        <v>42224</v>
      </c>
      <c r="KN1" s="77">
        <v>42225</v>
      </c>
      <c r="KO1" s="77">
        <v>42226</v>
      </c>
      <c r="KP1" s="77">
        <v>42227</v>
      </c>
      <c r="KQ1" s="77">
        <v>42228</v>
      </c>
      <c r="KR1" s="77">
        <v>42229</v>
      </c>
      <c r="KS1" s="77">
        <v>42230</v>
      </c>
      <c r="KT1" s="77">
        <v>42231</v>
      </c>
      <c r="KU1" s="77">
        <v>42232</v>
      </c>
      <c r="KV1" s="77">
        <v>42233</v>
      </c>
      <c r="KW1" s="77">
        <v>42234</v>
      </c>
      <c r="KX1" s="77">
        <v>42235</v>
      </c>
      <c r="KY1" s="77">
        <v>42236</v>
      </c>
      <c r="KZ1" s="77">
        <v>42237</v>
      </c>
      <c r="LA1" s="77">
        <v>42238</v>
      </c>
      <c r="LB1" s="77">
        <v>42239</v>
      </c>
      <c r="LC1" s="77">
        <v>42240</v>
      </c>
      <c r="LD1" s="77">
        <v>42241</v>
      </c>
      <c r="LE1" s="77">
        <v>42242</v>
      </c>
      <c r="LF1" s="77">
        <v>42243</v>
      </c>
      <c r="LG1" s="77">
        <v>42244</v>
      </c>
      <c r="LH1" s="77">
        <v>42245</v>
      </c>
      <c r="LI1" s="77">
        <v>42246</v>
      </c>
      <c r="LJ1" s="77">
        <v>42247</v>
      </c>
      <c r="LK1" s="77">
        <v>42248</v>
      </c>
      <c r="LL1" s="77">
        <v>42249</v>
      </c>
      <c r="LM1" s="77">
        <v>42250</v>
      </c>
      <c r="LN1" s="77">
        <v>42251</v>
      </c>
      <c r="LO1" s="77">
        <v>42252</v>
      </c>
      <c r="LP1" s="77">
        <v>42253</v>
      </c>
      <c r="LQ1" s="77">
        <v>42254</v>
      </c>
      <c r="LR1" s="77">
        <v>42255</v>
      </c>
      <c r="LS1" s="77">
        <v>42256</v>
      </c>
      <c r="LT1" s="77">
        <v>42257</v>
      </c>
      <c r="LU1" s="77">
        <v>42258</v>
      </c>
      <c r="LV1" s="77">
        <v>42259</v>
      </c>
      <c r="LW1" s="77">
        <v>42260</v>
      </c>
      <c r="LX1" s="77">
        <v>42261</v>
      </c>
      <c r="LY1" s="77">
        <v>42262</v>
      </c>
      <c r="LZ1" s="77">
        <v>42263</v>
      </c>
      <c r="MA1" s="77">
        <v>42264</v>
      </c>
      <c r="MB1" s="77">
        <v>42265</v>
      </c>
      <c r="MC1" s="77">
        <v>42266</v>
      </c>
      <c r="MD1" s="77">
        <v>42267</v>
      </c>
      <c r="ME1" s="77">
        <v>42268</v>
      </c>
      <c r="MF1" s="77">
        <v>42269</v>
      </c>
      <c r="MG1" s="77">
        <v>42270</v>
      </c>
      <c r="MH1" s="77">
        <v>42271</v>
      </c>
      <c r="MI1" s="77">
        <v>42272</v>
      </c>
      <c r="MJ1" s="77">
        <v>42273</v>
      </c>
      <c r="MK1" s="77">
        <v>42274</v>
      </c>
      <c r="ML1" s="77">
        <v>42275</v>
      </c>
      <c r="MM1" s="77">
        <v>42276</v>
      </c>
      <c r="MN1" s="77">
        <v>42277</v>
      </c>
      <c r="MO1" s="77">
        <v>42278</v>
      </c>
      <c r="MP1" s="77">
        <v>42279</v>
      </c>
      <c r="MQ1" s="77">
        <v>42280</v>
      </c>
      <c r="MR1" s="77">
        <v>42281</v>
      </c>
      <c r="MS1" s="77">
        <v>42282</v>
      </c>
      <c r="MT1" s="77">
        <v>42283</v>
      </c>
      <c r="MU1" s="77">
        <v>42284</v>
      </c>
      <c r="MV1" s="77">
        <v>42285</v>
      </c>
      <c r="MW1" s="77">
        <v>42286</v>
      </c>
      <c r="MX1" s="77">
        <v>42287</v>
      </c>
      <c r="MY1" s="77">
        <v>42288</v>
      </c>
      <c r="MZ1" s="77">
        <v>42289</v>
      </c>
      <c r="NA1" s="77">
        <v>42290</v>
      </c>
      <c r="NB1" s="77">
        <v>42291</v>
      </c>
      <c r="NC1" s="77">
        <v>42292</v>
      </c>
      <c r="ND1" s="77">
        <v>42293</v>
      </c>
      <c r="NE1" s="77">
        <v>42294</v>
      </c>
      <c r="NF1" s="77">
        <v>42295</v>
      </c>
      <c r="NG1" s="77">
        <v>42296</v>
      </c>
      <c r="NH1" s="77">
        <v>42297</v>
      </c>
      <c r="NI1" s="77">
        <v>42298</v>
      </c>
      <c r="NJ1" s="77">
        <v>42299</v>
      </c>
      <c r="NK1" s="77">
        <v>42300</v>
      </c>
      <c r="NL1" s="77">
        <v>42301</v>
      </c>
      <c r="NM1" s="77">
        <v>42302</v>
      </c>
      <c r="NN1" s="77">
        <v>42303</v>
      </c>
      <c r="NO1" s="77">
        <v>42304</v>
      </c>
      <c r="NP1" s="77">
        <v>42305</v>
      </c>
      <c r="NQ1" s="77">
        <v>42306</v>
      </c>
      <c r="NR1" s="77">
        <v>42307</v>
      </c>
      <c r="NS1" s="77">
        <v>42308</v>
      </c>
      <c r="NT1" s="77">
        <v>42309</v>
      </c>
      <c r="NU1" s="77">
        <v>42310</v>
      </c>
      <c r="NV1" s="77">
        <v>42311</v>
      </c>
      <c r="NW1" s="77">
        <v>42312</v>
      </c>
      <c r="NX1" s="77">
        <v>42313</v>
      </c>
      <c r="NY1" s="77">
        <v>42314</v>
      </c>
      <c r="NZ1" s="77">
        <v>42315</v>
      </c>
      <c r="OA1" s="77">
        <v>42316</v>
      </c>
      <c r="OB1" s="77">
        <v>42317</v>
      </c>
      <c r="OC1" s="77">
        <v>42318</v>
      </c>
      <c r="OD1" s="77">
        <v>42319</v>
      </c>
      <c r="OE1" s="77">
        <v>42320</v>
      </c>
      <c r="OF1" s="77">
        <v>42321</v>
      </c>
      <c r="OG1" s="77">
        <v>42322</v>
      </c>
      <c r="OH1" s="77">
        <v>42323</v>
      </c>
      <c r="OI1" s="77">
        <v>42324</v>
      </c>
      <c r="OJ1" s="77">
        <v>42325</v>
      </c>
      <c r="OK1" s="77">
        <v>42326</v>
      </c>
      <c r="OL1" s="77">
        <v>42327</v>
      </c>
      <c r="OM1" s="77">
        <v>42328</v>
      </c>
      <c r="ON1" s="77">
        <v>42329</v>
      </c>
      <c r="OO1" s="77">
        <v>42330</v>
      </c>
      <c r="OP1" s="77">
        <v>42331</v>
      </c>
      <c r="OQ1" s="77">
        <v>42332</v>
      </c>
      <c r="OR1" s="77">
        <v>42333</v>
      </c>
      <c r="OS1" s="77">
        <v>42334</v>
      </c>
      <c r="OT1" s="77">
        <v>42335</v>
      </c>
      <c r="OU1" s="77">
        <v>42336</v>
      </c>
      <c r="OV1" s="77">
        <v>42337</v>
      </c>
      <c r="OW1" s="77">
        <v>42338</v>
      </c>
      <c r="OX1" s="77">
        <v>42339</v>
      </c>
      <c r="OY1" s="77">
        <v>42340</v>
      </c>
      <c r="OZ1" s="77">
        <v>42341</v>
      </c>
      <c r="PA1" s="77">
        <v>42342</v>
      </c>
      <c r="PB1" s="77">
        <v>42343</v>
      </c>
      <c r="PC1" s="77">
        <v>42344</v>
      </c>
      <c r="PD1" s="77">
        <v>42345</v>
      </c>
      <c r="PE1" s="77">
        <v>42346</v>
      </c>
      <c r="PF1" s="77">
        <v>42347</v>
      </c>
      <c r="PG1" s="77">
        <v>42348</v>
      </c>
      <c r="PH1" s="77">
        <v>42349</v>
      </c>
      <c r="PI1" s="77">
        <v>42350</v>
      </c>
      <c r="PJ1" s="77">
        <v>42351</v>
      </c>
      <c r="PK1" s="77">
        <v>42352</v>
      </c>
      <c r="PL1" s="77">
        <v>42353</v>
      </c>
      <c r="PM1" s="77">
        <v>42354</v>
      </c>
      <c r="PN1" s="77">
        <v>42355</v>
      </c>
      <c r="PO1" s="77">
        <v>42356</v>
      </c>
      <c r="PP1" s="77">
        <v>42357</v>
      </c>
      <c r="PQ1" s="77">
        <v>42358</v>
      </c>
      <c r="PR1" s="77">
        <v>42359</v>
      </c>
      <c r="PS1" s="77">
        <v>42360</v>
      </c>
      <c r="PT1" s="77">
        <v>42361</v>
      </c>
      <c r="PU1" s="77">
        <v>42362</v>
      </c>
      <c r="PV1" s="77">
        <v>42363</v>
      </c>
      <c r="PW1" s="77">
        <v>42364</v>
      </c>
      <c r="PX1" s="77">
        <v>42365</v>
      </c>
      <c r="PY1" s="77">
        <v>42366</v>
      </c>
      <c r="PZ1" s="77">
        <v>42367</v>
      </c>
      <c r="QA1" s="77">
        <v>42368</v>
      </c>
      <c r="QB1" s="77">
        <v>42369</v>
      </c>
      <c r="QC1" s="77">
        <v>42370</v>
      </c>
      <c r="QD1" s="77">
        <v>42371</v>
      </c>
      <c r="QE1" s="77">
        <v>42372</v>
      </c>
      <c r="QF1" s="77">
        <v>42373</v>
      </c>
      <c r="QG1" s="77">
        <v>42374</v>
      </c>
      <c r="QH1" s="77">
        <v>42375</v>
      </c>
      <c r="QI1" s="77">
        <v>42376</v>
      </c>
      <c r="QJ1" s="77">
        <v>42377</v>
      </c>
      <c r="QK1" s="77">
        <v>42378</v>
      </c>
      <c r="QL1" s="77">
        <v>42379</v>
      </c>
      <c r="QM1" s="77">
        <v>42380</v>
      </c>
      <c r="QN1" s="77">
        <v>42381</v>
      </c>
      <c r="QO1" s="77">
        <v>42382</v>
      </c>
      <c r="QP1" s="77">
        <v>42383</v>
      </c>
      <c r="QQ1" s="77">
        <v>42384</v>
      </c>
      <c r="QR1" s="77">
        <v>42385</v>
      </c>
      <c r="QS1" s="77">
        <v>42386</v>
      </c>
      <c r="QT1" s="77">
        <v>42387</v>
      </c>
      <c r="QU1" s="77">
        <v>42388</v>
      </c>
      <c r="QV1" s="77">
        <v>42389</v>
      </c>
      <c r="QW1" s="77">
        <v>42390</v>
      </c>
      <c r="QX1" s="77">
        <v>42391</v>
      </c>
      <c r="QY1" s="77">
        <v>42392</v>
      </c>
      <c r="QZ1" s="77">
        <v>42393</v>
      </c>
      <c r="RA1" s="77">
        <v>42394</v>
      </c>
      <c r="RB1" s="77">
        <v>42395</v>
      </c>
      <c r="RC1" s="77">
        <v>42396</v>
      </c>
      <c r="RD1" s="77">
        <v>42397</v>
      </c>
      <c r="RE1" s="77">
        <v>42398</v>
      </c>
      <c r="RF1" s="77">
        <v>42399</v>
      </c>
      <c r="RG1" s="77">
        <v>42400</v>
      </c>
      <c r="RH1" s="77">
        <v>42401</v>
      </c>
      <c r="RI1" s="77">
        <v>42402</v>
      </c>
      <c r="RJ1" s="77">
        <v>42403</v>
      </c>
      <c r="RK1" s="77">
        <v>42404</v>
      </c>
      <c r="RL1" s="77">
        <v>42405</v>
      </c>
      <c r="RM1" s="77">
        <v>42406</v>
      </c>
      <c r="RN1" s="77">
        <v>42407</v>
      </c>
      <c r="RO1" s="77">
        <v>42408</v>
      </c>
      <c r="RP1" s="77">
        <v>42409</v>
      </c>
      <c r="RQ1" s="77">
        <v>42410</v>
      </c>
      <c r="RR1" s="77">
        <v>42411</v>
      </c>
      <c r="RS1" s="77">
        <v>42412</v>
      </c>
      <c r="RT1" s="77">
        <v>42413</v>
      </c>
      <c r="RU1" s="77">
        <v>42414</v>
      </c>
      <c r="RV1" s="77">
        <v>42415</v>
      </c>
      <c r="RW1" s="77">
        <v>42416</v>
      </c>
      <c r="RX1" s="77">
        <v>42417</v>
      </c>
      <c r="RY1" s="77">
        <v>42418</v>
      </c>
      <c r="RZ1" s="77">
        <v>42419</v>
      </c>
      <c r="SA1" s="77">
        <v>42420</v>
      </c>
      <c r="SB1" s="77">
        <v>42421</v>
      </c>
      <c r="SC1" s="77">
        <v>42422</v>
      </c>
      <c r="SD1" s="77">
        <v>42423</v>
      </c>
      <c r="SE1" s="77">
        <v>42424</v>
      </c>
      <c r="SF1" s="77">
        <v>42425</v>
      </c>
      <c r="SG1" s="77">
        <v>42426</v>
      </c>
      <c r="SH1" s="77">
        <v>42427</v>
      </c>
      <c r="SI1" s="77">
        <v>42428</v>
      </c>
      <c r="SJ1" s="77">
        <v>42429</v>
      </c>
      <c r="SK1" s="77">
        <v>42430</v>
      </c>
      <c r="SL1" s="77">
        <v>42431</v>
      </c>
      <c r="SM1" s="77">
        <v>42432</v>
      </c>
      <c r="SN1" s="77">
        <v>42433</v>
      </c>
      <c r="SO1" s="77">
        <v>42434</v>
      </c>
      <c r="SP1" s="77">
        <v>42435</v>
      </c>
      <c r="SQ1" s="77">
        <v>42436</v>
      </c>
      <c r="SR1" s="77">
        <v>42437</v>
      </c>
      <c r="SS1" s="77">
        <v>42438</v>
      </c>
      <c r="ST1" s="77">
        <v>42439</v>
      </c>
      <c r="SU1" s="77">
        <v>42440</v>
      </c>
      <c r="SV1" s="77">
        <v>42441</v>
      </c>
      <c r="SW1" s="77">
        <v>42442</v>
      </c>
      <c r="SX1" s="77">
        <v>42443</v>
      </c>
      <c r="SY1" s="77">
        <v>42444</v>
      </c>
      <c r="SZ1" s="77">
        <v>42445</v>
      </c>
      <c r="TA1" s="77">
        <v>42446</v>
      </c>
      <c r="TB1" s="77">
        <v>42447</v>
      </c>
      <c r="TC1" s="77">
        <v>42448</v>
      </c>
      <c r="TD1" s="77">
        <v>42449</v>
      </c>
      <c r="TE1" s="77">
        <v>42450</v>
      </c>
      <c r="TF1" s="77">
        <v>42451</v>
      </c>
      <c r="TG1" s="77">
        <v>42452</v>
      </c>
      <c r="TH1" s="77">
        <v>42453</v>
      </c>
      <c r="TI1" s="77">
        <v>42454</v>
      </c>
      <c r="TJ1" s="77">
        <v>42455</v>
      </c>
      <c r="TK1" s="77">
        <v>42456</v>
      </c>
      <c r="TL1" s="77">
        <v>42457</v>
      </c>
      <c r="TM1" s="77">
        <v>42458</v>
      </c>
      <c r="TN1" s="77">
        <v>42459</v>
      </c>
      <c r="TO1" s="77">
        <v>42460</v>
      </c>
      <c r="TP1" s="77">
        <v>42461</v>
      </c>
      <c r="TQ1" s="77">
        <v>42462</v>
      </c>
      <c r="TR1" s="77">
        <v>42463</v>
      </c>
      <c r="TS1" s="77">
        <v>42464</v>
      </c>
      <c r="TT1" s="77">
        <v>42465</v>
      </c>
      <c r="TU1" s="77">
        <v>42466</v>
      </c>
      <c r="TV1" s="77">
        <v>42467</v>
      </c>
      <c r="TW1" s="77">
        <v>42468</v>
      </c>
      <c r="TX1" s="77">
        <v>42469</v>
      </c>
      <c r="TY1" s="77">
        <v>42470</v>
      </c>
      <c r="TZ1" s="77">
        <v>42471</v>
      </c>
      <c r="UA1" s="77">
        <v>42472</v>
      </c>
      <c r="UB1" s="77">
        <v>42473</v>
      </c>
      <c r="UC1" s="77">
        <v>42474</v>
      </c>
      <c r="UD1" s="77">
        <v>42475</v>
      </c>
      <c r="UE1" s="77">
        <v>42476</v>
      </c>
      <c r="UF1" s="77">
        <v>42477</v>
      </c>
      <c r="UG1" s="77">
        <v>42478</v>
      </c>
      <c r="UH1" s="77">
        <v>42479</v>
      </c>
      <c r="UI1" s="77">
        <v>42480</v>
      </c>
      <c r="UJ1" s="77">
        <v>42481</v>
      </c>
      <c r="UK1" s="77">
        <v>42482</v>
      </c>
      <c r="UL1" s="77">
        <v>42483</v>
      </c>
      <c r="UM1" s="77">
        <v>42484</v>
      </c>
      <c r="UN1" s="77">
        <v>42485</v>
      </c>
      <c r="UO1" s="77">
        <v>42486</v>
      </c>
      <c r="UP1" s="77">
        <v>42487</v>
      </c>
      <c r="UQ1" s="77">
        <v>42488</v>
      </c>
      <c r="UR1" s="77">
        <v>42489</v>
      </c>
      <c r="US1" s="77">
        <v>42490</v>
      </c>
      <c r="UT1" s="77">
        <v>42491</v>
      </c>
      <c r="UU1" s="77">
        <v>42492</v>
      </c>
      <c r="UV1" s="77">
        <v>42493</v>
      </c>
      <c r="UW1" s="77">
        <v>42494</v>
      </c>
      <c r="UX1" s="77">
        <v>42495</v>
      </c>
      <c r="UY1" s="77">
        <v>42496</v>
      </c>
      <c r="UZ1" s="77">
        <v>42497</v>
      </c>
      <c r="VA1" s="77">
        <v>42498</v>
      </c>
      <c r="VB1" s="77">
        <v>42499</v>
      </c>
      <c r="VC1" s="77">
        <v>42500</v>
      </c>
      <c r="VD1" s="77">
        <v>42501</v>
      </c>
      <c r="VE1" s="77">
        <v>42502</v>
      </c>
      <c r="VF1" s="77">
        <v>42503</v>
      </c>
      <c r="VG1" s="77">
        <v>42504</v>
      </c>
      <c r="VH1" s="77">
        <v>42505</v>
      </c>
      <c r="VI1" s="77">
        <v>42506</v>
      </c>
      <c r="VJ1" s="77">
        <v>42507</v>
      </c>
      <c r="VK1" s="77">
        <v>42508</v>
      </c>
      <c r="VL1" s="77">
        <v>42509</v>
      </c>
      <c r="VM1" s="77">
        <v>42510</v>
      </c>
      <c r="VN1" s="77">
        <v>42511</v>
      </c>
      <c r="VO1" s="77">
        <v>42512</v>
      </c>
      <c r="VP1" s="77">
        <v>42513</v>
      </c>
      <c r="VQ1" s="77">
        <v>42514</v>
      </c>
      <c r="VR1" s="77">
        <v>42515</v>
      </c>
      <c r="VS1" s="77">
        <v>42516</v>
      </c>
      <c r="VT1" s="77">
        <v>42517</v>
      </c>
      <c r="VU1" s="77">
        <v>42518</v>
      </c>
      <c r="VV1" s="77">
        <v>42519</v>
      </c>
      <c r="VW1" s="77">
        <v>42520</v>
      </c>
      <c r="VX1" s="77">
        <v>42521</v>
      </c>
      <c r="VY1" s="77">
        <v>42522</v>
      </c>
      <c r="VZ1" s="77">
        <v>42523</v>
      </c>
      <c r="WA1" s="77">
        <v>42524</v>
      </c>
      <c r="WB1" s="77">
        <v>42525</v>
      </c>
      <c r="WC1" s="77">
        <v>42526</v>
      </c>
      <c r="WD1" s="77">
        <v>42527</v>
      </c>
      <c r="WE1" s="77">
        <v>42528</v>
      </c>
      <c r="WF1" s="77">
        <v>42529</v>
      </c>
      <c r="WG1" s="77">
        <v>42530</v>
      </c>
      <c r="WH1" s="77">
        <v>42531</v>
      </c>
      <c r="WI1" s="77">
        <v>42532</v>
      </c>
      <c r="WJ1" s="77">
        <v>42533</v>
      </c>
      <c r="WK1" s="77">
        <v>42534</v>
      </c>
      <c r="WL1" s="77">
        <v>42535</v>
      </c>
      <c r="WM1" s="77">
        <v>42536</v>
      </c>
      <c r="WN1" s="77">
        <v>42537</v>
      </c>
      <c r="WO1" s="77">
        <v>42538</v>
      </c>
      <c r="WP1" s="77">
        <v>42539</v>
      </c>
      <c r="WQ1" s="77">
        <v>42540</v>
      </c>
      <c r="WR1" s="77">
        <v>42541</v>
      </c>
      <c r="WS1" s="77">
        <v>42542</v>
      </c>
      <c r="WT1" s="77">
        <v>42543</v>
      </c>
      <c r="WU1" s="77">
        <v>42544</v>
      </c>
      <c r="WV1" s="77">
        <v>42545</v>
      </c>
      <c r="WW1" s="77">
        <v>42546</v>
      </c>
      <c r="WX1" s="77">
        <v>42547</v>
      </c>
      <c r="WY1" s="77">
        <v>42548</v>
      </c>
      <c r="WZ1" s="77">
        <v>42549</v>
      </c>
      <c r="XA1" s="77">
        <v>42550</v>
      </c>
      <c r="XB1" s="77">
        <v>42551</v>
      </c>
      <c r="XC1" s="77">
        <v>42552</v>
      </c>
      <c r="XD1" s="77">
        <v>42553</v>
      </c>
      <c r="XE1" s="77">
        <v>42554</v>
      </c>
      <c r="XF1" s="77">
        <v>42555</v>
      </c>
      <c r="XG1" s="77">
        <v>42556</v>
      </c>
      <c r="XH1" s="77">
        <v>42557</v>
      </c>
      <c r="XI1" s="77">
        <v>42558</v>
      </c>
      <c r="XJ1" s="77">
        <v>42559</v>
      </c>
      <c r="XK1" s="77">
        <v>42560</v>
      </c>
      <c r="XL1" s="77">
        <v>42561</v>
      </c>
      <c r="XM1" s="77">
        <v>42562</v>
      </c>
      <c r="XN1" s="77">
        <v>42563</v>
      </c>
      <c r="XO1" s="77">
        <v>42564</v>
      </c>
      <c r="XP1" s="77">
        <v>42565</v>
      </c>
      <c r="XQ1" s="77">
        <v>42566</v>
      </c>
      <c r="XR1" s="77">
        <v>42567</v>
      </c>
      <c r="XS1" s="77">
        <v>42568</v>
      </c>
      <c r="XT1" s="77">
        <v>42569</v>
      </c>
      <c r="XU1" s="77">
        <v>42570</v>
      </c>
      <c r="XV1" s="77">
        <v>42571</v>
      </c>
      <c r="XW1" s="77">
        <v>42572</v>
      </c>
      <c r="XX1" s="77">
        <v>42573</v>
      </c>
      <c r="XY1" s="77">
        <v>42574</v>
      </c>
      <c r="XZ1" s="77">
        <v>42575</v>
      </c>
      <c r="YA1" s="77">
        <v>42576</v>
      </c>
      <c r="YB1" s="77">
        <v>42577</v>
      </c>
      <c r="YC1" s="77">
        <v>42578</v>
      </c>
      <c r="YD1" s="77">
        <v>42579</v>
      </c>
      <c r="YE1" s="77">
        <v>42580</v>
      </c>
      <c r="YF1" s="77">
        <v>42581</v>
      </c>
      <c r="YG1" s="77">
        <v>42582</v>
      </c>
      <c r="YH1" s="77">
        <v>42583</v>
      </c>
      <c r="YI1" s="77">
        <v>42584</v>
      </c>
      <c r="YJ1" s="77">
        <v>42585</v>
      </c>
      <c r="YK1" s="77">
        <v>42586</v>
      </c>
      <c r="YL1" s="77">
        <v>42587</v>
      </c>
      <c r="YM1" s="77">
        <v>42588</v>
      </c>
      <c r="YN1" s="77">
        <v>42589</v>
      </c>
      <c r="YO1" s="77">
        <v>42590</v>
      </c>
      <c r="YP1" s="77">
        <v>42591</v>
      </c>
      <c r="YQ1" s="77">
        <v>42592</v>
      </c>
      <c r="YR1" s="77">
        <v>42593</v>
      </c>
      <c r="YS1" s="77">
        <v>42594</v>
      </c>
      <c r="YT1" s="77">
        <v>42595</v>
      </c>
      <c r="YU1" s="77">
        <v>42596</v>
      </c>
      <c r="YV1" s="77">
        <v>42597</v>
      </c>
      <c r="YW1" s="77">
        <v>42598</v>
      </c>
      <c r="YX1" s="77">
        <v>42599</v>
      </c>
      <c r="YY1" s="77">
        <v>42600</v>
      </c>
      <c r="YZ1" s="77">
        <v>42601</v>
      </c>
      <c r="ZA1" s="77">
        <v>42602</v>
      </c>
      <c r="ZB1" s="77">
        <v>42603</v>
      </c>
      <c r="ZC1" s="77">
        <v>42604</v>
      </c>
      <c r="ZD1" s="77">
        <v>42605</v>
      </c>
      <c r="ZE1" s="77">
        <v>42606</v>
      </c>
      <c r="ZF1" s="77">
        <v>42607</v>
      </c>
      <c r="ZG1" s="77">
        <v>42608</v>
      </c>
      <c r="ZH1" s="77">
        <v>42609</v>
      </c>
      <c r="ZI1" s="77">
        <v>42610</v>
      </c>
      <c r="ZJ1" s="77">
        <v>42611</v>
      </c>
      <c r="ZK1" s="77">
        <v>42612</v>
      </c>
      <c r="ZL1" s="77">
        <v>42613</v>
      </c>
      <c r="ZM1" s="77">
        <v>42614</v>
      </c>
      <c r="ZN1" s="77">
        <v>42615</v>
      </c>
      <c r="ZO1" s="77">
        <v>42616</v>
      </c>
      <c r="ZP1" s="77">
        <v>42617</v>
      </c>
      <c r="ZQ1" s="77">
        <v>42618</v>
      </c>
      <c r="ZR1" s="77">
        <v>42619</v>
      </c>
      <c r="ZS1" s="77">
        <v>42620</v>
      </c>
      <c r="ZT1" s="77">
        <v>42621</v>
      </c>
      <c r="ZU1" s="77">
        <v>42622</v>
      </c>
      <c r="ZV1" s="77">
        <v>42623</v>
      </c>
      <c r="ZW1" s="77">
        <v>42624</v>
      </c>
      <c r="ZX1" s="77">
        <v>42625</v>
      </c>
      <c r="ZY1" s="77">
        <v>42626</v>
      </c>
      <c r="ZZ1" s="77">
        <v>42627</v>
      </c>
      <c r="AAA1" s="77">
        <v>42628</v>
      </c>
      <c r="AAB1" s="77">
        <v>42629</v>
      </c>
      <c r="AAC1" s="77">
        <v>42630</v>
      </c>
      <c r="AAD1" s="77">
        <v>42631</v>
      </c>
      <c r="AAE1" s="77">
        <v>42632</v>
      </c>
      <c r="AAF1" s="77">
        <v>42633</v>
      </c>
      <c r="AAG1" s="77">
        <v>42634</v>
      </c>
      <c r="AAH1" s="77">
        <v>42635</v>
      </c>
      <c r="AAI1" s="77">
        <v>42636</v>
      </c>
      <c r="AAJ1" s="77">
        <v>42637</v>
      </c>
      <c r="AAK1" s="77">
        <v>42638</v>
      </c>
      <c r="AAL1" s="77">
        <v>42639</v>
      </c>
      <c r="AAM1" s="77">
        <v>42640</v>
      </c>
      <c r="AAN1" s="77">
        <v>42641</v>
      </c>
      <c r="AAO1" s="77">
        <v>42642</v>
      </c>
      <c r="AAP1" s="77">
        <v>42643</v>
      </c>
      <c r="AAQ1" s="77">
        <v>42644</v>
      </c>
      <c r="AAR1" s="77">
        <v>42645</v>
      </c>
      <c r="AAS1" s="77">
        <v>42646</v>
      </c>
      <c r="AAT1" s="77">
        <v>42647</v>
      </c>
      <c r="AAU1" s="77">
        <v>42648</v>
      </c>
      <c r="AAV1" s="77">
        <v>42649</v>
      </c>
      <c r="AAW1" s="77">
        <v>42650</v>
      </c>
      <c r="AAX1" s="77">
        <v>42651</v>
      </c>
      <c r="AAY1" s="77">
        <v>42652</v>
      </c>
      <c r="AAZ1" s="77">
        <v>42653</v>
      </c>
      <c r="ABA1" s="77">
        <v>42654</v>
      </c>
      <c r="ABB1" s="77">
        <v>42655</v>
      </c>
      <c r="ABC1" s="77">
        <v>42656</v>
      </c>
    </row>
    <row r="2" spans="1:731">
      <c r="A2" s="89" t="s">
        <v>40</v>
      </c>
      <c r="B2" s="89"/>
      <c r="C2" s="89"/>
      <c r="D2" s="89"/>
      <c r="E2" s="89"/>
      <c r="F2" s="89"/>
      <c r="G2" s="89"/>
      <c r="H2" s="89"/>
      <c r="I2" s="89"/>
      <c r="J2" s="89"/>
      <c r="K2" s="89">
        <v>24</v>
      </c>
      <c r="L2" s="89">
        <v>24</v>
      </c>
      <c r="M2" s="89">
        <v>24</v>
      </c>
      <c r="N2" s="89">
        <v>24</v>
      </c>
      <c r="O2" s="89">
        <v>24</v>
      </c>
      <c r="P2" s="89">
        <v>24</v>
      </c>
      <c r="Q2" s="89">
        <v>24</v>
      </c>
      <c r="R2" s="89">
        <v>24</v>
      </c>
      <c r="S2" s="89">
        <v>24</v>
      </c>
      <c r="T2" s="89">
        <v>24</v>
      </c>
      <c r="U2" s="89">
        <v>24</v>
      </c>
      <c r="V2" s="89">
        <v>24</v>
      </c>
      <c r="W2" s="89">
        <v>24</v>
      </c>
      <c r="X2" s="89">
        <v>24</v>
      </c>
      <c r="Y2" s="89">
        <v>24</v>
      </c>
      <c r="Z2" s="89">
        <v>24</v>
      </c>
      <c r="AA2" s="89">
        <v>24</v>
      </c>
      <c r="AB2" s="89">
        <v>24</v>
      </c>
      <c r="AC2" s="89">
        <v>24</v>
      </c>
      <c r="AD2" s="89">
        <v>24</v>
      </c>
      <c r="AE2" s="89">
        <v>24</v>
      </c>
      <c r="AF2" s="89">
        <v>24</v>
      </c>
      <c r="AG2" s="89">
        <v>24</v>
      </c>
      <c r="AH2" s="89">
        <v>24</v>
      </c>
      <c r="AI2" s="89">
        <v>24</v>
      </c>
      <c r="AJ2" s="89">
        <v>24</v>
      </c>
      <c r="AK2" s="89"/>
      <c r="AL2" s="89"/>
      <c r="AM2" s="89"/>
      <c r="AN2" s="89"/>
      <c r="AO2" s="89"/>
      <c r="AP2" s="89">
        <v>11</v>
      </c>
      <c r="AQ2" s="89">
        <v>11</v>
      </c>
      <c r="AR2" s="89">
        <v>11</v>
      </c>
      <c r="AS2" s="89">
        <v>11</v>
      </c>
      <c r="AT2" s="89"/>
      <c r="AU2" s="89">
        <v>11</v>
      </c>
      <c r="AV2" s="89">
        <v>11</v>
      </c>
      <c r="AW2" s="89">
        <v>11</v>
      </c>
      <c r="AX2" s="89">
        <v>11</v>
      </c>
      <c r="AY2" s="89">
        <v>11</v>
      </c>
      <c r="AZ2" s="89">
        <v>11</v>
      </c>
      <c r="BA2" s="89"/>
      <c r="BB2" s="89">
        <v>11</v>
      </c>
      <c r="BC2" s="89">
        <v>11</v>
      </c>
      <c r="BD2" s="89">
        <v>11</v>
      </c>
      <c r="BE2" s="89">
        <v>11</v>
      </c>
      <c r="BF2" s="89">
        <v>11</v>
      </c>
      <c r="BG2" s="89">
        <v>17</v>
      </c>
      <c r="BH2" s="89"/>
      <c r="BI2" s="89">
        <v>17</v>
      </c>
      <c r="BJ2" s="89">
        <v>17</v>
      </c>
      <c r="BK2" s="89">
        <v>17</v>
      </c>
      <c r="BL2" s="89">
        <v>17</v>
      </c>
      <c r="BM2" s="89">
        <v>17</v>
      </c>
      <c r="BN2" s="89"/>
      <c r="BO2" s="89"/>
      <c r="BP2" s="89">
        <v>17</v>
      </c>
      <c r="BQ2" s="89">
        <v>17</v>
      </c>
      <c r="BR2" s="89">
        <v>17</v>
      </c>
      <c r="BS2" s="89">
        <v>17</v>
      </c>
      <c r="BT2" s="89">
        <v>17</v>
      </c>
      <c r="BU2" s="89">
        <v>17</v>
      </c>
      <c r="BV2" s="89"/>
      <c r="BW2" s="89">
        <v>34</v>
      </c>
      <c r="BX2" s="89">
        <v>34</v>
      </c>
      <c r="BY2" s="89">
        <v>34</v>
      </c>
      <c r="BZ2" s="89">
        <v>36</v>
      </c>
      <c r="CA2" s="89">
        <v>36</v>
      </c>
      <c r="CB2" s="89">
        <v>61</v>
      </c>
      <c r="CC2" s="89"/>
      <c r="CD2" s="89">
        <v>85</v>
      </c>
      <c r="CE2" s="89">
        <v>80</v>
      </c>
      <c r="CF2" s="89">
        <v>80</v>
      </c>
      <c r="CG2" s="89">
        <v>88</v>
      </c>
      <c r="CH2" s="89">
        <v>60</v>
      </c>
      <c r="CI2" s="89">
        <v>60</v>
      </c>
      <c r="CJ2" s="89"/>
      <c r="CK2" s="89">
        <v>79</v>
      </c>
      <c r="CL2" s="89">
        <v>123</v>
      </c>
      <c r="CM2" s="89">
        <v>120</v>
      </c>
      <c r="CN2" s="89">
        <v>115</v>
      </c>
      <c r="CO2" s="89">
        <v>102</v>
      </c>
      <c r="CP2" s="89">
        <v>102</v>
      </c>
      <c r="CQ2" s="89"/>
      <c r="CR2" s="89">
        <v>98</v>
      </c>
      <c r="CS2" s="89">
        <v>107</v>
      </c>
      <c r="CT2" s="89">
        <v>107</v>
      </c>
      <c r="CU2" s="89">
        <v>111</v>
      </c>
      <c r="CV2" s="89">
        <v>117</v>
      </c>
      <c r="CW2" s="89">
        <v>97</v>
      </c>
      <c r="CX2" s="89"/>
      <c r="CY2" s="89">
        <v>91</v>
      </c>
      <c r="CZ2" s="89">
        <v>71</v>
      </c>
      <c r="DA2" s="89">
        <v>71</v>
      </c>
      <c r="DB2" s="89">
        <v>76</v>
      </c>
      <c r="DC2" s="89">
        <v>95</v>
      </c>
      <c r="DD2" s="89">
        <v>89</v>
      </c>
      <c r="DE2" s="89"/>
      <c r="DF2" s="89">
        <v>81</v>
      </c>
      <c r="DG2" s="89">
        <v>91</v>
      </c>
      <c r="DH2" s="89">
        <v>88</v>
      </c>
      <c r="DI2" s="89">
        <v>84</v>
      </c>
      <c r="DJ2" s="89">
        <v>79</v>
      </c>
      <c r="DK2" s="89">
        <v>98</v>
      </c>
      <c r="DL2" s="89"/>
      <c r="DM2" s="89">
        <v>76</v>
      </c>
      <c r="DN2" s="89">
        <v>86</v>
      </c>
      <c r="DO2" s="89">
        <v>132</v>
      </c>
      <c r="DP2" s="89">
        <v>111</v>
      </c>
      <c r="DQ2" s="89">
        <v>118</v>
      </c>
      <c r="DR2" s="89">
        <v>99</v>
      </c>
      <c r="DS2" s="89"/>
      <c r="DT2" s="89">
        <v>77</v>
      </c>
      <c r="DU2" s="89">
        <v>85</v>
      </c>
      <c r="DV2" s="89">
        <v>110</v>
      </c>
      <c r="DW2" s="89">
        <v>113</v>
      </c>
      <c r="DX2" s="89">
        <v>114</v>
      </c>
      <c r="DY2" s="89">
        <v>155</v>
      </c>
      <c r="DZ2" s="89"/>
      <c r="EA2" s="89">
        <v>112</v>
      </c>
      <c r="EB2" s="89">
        <v>129</v>
      </c>
      <c r="EC2" s="89">
        <v>146</v>
      </c>
      <c r="ED2" s="89">
        <v>156</v>
      </c>
      <c r="EE2" s="89">
        <v>115</v>
      </c>
      <c r="EF2" s="89">
        <v>150</v>
      </c>
      <c r="EG2" s="89"/>
      <c r="EH2" s="89">
        <v>177</v>
      </c>
      <c r="EI2" s="89">
        <v>156</v>
      </c>
      <c r="EJ2" s="89">
        <v>168</v>
      </c>
      <c r="EK2" s="89">
        <v>195</v>
      </c>
      <c r="EL2" s="89">
        <v>163</v>
      </c>
      <c r="EM2" s="89">
        <v>159</v>
      </c>
      <c r="EN2" s="89"/>
      <c r="EO2" s="89">
        <v>150</v>
      </c>
      <c r="EP2" s="89">
        <v>143</v>
      </c>
      <c r="EQ2" s="89">
        <v>141</v>
      </c>
      <c r="ER2" s="89">
        <v>106</v>
      </c>
      <c r="ES2" s="89">
        <v>100</v>
      </c>
      <c r="ET2" s="89">
        <v>108</v>
      </c>
      <c r="EU2" s="89"/>
      <c r="EV2" s="89">
        <v>120</v>
      </c>
      <c r="EW2" s="89">
        <v>134</v>
      </c>
      <c r="EX2" s="89">
        <v>101</v>
      </c>
      <c r="EY2" s="89">
        <v>126</v>
      </c>
      <c r="EZ2" s="89">
        <v>121</v>
      </c>
      <c r="FA2" s="89">
        <v>133</v>
      </c>
      <c r="FB2" s="89"/>
      <c r="FC2" s="89">
        <v>146</v>
      </c>
      <c r="FD2" s="89">
        <v>155</v>
      </c>
      <c r="FE2" s="89">
        <v>157</v>
      </c>
      <c r="FF2" s="89">
        <v>149</v>
      </c>
      <c r="FG2" s="89">
        <v>117</v>
      </c>
      <c r="FH2" s="89">
        <v>188</v>
      </c>
      <c r="FI2" s="89"/>
      <c r="FJ2" s="89">
        <v>135</v>
      </c>
      <c r="FK2" s="89">
        <v>114</v>
      </c>
      <c r="FL2" s="89">
        <v>119</v>
      </c>
      <c r="FM2" s="89">
        <v>124</v>
      </c>
      <c r="FN2" s="89">
        <v>87</v>
      </c>
      <c r="FO2" s="89">
        <v>87</v>
      </c>
      <c r="FP2" s="89"/>
      <c r="FQ2" s="89">
        <v>86</v>
      </c>
      <c r="FR2" s="89">
        <v>88</v>
      </c>
      <c r="FS2" s="89">
        <v>104</v>
      </c>
      <c r="FT2" s="89">
        <v>79</v>
      </c>
      <c r="FU2" s="89">
        <v>107</v>
      </c>
      <c r="FV2" s="89">
        <v>138</v>
      </c>
      <c r="FW2" s="89"/>
      <c r="FX2" s="89">
        <v>137</v>
      </c>
      <c r="FY2" s="89">
        <v>93</v>
      </c>
      <c r="FZ2" s="89">
        <v>75</v>
      </c>
      <c r="GA2" s="89">
        <v>75</v>
      </c>
      <c r="GB2" s="89">
        <v>51</v>
      </c>
      <c r="GC2" s="89">
        <v>54</v>
      </c>
      <c r="GD2" s="89"/>
      <c r="GE2" s="89">
        <v>86</v>
      </c>
      <c r="GF2" s="89">
        <v>81</v>
      </c>
      <c r="GG2" s="89">
        <v>69</v>
      </c>
      <c r="GH2" s="89">
        <v>68</v>
      </c>
      <c r="GI2" s="89">
        <v>73</v>
      </c>
      <c r="GJ2" s="89">
        <v>75</v>
      </c>
      <c r="GK2" s="89"/>
      <c r="GL2" s="89">
        <v>69</v>
      </c>
      <c r="GM2" s="89">
        <v>68</v>
      </c>
      <c r="GN2" s="89">
        <v>98</v>
      </c>
      <c r="GO2" s="89">
        <v>81</v>
      </c>
      <c r="GP2" s="89">
        <v>71</v>
      </c>
      <c r="GQ2" s="89">
        <v>91</v>
      </c>
      <c r="GR2" s="89"/>
      <c r="GS2" s="89">
        <v>108</v>
      </c>
      <c r="GT2" s="89">
        <v>180</v>
      </c>
      <c r="GU2" s="89">
        <v>205</v>
      </c>
      <c r="GV2" s="89">
        <v>178</v>
      </c>
      <c r="GW2" s="89">
        <v>176</v>
      </c>
      <c r="GX2" s="89">
        <v>166</v>
      </c>
      <c r="GY2" s="89"/>
      <c r="GZ2" s="89">
        <v>181</v>
      </c>
      <c r="HA2" s="89">
        <v>181</v>
      </c>
      <c r="HB2" s="89">
        <v>172</v>
      </c>
      <c r="HC2" s="89">
        <v>129</v>
      </c>
      <c r="HD2" s="89">
        <v>214</v>
      </c>
      <c r="HE2" s="89">
        <v>274</v>
      </c>
      <c r="HF2" s="89"/>
      <c r="HG2" s="89">
        <v>334</v>
      </c>
      <c r="HH2" s="89">
        <v>307</v>
      </c>
      <c r="HI2" s="89">
        <v>265</v>
      </c>
      <c r="HJ2" s="89">
        <v>234</v>
      </c>
      <c r="HK2" s="89">
        <v>234</v>
      </c>
      <c r="HL2" s="89">
        <v>234</v>
      </c>
      <c r="HM2" s="89"/>
      <c r="HN2" s="89">
        <v>160</v>
      </c>
      <c r="HO2" s="89">
        <v>110</v>
      </c>
      <c r="HP2" s="89">
        <v>159</v>
      </c>
      <c r="HQ2" s="89">
        <v>138</v>
      </c>
      <c r="HR2" s="89">
        <v>219</v>
      </c>
      <c r="HS2" s="89">
        <v>180</v>
      </c>
      <c r="HT2" s="89"/>
      <c r="HU2" s="89">
        <v>205</v>
      </c>
      <c r="HV2" s="89">
        <v>226</v>
      </c>
      <c r="HW2" s="89">
        <v>220</v>
      </c>
      <c r="HX2" s="89">
        <v>262</v>
      </c>
      <c r="HY2" s="89">
        <v>264</v>
      </c>
      <c r="HZ2" s="89">
        <v>275</v>
      </c>
      <c r="IA2" s="89"/>
      <c r="IB2" s="89">
        <v>227</v>
      </c>
      <c r="IC2" s="89">
        <v>254</v>
      </c>
      <c r="ID2" s="89">
        <v>252</v>
      </c>
      <c r="IE2" s="89">
        <v>410</v>
      </c>
      <c r="IF2" s="89">
        <v>392</v>
      </c>
      <c r="IG2" s="89">
        <v>450</v>
      </c>
      <c r="IH2" s="89"/>
      <c r="II2" s="89">
        <v>413</v>
      </c>
      <c r="IJ2" s="89">
        <v>406</v>
      </c>
      <c r="IK2" s="89">
        <v>438</v>
      </c>
      <c r="IL2" s="89">
        <v>368</v>
      </c>
      <c r="IM2" s="89">
        <v>312</v>
      </c>
      <c r="IN2" s="89">
        <v>245</v>
      </c>
      <c r="IO2" s="89"/>
      <c r="IP2" s="89">
        <v>217</v>
      </c>
      <c r="IQ2" s="89">
        <v>243</v>
      </c>
      <c r="IR2" s="89">
        <v>198</v>
      </c>
      <c r="IS2" s="89">
        <v>207</v>
      </c>
      <c r="IT2" s="89">
        <v>270</v>
      </c>
      <c r="IU2" s="89">
        <v>234</v>
      </c>
      <c r="IV2" s="89"/>
      <c r="IW2" s="89">
        <v>314</v>
      </c>
      <c r="IX2" s="89">
        <v>339</v>
      </c>
      <c r="IY2" s="89">
        <v>325</v>
      </c>
      <c r="IZ2" s="89">
        <v>299</v>
      </c>
      <c r="JA2" s="89">
        <v>360</v>
      </c>
      <c r="JB2" s="89">
        <v>432</v>
      </c>
      <c r="JC2" s="89"/>
      <c r="JD2" s="89">
        <v>546</v>
      </c>
      <c r="JE2" s="89">
        <v>599</v>
      </c>
      <c r="JF2" s="89">
        <v>583</v>
      </c>
      <c r="JG2" s="89">
        <v>558</v>
      </c>
      <c r="JH2" s="89">
        <v>558</v>
      </c>
      <c r="JI2" s="89">
        <v>558</v>
      </c>
      <c r="JJ2" s="89"/>
      <c r="JK2" s="89">
        <v>491</v>
      </c>
      <c r="JL2" s="89">
        <v>318</v>
      </c>
      <c r="JM2" s="89">
        <v>285</v>
      </c>
      <c r="JN2" s="89">
        <v>340</v>
      </c>
      <c r="JO2" s="89">
        <v>435</v>
      </c>
      <c r="JP2" s="89">
        <v>433</v>
      </c>
      <c r="JQ2" s="89"/>
      <c r="JR2" s="89"/>
      <c r="JS2" s="89"/>
      <c r="JT2" s="89"/>
      <c r="JU2" s="89"/>
      <c r="JV2" s="89">
        <v>435</v>
      </c>
      <c r="JW2" s="89">
        <v>466</v>
      </c>
      <c r="JX2" s="89"/>
      <c r="JY2" s="89">
        <v>436</v>
      </c>
      <c r="JZ2" s="89">
        <v>536</v>
      </c>
      <c r="KA2" s="89">
        <v>536</v>
      </c>
      <c r="KB2" s="89">
        <v>505</v>
      </c>
      <c r="KC2" s="89">
        <v>443</v>
      </c>
      <c r="KD2" s="89">
        <v>613</v>
      </c>
      <c r="KE2" s="89"/>
      <c r="KF2" s="89">
        <v>691</v>
      </c>
      <c r="KG2" s="89">
        <v>812</v>
      </c>
      <c r="KH2" s="89">
        <v>789</v>
      </c>
      <c r="KI2" s="89">
        <v>791</v>
      </c>
      <c r="KJ2" s="89">
        <v>649</v>
      </c>
      <c r="KK2" s="89">
        <v>619</v>
      </c>
      <c r="KL2" s="89"/>
      <c r="KM2" s="89">
        <v>617</v>
      </c>
      <c r="KN2" s="89">
        <v>428</v>
      </c>
      <c r="KO2" s="89">
        <v>355</v>
      </c>
      <c r="KP2" s="89">
        <v>377</v>
      </c>
      <c r="KQ2" s="89">
        <v>297</v>
      </c>
      <c r="KR2" s="89">
        <v>391</v>
      </c>
      <c r="KS2" s="89"/>
      <c r="KT2" s="89">
        <v>352</v>
      </c>
      <c r="KU2" s="89">
        <v>344</v>
      </c>
      <c r="KV2" s="89">
        <v>388</v>
      </c>
      <c r="KW2" s="89">
        <v>350</v>
      </c>
      <c r="KX2" s="89">
        <v>401</v>
      </c>
      <c r="KY2" s="89">
        <v>360</v>
      </c>
      <c r="KZ2" s="89"/>
      <c r="LA2" s="89">
        <v>311</v>
      </c>
      <c r="LB2" s="89">
        <v>286</v>
      </c>
      <c r="LC2" s="89">
        <v>367</v>
      </c>
      <c r="LD2" s="89">
        <v>448</v>
      </c>
      <c r="LE2" s="89">
        <v>461</v>
      </c>
      <c r="LF2" s="89">
        <v>463</v>
      </c>
      <c r="LG2" s="89"/>
      <c r="LH2" s="89">
        <v>463</v>
      </c>
      <c r="LI2" s="89">
        <v>449</v>
      </c>
      <c r="LJ2" s="89">
        <v>434</v>
      </c>
      <c r="LK2" s="89">
        <v>515</v>
      </c>
      <c r="LL2" s="89">
        <v>463</v>
      </c>
      <c r="LM2" s="89">
        <v>440</v>
      </c>
      <c r="LN2" s="89"/>
      <c r="LO2" s="89">
        <v>410</v>
      </c>
      <c r="LP2" s="89">
        <v>408</v>
      </c>
      <c r="LQ2" s="89">
        <v>403</v>
      </c>
      <c r="LR2" s="89">
        <v>446</v>
      </c>
      <c r="LS2" s="89">
        <v>472</v>
      </c>
      <c r="LT2" s="89">
        <v>562</v>
      </c>
      <c r="LU2" s="89"/>
      <c r="LV2" s="89">
        <v>563</v>
      </c>
      <c r="LW2" s="89">
        <v>547</v>
      </c>
      <c r="LX2" s="89">
        <v>522</v>
      </c>
      <c r="LY2" s="89">
        <v>518</v>
      </c>
      <c r="LZ2" s="89">
        <v>507</v>
      </c>
      <c r="MA2" s="89">
        <v>531</v>
      </c>
      <c r="MB2" s="89"/>
      <c r="MC2" s="89">
        <v>545</v>
      </c>
      <c r="MD2" s="89">
        <v>543</v>
      </c>
      <c r="ME2" s="89">
        <v>539</v>
      </c>
      <c r="MF2" s="89">
        <v>547</v>
      </c>
      <c r="MG2" s="89"/>
      <c r="MH2" s="89"/>
      <c r="MI2" s="89"/>
      <c r="MJ2" s="89"/>
      <c r="MK2" s="89"/>
      <c r="ML2" s="89">
        <v>529</v>
      </c>
      <c r="MM2" s="89">
        <v>529</v>
      </c>
      <c r="MN2" s="89">
        <v>573</v>
      </c>
      <c r="MO2" s="89">
        <v>548</v>
      </c>
      <c r="MP2" s="89"/>
      <c r="MQ2" s="89">
        <v>604</v>
      </c>
      <c r="MR2" s="89">
        <v>582</v>
      </c>
      <c r="MS2" s="89">
        <v>607</v>
      </c>
      <c r="MT2" s="89">
        <v>641</v>
      </c>
      <c r="MU2" s="89">
        <v>668</v>
      </c>
      <c r="MV2" s="89">
        <v>725</v>
      </c>
      <c r="MW2" s="89"/>
      <c r="MX2" s="89">
        <v>768</v>
      </c>
      <c r="MY2" s="89">
        <v>815</v>
      </c>
      <c r="MZ2" s="89">
        <v>782</v>
      </c>
      <c r="NA2" s="89">
        <v>798</v>
      </c>
      <c r="NB2" s="89">
        <v>848</v>
      </c>
      <c r="NC2" s="89">
        <v>816</v>
      </c>
      <c r="ND2" s="89"/>
      <c r="NE2" s="89">
        <v>836</v>
      </c>
      <c r="NF2" s="89">
        <v>800</v>
      </c>
      <c r="NG2" s="89">
        <v>820</v>
      </c>
      <c r="NH2" s="89">
        <v>838</v>
      </c>
      <c r="NI2" s="89">
        <v>822</v>
      </c>
      <c r="NJ2" s="89">
        <v>872</v>
      </c>
      <c r="NK2" s="89"/>
      <c r="NL2" s="89">
        <v>893</v>
      </c>
      <c r="NM2" s="89">
        <v>941</v>
      </c>
      <c r="NN2" s="89">
        <v>993</v>
      </c>
      <c r="NO2" s="89">
        <v>1027</v>
      </c>
      <c r="NP2" s="89">
        <v>1068</v>
      </c>
      <c r="NQ2" s="89">
        <v>1085</v>
      </c>
      <c r="NR2" s="89"/>
      <c r="NS2" s="89">
        <v>1078</v>
      </c>
      <c r="NT2" s="89">
        <v>1073</v>
      </c>
      <c r="NU2" s="89">
        <v>1078</v>
      </c>
      <c r="NV2" s="89">
        <v>1103</v>
      </c>
      <c r="NW2" s="89">
        <v>1141</v>
      </c>
      <c r="NX2" s="89">
        <v>1159</v>
      </c>
      <c r="NY2" s="89"/>
      <c r="NZ2" s="89">
        <v>1136</v>
      </c>
      <c r="OA2" s="89">
        <v>1056</v>
      </c>
      <c r="OB2" s="89">
        <v>1028</v>
      </c>
      <c r="OC2" s="89">
        <v>1106</v>
      </c>
      <c r="OD2" s="89">
        <v>1120</v>
      </c>
      <c r="OE2" s="89">
        <v>1182</v>
      </c>
      <c r="OF2" s="89"/>
      <c r="OG2" s="89">
        <v>1153</v>
      </c>
      <c r="OH2" s="89">
        <v>1102</v>
      </c>
      <c r="OI2" s="89">
        <v>1086</v>
      </c>
      <c r="OJ2" s="89">
        <v>1107</v>
      </c>
      <c r="OK2" s="89">
        <v>1108</v>
      </c>
      <c r="OL2" s="89">
        <v>1150</v>
      </c>
      <c r="OM2" s="89"/>
      <c r="ON2" s="89">
        <v>1234</v>
      </c>
      <c r="OO2" s="89">
        <v>1262</v>
      </c>
      <c r="OP2" s="89">
        <v>1218</v>
      </c>
      <c r="OQ2" s="89">
        <v>1192</v>
      </c>
      <c r="OR2" s="89">
        <v>1183</v>
      </c>
      <c r="OS2" s="89">
        <v>1230</v>
      </c>
      <c r="OT2" s="89"/>
      <c r="OU2" s="89">
        <v>1215</v>
      </c>
      <c r="OV2" s="89">
        <v>1335</v>
      </c>
      <c r="OW2" s="89">
        <v>1340</v>
      </c>
      <c r="OX2" s="89">
        <v>1427</v>
      </c>
      <c r="OY2" s="89">
        <v>1456</v>
      </c>
      <c r="OZ2" s="89">
        <v>1426</v>
      </c>
      <c r="PA2" s="89"/>
      <c r="PB2" s="89">
        <v>1433</v>
      </c>
      <c r="PC2" s="89">
        <v>1419</v>
      </c>
      <c r="PD2" s="89">
        <v>1401</v>
      </c>
      <c r="PE2" s="89">
        <v>1447</v>
      </c>
      <c r="PF2" s="89">
        <v>1402</v>
      </c>
      <c r="PG2" s="89">
        <v>1320</v>
      </c>
      <c r="PH2" s="89"/>
      <c r="PI2" s="89">
        <v>1355</v>
      </c>
      <c r="PJ2" s="89">
        <v>1368</v>
      </c>
      <c r="PK2" s="89">
        <v>1320</v>
      </c>
      <c r="PL2" s="89">
        <v>1332</v>
      </c>
      <c r="PM2" s="89">
        <v>1300</v>
      </c>
      <c r="PN2" s="89">
        <v>1327</v>
      </c>
      <c r="PO2" s="89"/>
      <c r="PP2" s="89">
        <v>1350</v>
      </c>
      <c r="PQ2" s="89">
        <v>1346</v>
      </c>
      <c r="PR2" s="89">
        <v>1404</v>
      </c>
      <c r="PS2" s="89">
        <v>1396</v>
      </c>
      <c r="PT2" s="89">
        <v>1346</v>
      </c>
      <c r="PU2" s="89">
        <v>1373</v>
      </c>
      <c r="PV2" s="89"/>
      <c r="PW2" s="89">
        <v>1404</v>
      </c>
      <c r="PX2" s="89">
        <v>1352</v>
      </c>
      <c r="PY2" s="89">
        <v>1402</v>
      </c>
      <c r="PZ2" s="89">
        <v>1427</v>
      </c>
      <c r="QA2" s="89">
        <v>1473</v>
      </c>
      <c r="QB2" s="89">
        <v>1495</v>
      </c>
      <c r="QC2" s="89"/>
      <c r="QD2" s="89">
        <v>1591</v>
      </c>
      <c r="QE2" s="89">
        <v>1541</v>
      </c>
      <c r="QF2" s="89">
        <v>1570</v>
      </c>
      <c r="QG2" s="89">
        <v>1463</v>
      </c>
      <c r="QH2" s="89">
        <v>1470</v>
      </c>
      <c r="QI2" s="89">
        <v>1500</v>
      </c>
      <c r="QJ2" s="89"/>
      <c r="QK2" s="89">
        <v>1611</v>
      </c>
      <c r="QL2" s="89">
        <v>1631</v>
      </c>
      <c r="QM2" s="89">
        <v>1692</v>
      </c>
      <c r="QN2" s="89">
        <v>1683</v>
      </c>
      <c r="QO2" s="89">
        <v>1682</v>
      </c>
      <c r="QP2" s="89">
        <v>1662</v>
      </c>
      <c r="QQ2" s="89"/>
      <c r="QR2" s="89">
        <v>1662</v>
      </c>
      <c r="QS2" s="89">
        <v>1784</v>
      </c>
      <c r="QT2" s="89">
        <v>1776</v>
      </c>
      <c r="QU2" s="89">
        <v>1820</v>
      </c>
      <c r="QV2" s="89">
        <v>1833</v>
      </c>
      <c r="QW2" s="89">
        <v>1830</v>
      </c>
      <c r="QX2" s="89"/>
      <c r="QY2" s="89">
        <v>1812</v>
      </c>
      <c r="QZ2" s="89">
        <v>1910</v>
      </c>
      <c r="RA2" s="89">
        <v>1886</v>
      </c>
      <c r="RB2" s="89">
        <v>1861</v>
      </c>
      <c r="RC2" s="89">
        <v>1944</v>
      </c>
      <c r="RD2" s="89">
        <v>1969</v>
      </c>
      <c r="RE2" s="89"/>
      <c r="RF2" s="89">
        <v>1918</v>
      </c>
      <c r="RG2" s="89">
        <v>1934</v>
      </c>
      <c r="RH2" s="89">
        <v>2022</v>
      </c>
      <c r="RI2" s="89">
        <v>1949</v>
      </c>
      <c r="RJ2" s="89">
        <v>1906</v>
      </c>
      <c r="RK2" s="89">
        <v>2020</v>
      </c>
      <c r="RL2" s="89"/>
      <c r="RM2" s="89">
        <v>1864</v>
      </c>
      <c r="RN2" s="89">
        <v>1914</v>
      </c>
      <c r="RO2" s="89">
        <v>1893</v>
      </c>
      <c r="RP2" s="89">
        <v>1936</v>
      </c>
      <c r="RQ2" s="89">
        <v>1856</v>
      </c>
      <c r="RR2" s="89">
        <v>1897</v>
      </c>
      <c r="RS2" s="89"/>
      <c r="RT2" s="89">
        <v>1820</v>
      </c>
      <c r="RU2" s="89">
        <v>1828</v>
      </c>
      <c r="RV2" s="89">
        <v>1847</v>
      </c>
      <c r="RW2" s="89">
        <v>1871</v>
      </c>
      <c r="RX2" s="89">
        <v>1931</v>
      </c>
      <c r="RY2" s="89">
        <v>1857</v>
      </c>
      <c r="RZ2" s="89"/>
      <c r="SA2" s="89">
        <v>1819</v>
      </c>
      <c r="SB2" s="89">
        <v>1899</v>
      </c>
      <c r="SC2" s="89">
        <v>1895</v>
      </c>
      <c r="SD2" s="89">
        <v>1914</v>
      </c>
      <c r="SE2" s="89">
        <v>1929</v>
      </c>
      <c r="SF2" s="89">
        <v>1922</v>
      </c>
      <c r="SG2" s="89"/>
      <c r="SH2" s="89">
        <v>1900</v>
      </c>
      <c r="SI2" s="89">
        <v>1835</v>
      </c>
      <c r="SJ2" s="89">
        <v>1747</v>
      </c>
      <c r="SK2" s="89">
        <v>1722</v>
      </c>
      <c r="SL2" s="89">
        <v>1725</v>
      </c>
      <c r="SM2" s="89">
        <v>1644</v>
      </c>
      <c r="SN2" s="89"/>
      <c r="SO2" s="89">
        <v>1623</v>
      </c>
      <c r="SP2" s="89">
        <v>1579</v>
      </c>
      <c r="SQ2" s="89">
        <v>1472</v>
      </c>
      <c r="SR2" s="89">
        <v>1457</v>
      </c>
      <c r="SS2" s="89">
        <v>1440</v>
      </c>
      <c r="ST2" s="89">
        <v>1421</v>
      </c>
      <c r="SU2" s="89"/>
      <c r="SV2" s="89">
        <v>1399</v>
      </c>
      <c r="SW2" s="89">
        <v>1331</v>
      </c>
      <c r="SX2" s="89">
        <v>1343</v>
      </c>
      <c r="SY2" s="89">
        <v>1405</v>
      </c>
      <c r="SZ2" s="89">
        <v>1523</v>
      </c>
      <c r="TA2" s="89">
        <v>1492</v>
      </c>
      <c r="TB2" s="89"/>
      <c r="TC2" s="89">
        <v>1513</v>
      </c>
      <c r="TD2" s="89">
        <v>1477</v>
      </c>
      <c r="TE2" s="89">
        <v>1502</v>
      </c>
      <c r="TF2" s="89">
        <v>1496</v>
      </c>
      <c r="TG2" s="89">
        <v>1448</v>
      </c>
      <c r="TH2" s="89">
        <v>1414</v>
      </c>
      <c r="TI2" s="89"/>
      <c r="TJ2" s="89">
        <v>1415</v>
      </c>
      <c r="TK2" s="89">
        <v>1277</v>
      </c>
      <c r="TL2" s="89">
        <v>1216</v>
      </c>
      <c r="TM2" s="89">
        <v>1205</v>
      </c>
      <c r="TN2" s="89">
        <v>1276</v>
      </c>
      <c r="TO2" s="89">
        <v>1239</v>
      </c>
      <c r="TP2" s="89"/>
      <c r="TQ2" s="89">
        <v>1194</v>
      </c>
      <c r="TR2" s="89">
        <v>1098</v>
      </c>
      <c r="TS2" s="89">
        <v>1099</v>
      </c>
      <c r="TT2" s="89">
        <v>1115</v>
      </c>
      <c r="TU2" s="89">
        <v>1122</v>
      </c>
      <c r="TV2" s="89">
        <v>1144</v>
      </c>
      <c r="TW2" s="89"/>
      <c r="TX2" s="89">
        <v>1147</v>
      </c>
      <c r="TY2" s="89">
        <v>1118</v>
      </c>
      <c r="TZ2" s="89">
        <v>1153</v>
      </c>
      <c r="UA2" s="89">
        <v>1166</v>
      </c>
      <c r="UB2" s="89">
        <v>1185</v>
      </c>
      <c r="UC2" s="89">
        <v>1121</v>
      </c>
      <c r="UD2" s="89"/>
      <c r="UE2" s="89">
        <v>1147</v>
      </c>
      <c r="UF2" s="89">
        <v>1124</v>
      </c>
      <c r="UG2" s="89">
        <v>1160</v>
      </c>
      <c r="UH2" s="89">
        <v>1085</v>
      </c>
      <c r="UI2" s="89">
        <v>1071</v>
      </c>
      <c r="UJ2" s="89">
        <v>1036</v>
      </c>
      <c r="UK2" s="89"/>
      <c r="UL2" s="89">
        <v>1036</v>
      </c>
      <c r="UM2" s="89">
        <v>991</v>
      </c>
      <c r="UN2" s="89">
        <v>987</v>
      </c>
      <c r="UO2" s="89">
        <v>973</v>
      </c>
      <c r="UP2" s="89">
        <v>962</v>
      </c>
      <c r="UQ2" s="89">
        <v>904</v>
      </c>
      <c r="UR2" s="89"/>
      <c r="US2" s="89">
        <v>946</v>
      </c>
      <c r="UT2" s="89">
        <v>928</v>
      </c>
      <c r="UU2" s="89">
        <v>959</v>
      </c>
      <c r="UV2" s="89">
        <v>1032</v>
      </c>
      <c r="UW2" s="89">
        <v>1068</v>
      </c>
      <c r="UX2" s="89">
        <v>1007</v>
      </c>
      <c r="UY2" s="89"/>
      <c r="UZ2" s="89">
        <v>988</v>
      </c>
      <c r="VA2" s="89">
        <v>965</v>
      </c>
      <c r="VB2" s="89">
        <v>954</v>
      </c>
      <c r="VC2" s="89">
        <v>960</v>
      </c>
      <c r="VD2" s="89">
        <v>956</v>
      </c>
      <c r="VE2" s="89">
        <v>932</v>
      </c>
      <c r="VF2" s="89"/>
      <c r="VG2" s="89">
        <v>897</v>
      </c>
      <c r="VH2" s="89">
        <v>906</v>
      </c>
      <c r="VI2" s="89">
        <v>893</v>
      </c>
      <c r="VJ2" s="89">
        <v>843</v>
      </c>
      <c r="VK2" s="89">
        <v>784</v>
      </c>
      <c r="VL2" s="89">
        <v>709</v>
      </c>
      <c r="VM2" s="89"/>
      <c r="VN2" s="89">
        <v>642</v>
      </c>
      <c r="VO2" s="89">
        <v>520</v>
      </c>
      <c r="VP2" s="89">
        <v>517</v>
      </c>
      <c r="VQ2" s="89">
        <v>508</v>
      </c>
      <c r="VR2" s="89">
        <v>540</v>
      </c>
      <c r="VS2" s="89">
        <v>538</v>
      </c>
      <c r="VT2" s="89"/>
      <c r="VU2" s="89">
        <v>531</v>
      </c>
      <c r="VV2" s="89">
        <v>506</v>
      </c>
      <c r="VW2" s="89">
        <v>492</v>
      </c>
      <c r="VX2" s="89">
        <v>513</v>
      </c>
      <c r="VY2" s="89">
        <v>504</v>
      </c>
      <c r="VZ2" s="89">
        <v>482</v>
      </c>
      <c r="WA2" s="89"/>
      <c r="WB2" s="89">
        <v>512</v>
      </c>
      <c r="WC2" s="89">
        <v>472</v>
      </c>
      <c r="WD2" s="89">
        <v>471</v>
      </c>
      <c r="WE2" s="89">
        <v>548</v>
      </c>
      <c r="WF2" s="89">
        <v>552</v>
      </c>
      <c r="WG2" s="89">
        <v>546</v>
      </c>
      <c r="WH2" s="89"/>
      <c r="WI2" s="89">
        <v>536</v>
      </c>
      <c r="WJ2" s="89">
        <v>467</v>
      </c>
      <c r="WK2" s="89">
        <v>437</v>
      </c>
      <c r="WL2" s="89">
        <v>403</v>
      </c>
      <c r="WM2" s="89">
        <v>385</v>
      </c>
      <c r="WN2" s="89">
        <v>390</v>
      </c>
      <c r="WO2" s="89"/>
      <c r="WP2" s="89">
        <v>396</v>
      </c>
      <c r="WQ2" s="89">
        <v>452</v>
      </c>
      <c r="WR2" s="89">
        <v>451</v>
      </c>
      <c r="WS2" s="89">
        <v>405</v>
      </c>
      <c r="WT2" s="89">
        <v>419</v>
      </c>
      <c r="WU2" s="89">
        <v>437</v>
      </c>
      <c r="WV2" s="89"/>
      <c r="WW2" s="89">
        <v>393</v>
      </c>
      <c r="WX2" s="89">
        <v>418</v>
      </c>
      <c r="WY2" s="89">
        <v>420</v>
      </c>
      <c r="WZ2" s="89">
        <v>438</v>
      </c>
      <c r="XA2" s="89">
        <v>444</v>
      </c>
      <c r="XB2" s="89">
        <v>467</v>
      </c>
      <c r="XC2" s="89"/>
      <c r="XD2" s="89">
        <v>493</v>
      </c>
      <c r="XE2" s="89">
        <v>501</v>
      </c>
      <c r="XF2" s="89">
        <v>495</v>
      </c>
      <c r="XG2" s="89">
        <v>467</v>
      </c>
      <c r="XH2" s="89">
        <v>365</v>
      </c>
      <c r="XI2" s="89"/>
      <c r="XJ2" s="89"/>
      <c r="XK2" s="89"/>
      <c r="XL2" s="89"/>
      <c r="XM2" s="89"/>
      <c r="XN2" s="89">
        <v>351</v>
      </c>
      <c r="XO2" s="89">
        <v>335</v>
      </c>
      <c r="XP2" s="89">
        <v>323</v>
      </c>
      <c r="XQ2" s="89"/>
      <c r="XR2" s="89">
        <v>285</v>
      </c>
      <c r="XS2" s="89">
        <v>255</v>
      </c>
      <c r="XT2" s="89">
        <v>213</v>
      </c>
      <c r="XU2" s="89">
        <v>203</v>
      </c>
      <c r="XV2" s="89">
        <v>186</v>
      </c>
      <c r="XW2" s="89">
        <v>181</v>
      </c>
      <c r="XX2" s="89"/>
      <c r="XY2" s="89">
        <v>165</v>
      </c>
      <c r="XZ2" s="89">
        <v>153</v>
      </c>
      <c r="YA2" s="89">
        <v>153</v>
      </c>
      <c r="YB2" s="89">
        <v>153</v>
      </c>
      <c r="YC2" s="89">
        <v>153</v>
      </c>
      <c r="YD2" s="89">
        <v>152</v>
      </c>
      <c r="YE2" s="89"/>
      <c r="YF2" s="89">
        <v>152</v>
      </c>
      <c r="YG2" s="89">
        <v>154</v>
      </c>
      <c r="YH2" s="89">
        <v>154</v>
      </c>
      <c r="YI2" s="89">
        <v>154</v>
      </c>
      <c r="YJ2" s="89">
        <v>154</v>
      </c>
      <c r="YK2" s="89">
        <v>154</v>
      </c>
      <c r="YL2" s="89"/>
      <c r="YM2" s="89">
        <v>154</v>
      </c>
      <c r="YN2" s="89">
        <v>154</v>
      </c>
      <c r="YO2" s="89">
        <v>154</v>
      </c>
      <c r="YP2" s="89">
        <v>154</v>
      </c>
      <c r="YQ2" s="89">
        <v>154</v>
      </c>
      <c r="YR2" s="89">
        <v>124</v>
      </c>
      <c r="YS2" s="89"/>
      <c r="YT2" s="89">
        <v>124</v>
      </c>
      <c r="YU2" s="89">
        <v>124</v>
      </c>
      <c r="YV2" s="89">
        <v>111</v>
      </c>
      <c r="YW2" s="89">
        <v>111</v>
      </c>
      <c r="YX2" s="89">
        <v>101</v>
      </c>
      <c r="YY2" s="89">
        <v>101</v>
      </c>
      <c r="YZ2" s="89"/>
      <c r="ZA2" s="89">
        <v>96</v>
      </c>
      <c r="ZB2" s="89">
        <v>42</v>
      </c>
      <c r="ZC2" s="89">
        <v>42</v>
      </c>
      <c r="ZD2" s="89">
        <v>42</v>
      </c>
      <c r="ZE2" s="89">
        <v>42</v>
      </c>
      <c r="ZF2" s="89">
        <v>42</v>
      </c>
      <c r="ZG2" s="89"/>
      <c r="ZH2" s="89">
        <v>42</v>
      </c>
      <c r="ZI2" s="89">
        <v>42</v>
      </c>
      <c r="ZJ2" s="89">
        <v>53</v>
      </c>
      <c r="ZK2" s="89">
        <v>53</v>
      </c>
      <c r="ZL2" s="89">
        <v>53</v>
      </c>
      <c r="ZM2" s="89">
        <v>59</v>
      </c>
      <c r="ZN2" s="89"/>
      <c r="ZO2" s="89">
        <v>67</v>
      </c>
      <c r="ZP2" s="89">
        <v>67</v>
      </c>
      <c r="ZQ2" s="89">
        <v>67</v>
      </c>
      <c r="ZR2" s="89">
        <v>67</v>
      </c>
      <c r="ZS2" s="89">
        <v>37</v>
      </c>
      <c r="ZT2" s="89"/>
      <c r="ZU2" s="89"/>
      <c r="ZV2" s="89"/>
      <c r="ZW2" s="89"/>
      <c r="ZX2" s="89"/>
      <c r="ZY2" s="89">
        <v>37</v>
      </c>
      <c r="ZZ2" s="89">
        <v>40</v>
      </c>
      <c r="AAA2" s="89">
        <v>40</v>
      </c>
      <c r="AAB2" s="89"/>
      <c r="AAC2" s="89">
        <v>27</v>
      </c>
      <c r="AAD2" s="89">
        <v>21</v>
      </c>
      <c r="AAE2" s="89">
        <v>19</v>
      </c>
      <c r="AAF2" s="89">
        <v>9</v>
      </c>
      <c r="AAG2" s="89">
        <v>9</v>
      </c>
      <c r="AAH2" s="89">
        <v>9</v>
      </c>
      <c r="AAI2" s="89"/>
      <c r="AAJ2" s="89">
        <v>9</v>
      </c>
      <c r="AAK2" s="89">
        <v>9</v>
      </c>
      <c r="AAL2" s="89">
        <v>6</v>
      </c>
      <c r="AAM2" s="89">
        <v>6</v>
      </c>
      <c r="AAN2" s="89">
        <v>6</v>
      </c>
      <c r="AAO2" s="89">
        <v>6</v>
      </c>
      <c r="AAP2" s="89"/>
      <c r="AAQ2" s="89">
        <v>6</v>
      </c>
      <c r="AAR2" s="89">
        <v>6</v>
      </c>
      <c r="AAS2" s="89">
        <v>6</v>
      </c>
      <c r="AAT2" s="89">
        <v>6</v>
      </c>
      <c r="AAU2" s="89">
        <v>4</v>
      </c>
      <c r="AAV2" s="89">
        <v>4</v>
      </c>
      <c r="AAW2" s="89"/>
      <c r="AAX2" s="89">
        <v>4</v>
      </c>
      <c r="AAY2" s="89">
        <v>4</v>
      </c>
      <c r="AAZ2" s="89">
        <v>4</v>
      </c>
      <c r="ABA2" s="89">
        <v>4</v>
      </c>
      <c r="ABB2" s="89">
        <v>4</v>
      </c>
      <c r="ABC2" s="89">
        <v>4</v>
      </c>
    </row>
    <row r="3" spans="1:731">
      <c r="A3" s="75" t="s">
        <v>41</v>
      </c>
      <c r="B3" s="75"/>
      <c r="C3" s="75"/>
      <c r="D3" s="75"/>
      <c r="E3" s="75"/>
      <c r="F3" s="75"/>
      <c r="G3" s="75"/>
      <c r="H3" s="75"/>
      <c r="I3" s="75"/>
      <c r="J3" s="75"/>
      <c r="K3" s="75">
        <v>10</v>
      </c>
      <c r="L3" s="75">
        <v>10</v>
      </c>
      <c r="M3" s="75">
        <v>10</v>
      </c>
      <c r="N3" s="75">
        <v>10</v>
      </c>
      <c r="O3" s="75">
        <v>10</v>
      </c>
      <c r="P3" s="75">
        <v>10</v>
      </c>
      <c r="Q3" s="75">
        <v>10</v>
      </c>
      <c r="R3" s="75">
        <v>10</v>
      </c>
      <c r="S3" s="75">
        <v>10</v>
      </c>
      <c r="T3" s="75">
        <v>10</v>
      </c>
      <c r="U3" s="75">
        <v>10</v>
      </c>
      <c r="V3" s="75">
        <v>10</v>
      </c>
      <c r="W3" s="75">
        <v>10</v>
      </c>
      <c r="X3" s="75">
        <v>10</v>
      </c>
      <c r="Y3" s="75">
        <v>10</v>
      </c>
      <c r="Z3" s="75">
        <v>10</v>
      </c>
      <c r="AA3" s="75">
        <v>10</v>
      </c>
      <c r="AB3" s="75">
        <v>10</v>
      </c>
      <c r="AC3" s="75">
        <v>10</v>
      </c>
      <c r="AD3" s="75">
        <v>10</v>
      </c>
      <c r="AE3" s="75">
        <v>10</v>
      </c>
      <c r="AF3" s="75">
        <v>10</v>
      </c>
      <c r="AG3" s="75">
        <v>10</v>
      </c>
      <c r="AH3" s="75">
        <v>10</v>
      </c>
      <c r="AI3" s="75">
        <v>10</v>
      </c>
      <c r="AJ3" s="75">
        <v>10</v>
      </c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  <c r="BO3" s="75"/>
      <c r="BP3" s="75"/>
      <c r="BQ3" s="75"/>
      <c r="BR3" s="75"/>
      <c r="BS3" s="75"/>
      <c r="BT3" s="75"/>
      <c r="BU3" s="75"/>
      <c r="BV3" s="75"/>
      <c r="BW3" s="75"/>
      <c r="BX3" s="75"/>
      <c r="BY3" s="75"/>
      <c r="BZ3" s="75"/>
      <c r="CA3" s="75"/>
      <c r="CB3" s="75"/>
      <c r="CC3" s="75"/>
      <c r="CD3" s="75"/>
      <c r="CE3" s="75"/>
      <c r="CF3" s="75"/>
      <c r="CG3" s="75"/>
      <c r="CH3" s="75"/>
      <c r="CI3" s="75"/>
      <c r="CJ3" s="75"/>
      <c r="CK3" s="75"/>
      <c r="CL3" s="75">
        <v>10</v>
      </c>
      <c r="CM3" s="75">
        <v>10</v>
      </c>
      <c r="CN3" s="75">
        <v>10</v>
      </c>
      <c r="CO3" s="75">
        <v>10</v>
      </c>
      <c r="CP3" s="75">
        <v>10</v>
      </c>
      <c r="CQ3" s="75"/>
      <c r="CR3" s="75">
        <v>10</v>
      </c>
      <c r="CS3" s="75">
        <v>10</v>
      </c>
      <c r="CT3" s="75">
        <v>10</v>
      </c>
      <c r="CU3" s="75">
        <v>10</v>
      </c>
      <c r="CV3" s="75">
        <v>13</v>
      </c>
      <c r="CW3" s="75">
        <v>3</v>
      </c>
      <c r="CX3" s="75"/>
      <c r="CY3" s="75">
        <v>3</v>
      </c>
      <c r="CZ3" s="75">
        <v>3</v>
      </c>
      <c r="DA3" s="75">
        <v>3</v>
      </c>
      <c r="DB3" s="75">
        <v>3</v>
      </c>
      <c r="DC3" s="75">
        <v>13</v>
      </c>
      <c r="DD3" s="75">
        <v>10</v>
      </c>
      <c r="DE3" s="75"/>
      <c r="DF3" s="75">
        <v>10</v>
      </c>
      <c r="DG3" s="75">
        <v>10</v>
      </c>
      <c r="DH3" s="75">
        <v>10</v>
      </c>
      <c r="DI3" s="75">
        <v>10</v>
      </c>
      <c r="DJ3" s="75">
        <v>10</v>
      </c>
      <c r="DK3" s="75">
        <v>10</v>
      </c>
      <c r="DL3" s="75"/>
      <c r="DM3" s="75">
        <v>10</v>
      </c>
      <c r="DN3" s="75">
        <v>14</v>
      </c>
      <c r="DO3" s="75">
        <v>14</v>
      </c>
      <c r="DP3" s="75">
        <v>14</v>
      </c>
      <c r="DQ3" s="75">
        <v>18</v>
      </c>
      <c r="DR3" s="75">
        <v>18</v>
      </c>
      <c r="DS3" s="75"/>
      <c r="DT3" s="75">
        <v>18</v>
      </c>
      <c r="DU3" s="75">
        <v>14</v>
      </c>
      <c r="DV3" s="75">
        <v>14</v>
      </c>
      <c r="DW3" s="75">
        <v>14</v>
      </c>
      <c r="DX3" s="75">
        <v>10</v>
      </c>
      <c r="DY3" s="75">
        <v>10</v>
      </c>
      <c r="DZ3" s="75"/>
      <c r="EA3" s="75">
        <v>4</v>
      </c>
      <c r="EB3" s="75">
        <v>4</v>
      </c>
      <c r="EC3" s="75">
        <v>4</v>
      </c>
      <c r="ED3" s="75">
        <v>9</v>
      </c>
      <c r="EE3" s="75">
        <v>5</v>
      </c>
      <c r="EF3" s="75">
        <v>5</v>
      </c>
      <c r="EG3" s="75"/>
      <c r="EH3" s="75">
        <v>15</v>
      </c>
      <c r="EI3" s="75">
        <v>15</v>
      </c>
      <c r="EJ3" s="75">
        <v>15</v>
      </c>
      <c r="EK3" s="75">
        <v>20</v>
      </c>
      <c r="EL3" s="75">
        <v>20</v>
      </c>
      <c r="EM3" s="75">
        <v>20</v>
      </c>
      <c r="EN3" s="75"/>
      <c r="EO3" s="75">
        <v>20</v>
      </c>
      <c r="EP3" s="75">
        <v>24</v>
      </c>
      <c r="EQ3" s="75">
        <v>19</v>
      </c>
      <c r="ER3" s="75">
        <v>19</v>
      </c>
      <c r="ES3" s="75">
        <v>9</v>
      </c>
      <c r="ET3" s="75">
        <v>9</v>
      </c>
      <c r="EU3" s="75"/>
      <c r="EV3" s="75">
        <v>21</v>
      </c>
      <c r="EW3" s="75">
        <v>22</v>
      </c>
      <c r="EX3" s="75">
        <v>17</v>
      </c>
      <c r="EY3" s="75">
        <v>17</v>
      </c>
      <c r="EZ3" s="75">
        <v>17</v>
      </c>
      <c r="FA3" s="75">
        <v>27</v>
      </c>
      <c r="FB3" s="75"/>
      <c r="FC3" s="75">
        <v>27</v>
      </c>
      <c r="FD3" s="75">
        <v>37</v>
      </c>
      <c r="FE3" s="75">
        <v>40</v>
      </c>
      <c r="FF3" s="75">
        <v>40</v>
      </c>
      <c r="FG3" s="75">
        <v>28</v>
      </c>
      <c r="FH3" s="75">
        <v>23</v>
      </c>
      <c r="FI3" s="75"/>
      <c r="FJ3" s="75">
        <v>23</v>
      </c>
      <c r="FK3" s="75">
        <v>23</v>
      </c>
      <c r="FL3" s="75">
        <v>25</v>
      </c>
      <c r="FM3" s="75">
        <v>5</v>
      </c>
      <c r="FN3" s="75">
        <v>5</v>
      </c>
      <c r="FO3" s="75">
        <v>5</v>
      </c>
      <c r="FP3" s="75"/>
      <c r="FQ3" s="75">
        <v>7</v>
      </c>
      <c r="FR3" s="75">
        <v>7</v>
      </c>
      <c r="FS3" s="75">
        <v>7</v>
      </c>
      <c r="FT3" s="75">
        <v>12</v>
      </c>
      <c r="FU3" s="75">
        <v>10</v>
      </c>
      <c r="FV3" s="75">
        <v>15</v>
      </c>
      <c r="FW3" s="75"/>
      <c r="FX3" s="75">
        <v>10</v>
      </c>
      <c r="FY3" s="75">
        <v>10</v>
      </c>
      <c r="FZ3" s="75">
        <v>10</v>
      </c>
      <c r="GA3" s="75">
        <v>5</v>
      </c>
      <c r="GB3" s="75">
        <v>5</v>
      </c>
      <c r="GC3" s="75">
        <v>5</v>
      </c>
      <c r="GD3" s="75"/>
      <c r="GE3" s="75">
        <v>5</v>
      </c>
      <c r="GF3" s="75">
        <v>5</v>
      </c>
      <c r="GG3" s="75">
        <v>5</v>
      </c>
      <c r="GH3" s="75">
        <v>5</v>
      </c>
      <c r="GI3" s="75">
        <v>5</v>
      </c>
      <c r="GJ3" s="75">
        <v>3</v>
      </c>
      <c r="GK3" s="75"/>
      <c r="GL3" s="75">
        <v>3</v>
      </c>
      <c r="GM3" s="75">
        <v>3</v>
      </c>
      <c r="GN3" s="75">
        <v>3</v>
      </c>
      <c r="GO3" s="75">
        <v>3</v>
      </c>
      <c r="GP3" s="75">
        <v>1</v>
      </c>
      <c r="GQ3" s="75">
        <v>1</v>
      </c>
      <c r="GR3" s="75"/>
      <c r="GS3" s="75">
        <v>8</v>
      </c>
      <c r="GT3" s="75">
        <v>42</v>
      </c>
      <c r="GU3" s="75">
        <v>50</v>
      </c>
      <c r="GV3" s="75">
        <v>49</v>
      </c>
      <c r="GW3" s="75">
        <v>49</v>
      </c>
      <c r="GX3" s="75">
        <v>49</v>
      </c>
      <c r="GY3" s="75"/>
      <c r="GZ3" s="75">
        <v>49</v>
      </c>
      <c r="HA3" s="75">
        <v>49</v>
      </c>
      <c r="HB3" s="75">
        <v>49</v>
      </c>
      <c r="HC3" s="75">
        <v>28</v>
      </c>
      <c r="HD3" s="75">
        <v>78</v>
      </c>
      <c r="HE3" s="75">
        <v>78</v>
      </c>
      <c r="HF3" s="75"/>
      <c r="HG3" s="75">
        <v>70</v>
      </c>
      <c r="HH3" s="75">
        <v>72</v>
      </c>
      <c r="HI3" s="75">
        <v>60</v>
      </c>
      <c r="HJ3" s="75">
        <v>62</v>
      </c>
      <c r="HK3" s="75">
        <v>62</v>
      </c>
      <c r="HL3" s="75">
        <v>60</v>
      </c>
      <c r="HM3" s="75"/>
      <c r="HN3" s="75">
        <v>23</v>
      </c>
      <c r="HO3" s="75">
        <v>21</v>
      </c>
      <c r="HP3" s="75">
        <v>21</v>
      </c>
      <c r="HQ3" s="75">
        <v>23</v>
      </c>
      <c r="HR3" s="75">
        <v>50</v>
      </c>
      <c r="HS3" s="75">
        <v>28</v>
      </c>
      <c r="HT3" s="75"/>
      <c r="HU3" s="75">
        <v>61</v>
      </c>
      <c r="HV3" s="75">
        <v>61</v>
      </c>
      <c r="HW3" s="75">
        <v>62</v>
      </c>
      <c r="HX3" s="75">
        <v>63</v>
      </c>
      <c r="HY3" s="75">
        <v>63</v>
      </c>
      <c r="HZ3" s="75">
        <v>62</v>
      </c>
      <c r="IA3" s="75"/>
      <c r="IB3" s="75">
        <v>46</v>
      </c>
      <c r="IC3" s="75">
        <v>101</v>
      </c>
      <c r="ID3" s="75">
        <v>68</v>
      </c>
      <c r="IE3" s="75">
        <v>126</v>
      </c>
      <c r="IF3" s="75">
        <v>125</v>
      </c>
      <c r="IG3" s="75">
        <v>115</v>
      </c>
      <c r="IH3" s="75"/>
      <c r="II3" s="75">
        <v>115</v>
      </c>
      <c r="IJ3" s="75">
        <v>114</v>
      </c>
      <c r="IK3" s="75">
        <v>114</v>
      </c>
      <c r="IL3" s="75">
        <v>79</v>
      </c>
      <c r="IM3" s="75">
        <v>79</v>
      </c>
      <c r="IN3" s="75">
        <v>21</v>
      </c>
      <c r="IO3" s="75"/>
      <c r="IP3" s="75">
        <v>20</v>
      </c>
      <c r="IQ3" s="75">
        <v>42</v>
      </c>
      <c r="IR3" s="75">
        <v>23</v>
      </c>
      <c r="IS3" s="75">
        <v>50</v>
      </c>
      <c r="IT3" s="75">
        <v>50</v>
      </c>
      <c r="IU3" s="75">
        <v>53</v>
      </c>
      <c r="IV3" s="75"/>
      <c r="IW3" s="75">
        <v>80</v>
      </c>
      <c r="IX3" s="75">
        <v>80</v>
      </c>
      <c r="IY3" s="75">
        <v>80</v>
      </c>
      <c r="IZ3" s="75">
        <v>67</v>
      </c>
      <c r="JA3" s="75">
        <v>121</v>
      </c>
      <c r="JB3" s="75">
        <v>153</v>
      </c>
      <c r="JC3" s="75"/>
      <c r="JD3" s="75">
        <v>153</v>
      </c>
      <c r="JE3" s="75">
        <v>153</v>
      </c>
      <c r="JF3" s="75">
        <v>145</v>
      </c>
      <c r="JG3" s="75">
        <v>145</v>
      </c>
      <c r="JH3" s="75">
        <v>146</v>
      </c>
      <c r="JI3" s="75">
        <v>146</v>
      </c>
      <c r="JJ3" s="75"/>
      <c r="JK3" s="75">
        <v>110</v>
      </c>
      <c r="JL3" s="75">
        <v>55</v>
      </c>
      <c r="JM3" s="75">
        <v>46</v>
      </c>
      <c r="JN3" s="75">
        <v>85</v>
      </c>
      <c r="JO3" s="75">
        <v>125</v>
      </c>
      <c r="JP3" s="75">
        <v>105</v>
      </c>
      <c r="JQ3" s="75"/>
      <c r="JR3" s="75"/>
      <c r="JS3" s="75"/>
      <c r="JT3" s="75"/>
      <c r="JU3" s="75"/>
      <c r="JV3" s="75">
        <v>104</v>
      </c>
      <c r="JW3" s="75">
        <v>104</v>
      </c>
      <c r="JX3" s="75"/>
      <c r="JY3" s="75">
        <v>104</v>
      </c>
      <c r="JZ3" s="75">
        <v>104</v>
      </c>
      <c r="KA3" s="75">
        <v>104</v>
      </c>
      <c r="KB3" s="75">
        <v>100</v>
      </c>
      <c r="KC3" s="75">
        <v>68</v>
      </c>
      <c r="KD3" s="75">
        <v>180</v>
      </c>
      <c r="KE3" s="75"/>
      <c r="KF3" s="75">
        <v>182</v>
      </c>
      <c r="KG3" s="75">
        <v>182</v>
      </c>
      <c r="KH3" s="75">
        <v>185</v>
      </c>
      <c r="KI3" s="75">
        <v>161</v>
      </c>
      <c r="KJ3" s="75">
        <v>126</v>
      </c>
      <c r="KK3" s="75">
        <v>126</v>
      </c>
      <c r="KL3" s="75"/>
      <c r="KM3" s="75">
        <v>132</v>
      </c>
      <c r="KN3" s="75">
        <v>43</v>
      </c>
      <c r="KO3" s="75">
        <v>47</v>
      </c>
      <c r="KP3" s="75">
        <v>47</v>
      </c>
      <c r="KQ3" s="75">
        <v>45</v>
      </c>
      <c r="KR3" s="75">
        <v>65</v>
      </c>
      <c r="KS3" s="75"/>
      <c r="KT3" s="75">
        <v>50</v>
      </c>
      <c r="KU3" s="75">
        <v>49</v>
      </c>
      <c r="KV3" s="75">
        <v>51</v>
      </c>
      <c r="KW3" s="75">
        <v>51</v>
      </c>
      <c r="KX3" s="75">
        <v>46</v>
      </c>
      <c r="KY3" s="75">
        <v>33</v>
      </c>
      <c r="KZ3" s="75"/>
      <c r="LA3" s="75">
        <v>33</v>
      </c>
      <c r="LB3" s="75">
        <v>10</v>
      </c>
      <c r="LC3" s="75">
        <v>66</v>
      </c>
      <c r="LD3" s="75">
        <v>67</v>
      </c>
      <c r="LE3" s="75">
        <v>67</v>
      </c>
      <c r="LF3" s="75">
        <v>67</v>
      </c>
      <c r="LG3" s="75"/>
      <c r="LH3" s="75">
        <v>65</v>
      </c>
      <c r="LI3" s="75">
        <v>72</v>
      </c>
      <c r="LJ3" s="75">
        <v>71</v>
      </c>
      <c r="LK3" s="75">
        <v>77</v>
      </c>
      <c r="LL3" s="75">
        <v>18</v>
      </c>
      <c r="LM3" s="75">
        <v>17</v>
      </c>
      <c r="LN3" s="75"/>
      <c r="LO3" s="75">
        <v>11</v>
      </c>
      <c r="LP3" s="75">
        <v>13</v>
      </c>
      <c r="LQ3" s="75">
        <v>7</v>
      </c>
      <c r="LR3" s="75">
        <v>6</v>
      </c>
      <c r="LS3" s="75">
        <v>7</v>
      </c>
      <c r="LT3" s="75">
        <v>7</v>
      </c>
      <c r="LU3" s="75"/>
      <c r="LV3" s="75">
        <v>5</v>
      </c>
      <c r="LW3" s="75">
        <v>5</v>
      </c>
      <c r="LX3" s="75">
        <v>5</v>
      </c>
      <c r="LY3" s="75">
        <v>3</v>
      </c>
      <c r="LZ3" s="75">
        <v>11</v>
      </c>
      <c r="MA3" s="75">
        <v>11</v>
      </c>
      <c r="MB3" s="75"/>
      <c r="MC3" s="75">
        <v>13</v>
      </c>
      <c r="MD3" s="75">
        <v>20</v>
      </c>
      <c r="ME3" s="75">
        <v>19</v>
      </c>
      <c r="MF3" s="75">
        <v>19</v>
      </c>
      <c r="MG3" s="75"/>
      <c r="MH3" s="75"/>
      <c r="MI3" s="75"/>
      <c r="MJ3" s="75"/>
      <c r="MK3" s="75"/>
      <c r="ML3" s="75">
        <v>19</v>
      </c>
      <c r="MM3" s="75">
        <v>19</v>
      </c>
      <c r="MN3" s="75">
        <v>19</v>
      </c>
      <c r="MO3" s="75">
        <v>5</v>
      </c>
      <c r="MP3" s="75"/>
      <c r="MQ3" s="75">
        <v>10</v>
      </c>
      <c r="MR3" s="75">
        <v>13</v>
      </c>
      <c r="MS3" s="75">
        <v>19</v>
      </c>
      <c r="MT3" s="75">
        <v>17</v>
      </c>
      <c r="MU3" s="75">
        <v>31</v>
      </c>
      <c r="MV3" s="75">
        <v>30</v>
      </c>
      <c r="MW3" s="75"/>
      <c r="MX3" s="75">
        <v>39</v>
      </c>
      <c r="MY3" s="75">
        <v>43</v>
      </c>
      <c r="MZ3" s="75">
        <v>46</v>
      </c>
      <c r="NA3" s="75">
        <v>48</v>
      </c>
      <c r="NB3" s="75">
        <v>50</v>
      </c>
      <c r="NC3" s="75">
        <v>32</v>
      </c>
      <c r="ND3" s="75"/>
      <c r="NE3" s="75">
        <v>32</v>
      </c>
      <c r="NF3" s="75">
        <v>24</v>
      </c>
      <c r="NG3" s="75">
        <v>18</v>
      </c>
      <c r="NH3" s="75">
        <v>22</v>
      </c>
      <c r="NI3" s="75">
        <v>23</v>
      </c>
      <c r="NJ3" s="75">
        <v>19</v>
      </c>
      <c r="NK3" s="75"/>
      <c r="NL3" s="75">
        <v>17</v>
      </c>
      <c r="NM3" s="75">
        <v>30</v>
      </c>
      <c r="NN3" s="75">
        <v>41</v>
      </c>
      <c r="NO3" s="75">
        <v>42</v>
      </c>
      <c r="NP3" s="75">
        <v>45</v>
      </c>
      <c r="NQ3" s="75">
        <v>45</v>
      </c>
      <c r="NR3" s="75"/>
      <c r="NS3" s="75">
        <v>45</v>
      </c>
      <c r="NT3" s="75">
        <v>54</v>
      </c>
      <c r="NU3" s="75">
        <v>55</v>
      </c>
      <c r="NV3" s="75">
        <v>55</v>
      </c>
      <c r="NW3" s="75">
        <v>54</v>
      </c>
      <c r="NX3" s="75">
        <v>54</v>
      </c>
      <c r="NY3" s="75"/>
      <c r="NZ3" s="75">
        <v>44</v>
      </c>
      <c r="OA3" s="75">
        <v>15</v>
      </c>
      <c r="OB3" s="75">
        <v>9</v>
      </c>
      <c r="OC3" s="75">
        <v>19</v>
      </c>
      <c r="OD3" s="75">
        <v>32</v>
      </c>
      <c r="OE3" s="75">
        <v>34</v>
      </c>
      <c r="OF3" s="75"/>
      <c r="OG3" s="75">
        <v>35</v>
      </c>
      <c r="OH3" s="75">
        <v>30</v>
      </c>
      <c r="OI3" s="75">
        <v>30</v>
      </c>
      <c r="OJ3" s="75">
        <v>24</v>
      </c>
      <c r="OK3" s="75">
        <v>24</v>
      </c>
      <c r="OL3" s="75">
        <v>24</v>
      </c>
      <c r="OM3" s="75"/>
      <c r="ON3" s="75">
        <v>34</v>
      </c>
      <c r="OO3" s="75">
        <v>31</v>
      </c>
      <c r="OP3" s="75">
        <v>23</v>
      </c>
      <c r="OQ3" s="75">
        <v>21</v>
      </c>
      <c r="OR3" s="75">
        <v>20</v>
      </c>
      <c r="OS3" s="75">
        <v>20</v>
      </c>
      <c r="OT3" s="75"/>
      <c r="OU3" s="75">
        <v>16</v>
      </c>
      <c r="OV3" s="75">
        <v>20</v>
      </c>
      <c r="OW3" s="75">
        <v>30</v>
      </c>
      <c r="OX3" s="75">
        <v>30</v>
      </c>
      <c r="OY3" s="75">
        <v>30</v>
      </c>
      <c r="OZ3" s="75">
        <v>28</v>
      </c>
      <c r="PA3" s="75"/>
      <c r="PB3" s="75">
        <v>32</v>
      </c>
      <c r="PC3" s="75">
        <v>32</v>
      </c>
      <c r="PD3" s="75">
        <v>32</v>
      </c>
      <c r="PE3" s="75">
        <v>22</v>
      </c>
      <c r="PF3" s="75">
        <v>23</v>
      </c>
      <c r="PG3" s="75">
        <v>28</v>
      </c>
      <c r="PH3" s="75"/>
      <c r="PI3" s="75">
        <v>29</v>
      </c>
      <c r="PJ3" s="75">
        <v>30</v>
      </c>
      <c r="PK3" s="75">
        <v>29</v>
      </c>
      <c r="PL3" s="75">
        <v>26</v>
      </c>
      <c r="PM3" s="75">
        <v>14</v>
      </c>
      <c r="PN3" s="75">
        <v>4</v>
      </c>
      <c r="PO3" s="75"/>
      <c r="PP3" s="75">
        <v>15</v>
      </c>
      <c r="PQ3" s="75">
        <v>18</v>
      </c>
      <c r="PR3" s="75">
        <v>29</v>
      </c>
      <c r="PS3" s="75">
        <v>32</v>
      </c>
      <c r="PT3" s="75">
        <v>30</v>
      </c>
      <c r="PU3" s="75">
        <v>30</v>
      </c>
      <c r="PV3" s="75"/>
      <c r="PW3" s="75">
        <v>42</v>
      </c>
      <c r="PX3" s="75">
        <v>41</v>
      </c>
      <c r="PY3" s="75">
        <v>61</v>
      </c>
      <c r="PZ3" s="75">
        <v>61</v>
      </c>
      <c r="QA3" s="75">
        <v>60</v>
      </c>
      <c r="QB3" s="75">
        <v>53</v>
      </c>
      <c r="QC3" s="75"/>
      <c r="QD3" s="75">
        <v>57</v>
      </c>
      <c r="QE3" s="75">
        <v>57</v>
      </c>
      <c r="QF3" s="75">
        <v>57</v>
      </c>
      <c r="QG3" s="75">
        <v>47</v>
      </c>
      <c r="QH3" s="75">
        <v>47</v>
      </c>
      <c r="QI3" s="75">
        <v>33</v>
      </c>
      <c r="QJ3" s="75"/>
      <c r="QK3" s="75">
        <v>33</v>
      </c>
      <c r="QL3" s="75">
        <v>34</v>
      </c>
      <c r="QM3" s="75">
        <v>37</v>
      </c>
      <c r="QN3" s="75">
        <v>34</v>
      </c>
      <c r="QO3" s="75">
        <v>34</v>
      </c>
      <c r="QP3" s="75">
        <v>14</v>
      </c>
      <c r="QQ3" s="75"/>
      <c r="QR3" s="75">
        <v>14</v>
      </c>
      <c r="QS3" s="75">
        <v>14</v>
      </c>
      <c r="QT3" s="75">
        <v>14</v>
      </c>
      <c r="QU3" s="75">
        <v>13</v>
      </c>
      <c r="QV3" s="75">
        <v>11</v>
      </c>
      <c r="QW3" s="75">
        <v>14</v>
      </c>
      <c r="QX3" s="75"/>
      <c r="QY3" s="75">
        <v>14</v>
      </c>
      <c r="QZ3" s="75">
        <v>14</v>
      </c>
      <c r="RA3" s="75">
        <v>14</v>
      </c>
      <c r="RB3" s="75">
        <v>14</v>
      </c>
      <c r="RC3" s="75">
        <v>14</v>
      </c>
      <c r="RD3" s="75">
        <v>14</v>
      </c>
      <c r="RE3" s="75"/>
      <c r="RF3" s="75">
        <v>3</v>
      </c>
      <c r="RG3" s="75"/>
      <c r="RH3" s="75"/>
      <c r="RI3" s="75"/>
      <c r="RJ3" s="75"/>
      <c r="RK3" s="75"/>
      <c r="RL3" s="75"/>
      <c r="RM3" s="75"/>
      <c r="RN3" s="75"/>
      <c r="RO3" s="75"/>
      <c r="RP3" s="75"/>
      <c r="RQ3" s="75"/>
      <c r="RR3" s="75"/>
      <c r="RS3" s="75"/>
      <c r="RT3" s="75"/>
      <c r="RU3" s="75"/>
      <c r="RV3" s="75"/>
      <c r="RW3" s="75"/>
      <c r="RX3" s="75"/>
      <c r="RY3" s="75">
        <v>1</v>
      </c>
      <c r="RZ3" s="75"/>
      <c r="SA3" s="75">
        <v>4</v>
      </c>
      <c r="SB3" s="75">
        <v>4</v>
      </c>
      <c r="SC3" s="75">
        <v>4</v>
      </c>
      <c r="SD3" s="75">
        <v>4</v>
      </c>
      <c r="SE3" s="75">
        <v>4</v>
      </c>
      <c r="SF3" s="75">
        <v>4</v>
      </c>
      <c r="SG3" s="75"/>
      <c r="SH3" s="75">
        <v>4</v>
      </c>
      <c r="SI3" s="75">
        <v>4</v>
      </c>
      <c r="SJ3" s="75">
        <v>4</v>
      </c>
      <c r="SK3" s="75">
        <v>3</v>
      </c>
      <c r="SL3" s="75"/>
      <c r="SM3" s="75"/>
      <c r="SN3" s="75"/>
      <c r="SO3" s="75"/>
      <c r="SP3" s="75"/>
      <c r="SQ3" s="75"/>
      <c r="SR3" s="75">
        <v>1</v>
      </c>
      <c r="SS3" s="75">
        <v>4</v>
      </c>
      <c r="ST3" s="75">
        <v>5</v>
      </c>
      <c r="SU3" s="75"/>
      <c r="SV3" s="75">
        <v>8</v>
      </c>
      <c r="SW3" s="75">
        <v>8</v>
      </c>
      <c r="SX3" s="75">
        <v>8</v>
      </c>
      <c r="SY3" s="75">
        <v>8</v>
      </c>
      <c r="SZ3" s="75">
        <v>8</v>
      </c>
      <c r="TA3" s="75">
        <v>8</v>
      </c>
      <c r="TB3" s="75"/>
      <c r="TC3" s="75">
        <v>8</v>
      </c>
      <c r="TD3" s="75">
        <v>8</v>
      </c>
      <c r="TE3" s="75">
        <v>8</v>
      </c>
      <c r="TF3" s="75">
        <v>7</v>
      </c>
      <c r="TG3" s="75">
        <v>4</v>
      </c>
      <c r="TH3" s="75">
        <v>4</v>
      </c>
      <c r="TI3" s="75"/>
      <c r="TJ3" s="75">
        <v>4</v>
      </c>
      <c r="TK3" s="75">
        <v>6</v>
      </c>
      <c r="TL3" s="75">
        <v>10</v>
      </c>
      <c r="TM3" s="75">
        <v>10</v>
      </c>
      <c r="TN3" s="75">
        <v>10</v>
      </c>
      <c r="TO3" s="75">
        <v>9</v>
      </c>
      <c r="TP3" s="75"/>
      <c r="TQ3" s="75">
        <v>7</v>
      </c>
      <c r="TR3" s="75">
        <v>8</v>
      </c>
      <c r="TS3" s="75">
        <v>7</v>
      </c>
      <c r="TT3" s="75">
        <v>6</v>
      </c>
      <c r="TU3" s="75">
        <v>6</v>
      </c>
      <c r="TV3" s="75">
        <v>5</v>
      </c>
      <c r="TW3" s="75"/>
      <c r="TX3" s="75">
        <v>4</v>
      </c>
      <c r="TY3" s="75">
        <v>3</v>
      </c>
      <c r="TZ3" s="75">
        <v>0</v>
      </c>
      <c r="UA3" s="75">
        <v>1</v>
      </c>
      <c r="UB3" s="75">
        <v>4</v>
      </c>
      <c r="UC3" s="75">
        <v>4</v>
      </c>
      <c r="UD3" s="75"/>
      <c r="UE3" s="75">
        <v>4</v>
      </c>
      <c r="UF3" s="75">
        <v>4</v>
      </c>
      <c r="UG3" s="75">
        <v>4</v>
      </c>
      <c r="UH3" s="75">
        <v>4</v>
      </c>
      <c r="UI3" s="75">
        <v>4</v>
      </c>
      <c r="UJ3" s="75">
        <v>4</v>
      </c>
      <c r="UK3" s="75"/>
      <c r="UL3" s="75">
        <v>4</v>
      </c>
      <c r="UM3" s="75">
        <v>3</v>
      </c>
      <c r="UN3" s="75"/>
      <c r="UO3" s="75"/>
      <c r="UP3" s="75"/>
      <c r="UQ3" s="75"/>
      <c r="UR3" s="75"/>
      <c r="US3" s="75"/>
      <c r="UT3" s="75"/>
      <c r="UU3" s="75"/>
      <c r="UV3" s="75"/>
      <c r="UW3" s="75"/>
      <c r="UX3" s="75"/>
      <c r="UY3" s="75"/>
      <c r="UZ3" s="75"/>
      <c r="VA3" s="75"/>
      <c r="VB3" s="75"/>
      <c r="VC3" s="75"/>
      <c r="VD3" s="75"/>
      <c r="VE3" s="75"/>
      <c r="VF3" s="75"/>
      <c r="VG3" s="75"/>
      <c r="VH3" s="75"/>
      <c r="VI3" s="75"/>
      <c r="VJ3" s="75"/>
      <c r="VK3" s="75"/>
      <c r="VL3" s="75"/>
      <c r="VM3" s="75"/>
      <c r="VN3" s="75"/>
      <c r="VO3" s="75"/>
      <c r="VP3" s="75"/>
      <c r="VQ3" s="75"/>
      <c r="VR3" s="75"/>
      <c r="VS3" s="75"/>
      <c r="VT3" s="75"/>
      <c r="VU3" s="75"/>
      <c r="VV3" s="75"/>
      <c r="VW3" s="75"/>
      <c r="VX3" s="75"/>
      <c r="VY3" s="75"/>
      <c r="VZ3" s="75"/>
      <c r="WA3" s="75"/>
      <c r="WB3" s="75"/>
      <c r="WC3" s="75"/>
      <c r="WD3" s="75"/>
      <c r="WE3" s="75"/>
      <c r="WF3" s="75"/>
      <c r="WG3" s="75"/>
      <c r="WH3" s="75"/>
      <c r="WI3" s="75"/>
      <c r="WJ3" s="75"/>
      <c r="WK3" s="75"/>
      <c r="WL3" s="75"/>
      <c r="WM3" s="75"/>
      <c r="WN3" s="75"/>
      <c r="WO3" s="75"/>
      <c r="WP3" s="75"/>
      <c r="WQ3" s="75"/>
      <c r="WR3" s="75"/>
      <c r="WS3" s="75"/>
      <c r="WT3" s="75"/>
      <c r="WU3" s="75"/>
      <c r="WV3" s="75"/>
      <c r="WW3" s="75"/>
      <c r="WX3" s="75"/>
      <c r="WY3" s="75"/>
      <c r="WZ3" s="75"/>
      <c r="XA3" s="75"/>
      <c r="XB3" s="75"/>
      <c r="XC3" s="75"/>
      <c r="XD3" s="75"/>
      <c r="XE3" s="75"/>
      <c r="XF3" s="75"/>
      <c r="XG3" s="75"/>
      <c r="XH3" s="75"/>
      <c r="XI3" s="75"/>
      <c r="XJ3" s="75"/>
      <c r="XK3" s="75"/>
      <c r="XL3" s="75"/>
      <c r="XM3" s="75"/>
      <c r="XN3" s="75"/>
      <c r="XO3" s="75"/>
      <c r="XP3" s="75"/>
      <c r="XQ3" s="75"/>
      <c r="XR3" s="75"/>
      <c r="XS3" s="75"/>
      <c r="XT3" s="75"/>
      <c r="XU3" s="75"/>
      <c r="XV3" s="75"/>
      <c r="XW3" s="75"/>
      <c r="XX3" s="75"/>
      <c r="XY3" s="75"/>
      <c r="XZ3" s="75"/>
      <c r="YA3" s="75"/>
      <c r="YB3" s="75"/>
      <c r="YC3" s="75"/>
      <c r="YD3" s="75"/>
      <c r="YE3" s="75"/>
      <c r="YF3" s="75"/>
      <c r="YG3" s="75"/>
      <c r="YH3" s="75"/>
      <c r="YI3" s="75"/>
      <c r="YJ3" s="75"/>
      <c r="YK3" s="75"/>
      <c r="YL3" s="75"/>
      <c r="YM3" s="75"/>
      <c r="YN3" s="75"/>
      <c r="YO3" s="75"/>
      <c r="YP3" s="75"/>
      <c r="YQ3" s="75"/>
      <c r="YR3" s="75"/>
      <c r="YS3" s="75"/>
      <c r="YT3" s="75"/>
      <c r="YU3" s="75"/>
      <c r="YV3" s="75"/>
      <c r="YW3" s="75"/>
      <c r="YX3" s="75"/>
      <c r="YY3" s="75"/>
      <c r="YZ3" s="75"/>
      <c r="ZA3" s="75"/>
      <c r="ZB3" s="75"/>
      <c r="ZC3" s="75"/>
      <c r="ZD3" s="75"/>
      <c r="ZE3" s="75"/>
      <c r="ZF3" s="75"/>
      <c r="ZG3" s="75"/>
      <c r="ZH3" s="75"/>
      <c r="ZI3" s="75"/>
      <c r="ZJ3" s="75"/>
      <c r="ZK3" s="75"/>
      <c r="ZL3" s="75"/>
      <c r="ZM3" s="75"/>
      <c r="ZN3" s="75"/>
      <c r="ZO3" s="75"/>
      <c r="ZP3" s="75"/>
      <c r="ZQ3" s="75"/>
      <c r="ZR3" s="75"/>
      <c r="ZS3" s="75"/>
      <c r="ZT3" s="75"/>
      <c r="ZU3" s="75"/>
      <c r="ZV3" s="75"/>
      <c r="ZW3" s="75"/>
      <c r="ZX3" s="75"/>
      <c r="ZY3" s="75"/>
      <c r="ZZ3" s="75"/>
      <c r="AAA3" s="75"/>
      <c r="AAB3" s="75"/>
      <c r="AAC3" s="75"/>
      <c r="AAD3" s="75"/>
      <c r="AAE3" s="75"/>
      <c r="AAF3" s="75"/>
      <c r="AAG3" s="75"/>
      <c r="AAH3" s="75"/>
      <c r="AAI3" s="75"/>
      <c r="AAJ3" s="75"/>
      <c r="AAK3" s="75"/>
      <c r="AAL3" s="75"/>
      <c r="AAM3" s="75"/>
      <c r="AAN3" s="75"/>
      <c r="AAO3" s="75"/>
      <c r="AAP3" s="75"/>
      <c r="AAQ3" s="75"/>
      <c r="AAR3" s="75"/>
      <c r="AAS3" s="75"/>
      <c r="AAT3" s="75"/>
      <c r="AAU3" s="75"/>
      <c r="AAV3" s="75"/>
      <c r="AAW3" s="75"/>
      <c r="AAX3" s="75"/>
      <c r="AAY3" s="75"/>
      <c r="AAZ3" s="75"/>
      <c r="ABA3" s="75"/>
      <c r="ABB3" s="75"/>
      <c r="ABC3" s="75"/>
    </row>
    <row r="4" spans="1:731">
      <c r="A4" s="75" t="s">
        <v>42</v>
      </c>
      <c r="B4" s="75"/>
      <c r="C4" s="75"/>
      <c r="D4" s="75"/>
      <c r="E4" s="75"/>
      <c r="F4" s="75"/>
      <c r="G4" s="75"/>
      <c r="H4" s="75"/>
      <c r="I4" s="75"/>
      <c r="J4" s="75"/>
      <c r="K4" s="75">
        <v>2</v>
      </c>
      <c r="L4" s="75">
        <v>2</v>
      </c>
      <c r="M4" s="75">
        <v>2</v>
      </c>
      <c r="N4" s="75">
        <v>2</v>
      </c>
      <c r="O4" s="75">
        <v>2</v>
      </c>
      <c r="P4" s="75">
        <v>2</v>
      </c>
      <c r="Q4" s="75">
        <v>2</v>
      </c>
      <c r="R4" s="75">
        <v>2</v>
      </c>
      <c r="S4" s="75">
        <v>2</v>
      </c>
      <c r="T4" s="75">
        <v>2</v>
      </c>
      <c r="U4" s="75">
        <v>2</v>
      </c>
      <c r="V4" s="75">
        <v>2</v>
      </c>
      <c r="W4" s="75">
        <v>2</v>
      </c>
      <c r="X4" s="75">
        <v>2</v>
      </c>
      <c r="Y4" s="75">
        <v>2</v>
      </c>
      <c r="Z4" s="75">
        <v>2</v>
      </c>
      <c r="AA4" s="75">
        <v>2</v>
      </c>
      <c r="AB4" s="75">
        <v>2</v>
      </c>
      <c r="AC4" s="75">
        <v>2</v>
      </c>
      <c r="AD4" s="75">
        <v>2</v>
      </c>
      <c r="AE4" s="75">
        <v>2</v>
      </c>
      <c r="AF4" s="75">
        <v>2</v>
      </c>
      <c r="AG4" s="75">
        <v>2</v>
      </c>
      <c r="AH4" s="75">
        <v>2</v>
      </c>
      <c r="AI4" s="75">
        <v>2</v>
      </c>
      <c r="AJ4" s="75">
        <v>2</v>
      </c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5"/>
      <c r="BF4" s="75"/>
      <c r="BG4" s="75"/>
      <c r="BH4" s="75"/>
      <c r="BI4" s="75"/>
      <c r="BJ4" s="75"/>
      <c r="BK4" s="75"/>
      <c r="BL4" s="75"/>
      <c r="BM4" s="75"/>
      <c r="BN4" s="75"/>
      <c r="BO4" s="75"/>
      <c r="BP4" s="75"/>
      <c r="BQ4" s="75"/>
      <c r="BR4" s="75"/>
      <c r="BS4" s="75"/>
      <c r="BT4" s="75"/>
      <c r="BU4" s="75"/>
      <c r="BV4" s="75"/>
      <c r="BW4" s="75"/>
      <c r="BX4" s="75"/>
      <c r="BY4" s="75"/>
      <c r="BZ4" s="75"/>
      <c r="CA4" s="75"/>
      <c r="CB4" s="75"/>
      <c r="CC4" s="75"/>
      <c r="CD4" s="75"/>
      <c r="CE4" s="75"/>
      <c r="CF4" s="75"/>
      <c r="CG4" s="75"/>
      <c r="CH4" s="75"/>
      <c r="CI4" s="75"/>
      <c r="CJ4" s="75"/>
      <c r="CK4" s="75"/>
      <c r="CL4" s="75">
        <v>12</v>
      </c>
      <c r="CM4" s="75">
        <v>12</v>
      </c>
      <c r="CN4" s="75">
        <v>12</v>
      </c>
      <c r="CO4" s="75">
        <v>12</v>
      </c>
      <c r="CP4" s="75">
        <v>12</v>
      </c>
      <c r="CQ4" s="75"/>
      <c r="CR4" s="75">
        <v>12</v>
      </c>
      <c r="CS4" s="75">
        <v>12</v>
      </c>
      <c r="CT4" s="75">
        <v>12</v>
      </c>
      <c r="CU4" s="75">
        <v>12</v>
      </c>
      <c r="CV4" s="75">
        <v>12</v>
      </c>
      <c r="CW4" s="75">
        <v>12</v>
      </c>
      <c r="CX4" s="75"/>
      <c r="CY4" s="75">
        <v>12</v>
      </c>
      <c r="CZ4" s="75">
        <v>4</v>
      </c>
      <c r="DA4" s="75">
        <v>4</v>
      </c>
      <c r="DB4" s="75">
        <v>8</v>
      </c>
      <c r="DC4" s="75">
        <v>8</v>
      </c>
      <c r="DD4" s="75">
        <v>8</v>
      </c>
      <c r="DE4" s="75"/>
      <c r="DF4" s="75">
        <v>8</v>
      </c>
      <c r="DG4" s="75">
        <v>8</v>
      </c>
      <c r="DH4" s="75">
        <v>8</v>
      </c>
      <c r="DI4" s="75">
        <v>4</v>
      </c>
      <c r="DJ4" s="75">
        <v>4</v>
      </c>
      <c r="DK4" s="75">
        <v>4</v>
      </c>
      <c r="DL4" s="75"/>
      <c r="DM4" s="75">
        <v>4</v>
      </c>
      <c r="DN4" s="75"/>
      <c r="DO4" s="75">
        <v>14</v>
      </c>
      <c r="DP4" s="75">
        <v>14</v>
      </c>
      <c r="DQ4" s="75">
        <v>14</v>
      </c>
      <c r="DR4" s="75">
        <v>14</v>
      </c>
      <c r="DS4" s="75"/>
      <c r="DT4" s="75">
        <v>14</v>
      </c>
      <c r="DU4" s="75">
        <v>14</v>
      </c>
      <c r="DV4" s="75">
        <v>12</v>
      </c>
      <c r="DW4" s="75">
        <v>12</v>
      </c>
      <c r="DX4" s="75">
        <v>12</v>
      </c>
      <c r="DY4" s="75">
        <v>12</v>
      </c>
      <c r="DZ4" s="75"/>
      <c r="EA4" s="75">
        <v>12</v>
      </c>
      <c r="EB4" s="75">
        <v>12</v>
      </c>
      <c r="EC4" s="75"/>
      <c r="ED4" s="75"/>
      <c r="EE4" s="75">
        <v>5</v>
      </c>
      <c r="EF4" s="75">
        <v>9</v>
      </c>
      <c r="EG4" s="75"/>
      <c r="EH4" s="75">
        <v>9</v>
      </c>
      <c r="EI4" s="75">
        <v>9</v>
      </c>
      <c r="EJ4" s="75">
        <v>9</v>
      </c>
      <c r="EK4" s="75">
        <v>9</v>
      </c>
      <c r="EL4" s="75">
        <v>14</v>
      </c>
      <c r="EM4" s="75">
        <v>16</v>
      </c>
      <c r="EN4" s="75"/>
      <c r="EO4" s="75">
        <v>16</v>
      </c>
      <c r="EP4" s="75">
        <v>16</v>
      </c>
      <c r="EQ4" s="75">
        <v>16</v>
      </c>
      <c r="ER4" s="75">
        <v>12</v>
      </c>
      <c r="ES4" s="75">
        <v>7</v>
      </c>
      <c r="ET4" s="75">
        <v>15</v>
      </c>
      <c r="EU4" s="75"/>
      <c r="EV4" s="75">
        <v>15</v>
      </c>
      <c r="EW4" s="75">
        <v>17</v>
      </c>
      <c r="EX4" s="75">
        <v>17</v>
      </c>
      <c r="EY4" s="75">
        <v>15</v>
      </c>
      <c r="EZ4" s="75">
        <v>12</v>
      </c>
      <c r="FA4" s="75">
        <v>20</v>
      </c>
      <c r="FB4" s="75"/>
      <c r="FC4" s="75">
        <v>20</v>
      </c>
      <c r="FD4" s="75">
        <v>18</v>
      </c>
      <c r="FE4" s="75">
        <v>18</v>
      </c>
      <c r="FF4" s="75">
        <v>12</v>
      </c>
      <c r="FG4" s="75">
        <v>12</v>
      </c>
      <c r="FH4" s="75">
        <v>10</v>
      </c>
      <c r="FI4" s="75"/>
      <c r="FJ4" s="75">
        <v>6</v>
      </c>
      <c r="FK4" s="75">
        <v>2</v>
      </c>
      <c r="FL4" s="75">
        <v>2</v>
      </c>
      <c r="FM4" s="75">
        <v>2</v>
      </c>
      <c r="FN4" s="75">
        <v>2</v>
      </c>
      <c r="FO4" s="75">
        <v>2</v>
      </c>
      <c r="FP4" s="75"/>
      <c r="FQ4" s="75">
        <v>2</v>
      </c>
      <c r="FR4" s="75">
        <v>2</v>
      </c>
      <c r="FS4" s="75">
        <v>2</v>
      </c>
      <c r="FT4" s="75"/>
      <c r="FU4" s="75"/>
      <c r="FV4" s="75">
        <v>2</v>
      </c>
      <c r="FW4" s="75"/>
      <c r="FX4" s="75">
        <v>2</v>
      </c>
      <c r="FY4" s="75">
        <v>2</v>
      </c>
      <c r="FZ4" s="75">
        <v>2</v>
      </c>
      <c r="GA4" s="75">
        <v>2</v>
      </c>
      <c r="GB4" s="75">
        <v>2</v>
      </c>
      <c r="GC4" s="75">
        <v>2</v>
      </c>
      <c r="GD4" s="75"/>
      <c r="GE4" s="75">
        <v>10</v>
      </c>
      <c r="GF4" s="75">
        <v>10</v>
      </c>
      <c r="GG4" s="75">
        <v>10</v>
      </c>
      <c r="GH4" s="75">
        <v>8</v>
      </c>
      <c r="GI4" s="75">
        <v>8</v>
      </c>
      <c r="GJ4" s="75">
        <v>10</v>
      </c>
      <c r="GK4" s="75"/>
      <c r="GL4" s="75">
        <v>10</v>
      </c>
      <c r="GM4" s="75">
        <v>10</v>
      </c>
      <c r="GN4" s="75">
        <v>10</v>
      </c>
      <c r="GO4" s="75">
        <v>10</v>
      </c>
      <c r="GP4" s="75">
        <v>2</v>
      </c>
      <c r="GQ4" s="75">
        <v>6</v>
      </c>
      <c r="GR4" s="75"/>
      <c r="GS4" s="75">
        <v>20</v>
      </c>
      <c r="GT4" s="75">
        <v>20</v>
      </c>
      <c r="GU4" s="75">
        <v>21</v>
      </c>
      <c r="GV4" s="75">
        <v>21</v>
      </c>
      <c r="GW4" s="75">
        <v>20</v>
      </c>
      <c r="GX4" s="75">
        <v>20</v>
      </c>
      <c r="GY4" s="75"/>
      <c r="GZ4" s="75">
        <v>20</v>
      </c>
      <c r="HA4" s="75">
        <v>20</v>
      </c>
      <c r="HB4" s="75">
        <v>11</v>
      </c>
      <c r="HC4" s="75">
        <v>8</v>
      </c>
      <c r="HD4" s="75">
        <v>8</v>
      </c>
      <c r="HE4" s="75">
        <v>41</v>
      </c>
      <c r="HF4" s="75"/>
      <c r="HG4" s="75">
        <v>41</v>
      </c>
      <c r="HH4" s="75">
        <v>36</v>
      </c>
      <c r="HI4" s="75">
        <v>36</v>
      </c>
      <c r="HJ4" s="75">
        <v>36</v>
      </c>
      <c r="HK4" s="75">
        <v>36</v>
      </c>
      <c r="HL4" s="75">
        <v>36</v>
      </c>
      <c r="HM4" s="75"/>
      <c r="HN4" s="75">
        <v>36</v>
      </c>
      <c r="HO4" s="75">
        <v>18</v>
      </c>
      <c r="HP4" s="75">
        <v>18</v>
      </c>
      <c r="HQ4" s="75">
        <v>21</v>
      </c>
      <c r="HR4" s="75">
        <v>22</v>
      </c>
      <c r="HS4" s="75">
        <v>37</v>
      </c>
      <c r="HT4" s="75"/>
      <c r="HU4" s="75">
        <v>26</v>
      </c>
      <c r="HV4" s="75">
        <v>26</v>
      </c>
      <c r="HW4" s="75">
        <v>26</v>
      </c>
      <c r="HX4" s="75">
        <v>26</v>
      </c>
      <c r="HY4" s="75">
        <v>27</v>
      </c>
      <c r="HZ4" s="75">
        <v>20</v>
      </c>
      <c r="IA4" s="75"/>
      <c r="IB4" s="75">
        <v>19</v>
      </c>
      <c r="IC4" s="75">
        <v>5</v>
      </c>
      <c r="ID4" s="75">
        <v>33</v>
      </c>
      <c r="IE4" s="75">
        <v>45</v>
      </c>
      <c r="IF4" s="75">
        <v>41</v>
      </c>
      <c r="IG4" s="75">
        <v>68</v>
      </c>
      <c r="IH4" s="75"/>
      <c r="II4" s="75">
        <v>68</v>
      </c>
      <c r="IJ4" s="75">
        <v>68</v>
      </c>
      <c r="IK4" s="75">
        <v>68</v>
      </c>
      <c r="IL4" s="75">
        <v>68</v>
      </c>
      <c r="IM4" s="75">
        <v>50</v>
      </c>
      <c r="IN4" s="75">
        <v>50</v>
      </c>
      <c r="IO4" s="75"/>
      <c r="IP4" s="75">
        <v>61</v>
      </c>
      <c r="IQ4" s="75">
        <v>33</v>
      </c>
      <c r="IR4" s="75">
        <v>44</v>
      </c>
      <c r="IS4" s="75">
        <v>22</v>
      </c>
      <c r="IT4" s="75">
        <v>23</v>
      </c>
      <c r="IU4" s="75">
        <v>31</v>
      </c>
      <c r="IV4" s="75"/>
      <c r="IW4" s="75">
        <v>31</v>
      </c>
      <c r="IX4" s="75">
        <v>31</v>
      </c>
      <c r="IY4" s="75">
        <v>24</v>
      </c>
      <c r="IZ4" s="75">
        <v>24</v>
      </c>
      <c r="JA4" s="75">
        <v>13</v>
      </c>
      <c r="JB4" s="75">
        <v>43</v>
      </c>
      <c r="JC4" s="75"/>
      <c r="JD4" s="75">
        <v>71</v>
      </c>
      <c r="JE4" s="75">
        <v>67</v>
      </c>
      <c r="JF4" s="75">
        <v>67</v>
      </c>
      <c r="JG4" s="75">
        <v>67</v>
      </c>
      <c r="JH4" s="75">
        <v>67</v>
      </c>
      <c r="JI4" s="75">
        <v>67</v>
      </c>
      <c r="JJ4" s="75"/>
      <c r="JK4" s="75">
        <v>68</v>
      </c>
      <c r="JL4" s="75">
        <v>45</v>
      </c>
      <c r="JM4" s="75">
        <v>17</v>
      </c>
      <c r="JN4" s="75">
        <v>46</v>
      </c>
      <c r="JO4" s="75">
        <v>54</v>
      </c>
      <c r="JP4" s="75">
        <v>63</v>
      </c>
      <c r="JQ4" s="75"/>
      <c r="JR4" s="75"/>
      <c r="JS4" s="75"/>
      <c r="JT4" s="75"/>
      <c r="JU4" s="75"/>
      <c r="JV4" s="75">
        <v>65</v>
      </c>
      <c r="JW4" s="75">
        <v>64</v>
      </c>
      <c r="JX4" s="75"/>
      <c r="JY4" s="75">
        <v>64</v>
      </c>
      <c r="JZ4" s="75">
        <v>64</v>
      </c>
      <c r="KA4" s="75">
        <v>64</v>
      </c>
      <c r="KB4" s="75">
        <v>44</v>
      </c>
      <c r="KC4" s="75">
        <v>43</v>
      </c>
      <c r="KD4" s="75">
        <v>43</v>
      </c>
      <c r="KE4" s="75"/>
      <c r="KF4" s="75">
        <v>74</v>
      </c>
      <c r="KG4" s="75">
        <v>102</v>
      </c>
      <c r="KH4" s="75">
        <v>102</v>
      </c>
      <c r="KI4" s="75">
        <v>102</v>
      </c>
      <c r="KJ4" s="75">
        <v>90</v>
      </c>
      <c r="KK4" s="75">
        <v>84</v>
      </c>
      <c r="KL4" s="75"/>
      <c r="KM4" s="75">
        <v>77</v>
      </c>
      <c r="KN4" s="75">
        <v>68</v>
      </c>
      <c r="KO4" s="75">
        <v>52</v>
      </c>
      <c r="KP4" s="75">
        <v>24</v>
      </c>
      <c r="KQ4" s="75">
        <v>31</v>
      </c>
      <c r="KR4" s="75">
        <v>32</v>
      </c>
      <c r="KS4" s="75"/>
      <c r="KT4" s="75">
        <v>29</v>
      </c>
      <c r="KU4" s="75">
        <v>20</v>
      </c>
      <c r="KV4" s="75">
        <v>18</v>
      </c>
      <c r="KW4" s="75">
        <v>17</v>
      </c>
      <c r="KX4" s="75">
        <v>17</v>
      </c>
      <c r="KY4" s="75">
        <v>17</v>
      </c>
      <c r="KZ4" s="75"/>
      <c r="LA4" s="75">
        <v>5</v>
      </c>
      <c r="LB4" s="75">
        <v>6</v>
      </c>
      <c r="LC4" s="75">
        <v>5</v>
      </c>
      <c r="LD4" s="75">
        <v>33</v>
      </c>
      <c r="LE4" s="75">
        <v>33</v>
      </c>
      <c r="LF4" s="75">
        <v>32</v>
      </c>
      <c r="LG4" s="75"/>
      <c r="LH4" s="75">
        <v>32</v>
      </c>
      <c r="LI4" s="75">
        <v>32</v>
      </c>
      <c r="LJ4" s="75">
        <v>34</v>
      </c>
      <c r="LK4" s="75">
        <v>34</v>
      </c>
      <c r="LL4" s="75">
        <v>33</v>
      </c>
      <c r="LM4" s="75">
        <v>3</v>
      </c>
      <c r="LN4" s="75"/>
      <c r="LO4" s="75">
        <v>4</v>
      </c>
      <c r="LP4" s="75">
        <v>6</v>
      </c>
      <c r="LQ4" s="75">
        <v>6</v>
      </c>
      <c r="LR4" s="75">
        <v>7</v>
      </c>
      <c r="LS4" s="75">
        <v>10</v>
      </c>
      <c r="LT4" s="75">
        <v>9</v>
      </c>
      <c r="LU4" s="75"/>
      <c r="LV4" s="75">
        <v>7</v>
      </c>
      <c r="LW4" s="75">
        <v>7</v>
      </c>
      <c r="LX4" s="75">
        <v>4</v>
      </c>
      <c r="LY4" s="75">
        <v>4</v>
      </c>
      <c r="LZ4" s="75">
        <v>3</v>
      </c>
      <c r="MA4" s="75">
        <v>5</v>
      </c>
      <c r="MB4" s="75"/>
      <c r="MC4" s="75">
        <v>7</v>
      </c>
      <c r="MD4" s="75">
        <v>8</v>
      </c>
      <c r="ME4" s="75">
        <v>7</v>
      </c>
      <c r="MF4" s="75">
        <v>7</v>
      </c>
      <c r="MG4" s="75"/>
      <c r="MH4" s="75"/>
      <c r="MI4" s="75"/>
      <c r="MJ4" s="75"/>
      <c r="MK4" s="75"/>
      <c r="ML4" s="75">
        <v>7</v>
      </c>
      <c r="MM4" s="75">
        <v>7</v>
      </c>
      <c r="MN4" s="75">
        <v>8</v>
      </c>
      <c r="MO4" s="75">
        <v>8</v>
      </c>
      <c r="MP4" s="75"/>
      <c r="MQ4" s="75">
        <v>6</v>
      </c>
      <c r="MR4" s="75">
        <v>9</v>
      </c>
      <c r="MS4" s="75">
        <v>9</v>
      </c>
      <c r="MT4" s="75">
        <v>7</v>
      </c>
      <c r="MU4" s="75">
        <v>5</v>
      </c>
      <c r="MV4" s="75">
        <v>14</v>
      </c>
      <c r="MW4" s="75"/>
      <c r="MX4" s="75">
        <v>14</v>
      </c>
      <c r="MY4" s="75">
        <v>27</v>
      </c>
      <c r="MZ4" s="75">
        <v>31</v>
      </c>
      <c r="NA4" s="75">
        <v>34</v>
      </c>
      <c r="NB4" s="75">
        <v>32</v>
      </c>
      <c r="NC4" s="75">
        <v>30</v>
      </c>
      <c r="ND4" s="75"/>
      <c r="NE4" s="75">
        <v>16</v>
      </c>
      <c r="NF4" s="75">
        <v>16</v>
      </c>
      <c r="NG4" s="75">
        <v>10</v>
      </c>
      <c r="NH4" s="75">
        <v>6</v>
      </c>
      <c r="NI4" s="75">
        <v>6</v>
      </c>
      <c r="NJ4" s="75">
        <v>3</v>
      </c>
      <c r="NK4" s="75"/>
      <c r="NL4" s="75">
        <v>3</v>
      </c>
      <c r="NM4" s="75"/>
      <c r="NN4" s="75"/>
      <c r="NO4" s="75"/>
      <c r="NP4" s="75"/>
      <c r="NQ4" s="75"/>
      <c r="NR4" s="75"/>
      <c r="NS4" s="75"/>
      <c r="NT4" s="75">
        <v>4</v>
      </c>
      <c r="NU4" s="75">
        <v>4</v>
      </c>
      <c r="NV4" s="75">
        <v>4</v>
      </c>
      <c r="NW4" s="75">
        <v>4</v>
      </c>
      <c r="NX4" s="75">
        <v>4</v>
      </c>
      <c r="NY4" s="75"/>
      <c r="NZ4" s="75">
        <v>4</v>
      </c>
      <c r="OA4" s="75">
        <v>4</v>
      </c>
      <c r="OB4" s="75">
        <v>4</v>
      </c>
      <c r="OC4" s="75">
        <v>3</v>
      </c>
      <c r="OD4" s="75">
        <v>7</v>
      </c>
      <c r="OE4" s="75">
        <v>9</v>
      </c>
      <c r="OF4" s="75"/>
      <c r="OG4" s="75">
        <v>10</v>
      </c>
      <c r="OH4" s="75">
        <v>10</v>
      </c>
      <c r="OI4" s="75">
        <v>10</v>
      </c>
      <c r="OJ4" s="75">
        <v>10</v>
      </c>
      <c r="OK4" s="75">
        <v>10</v>
      </c>
      <c r="OL4" s="75">
        <v>10</v>
      </c>
      <c r="OM4" s="75"/>
      <c r="ON4" s="75">
        <v>10</v>
      </c>
      <c r="OO4" s="75">
        <v>7</v>
      </c>
      <c r="OP4" s="75">
        <v>3</v>
      </c>
      <c r="OQ4" s="75">
        <v>1</v>
      </c>
      <c r="OR4" s="75"/>
      <c r="OS4" s="75"/>
      <c r="OT4" s="75"/>
      <c r="OU4" s="75"/>
      <c r="OV4" s="75"/>
      <c r="OW4" s="75"/>
      <c r="OX4" s="75"/>
      <c r="OY4" s="75"/>
      <c r="OZ4" s="75"/>
      <c r="PA4" s="75"/>
      <c r="PB4" s="75">
        <v>2</v>
      </c>
      <c r="PC4" s="75">
        <v>2</v>
      </c>
      <c r="PD4" s="75">
        <v>2</v>
      </c>
      <c r="PE4" s="75">
        <v>2</v>
      </c>
      <c r="PF4" s="75">
        <v>2</v>
      </c>
      <c r="PG4" s="75">
        <v>2</v>
      </c>
      <c r="PH4" s="75"/>
      <c r="PI4" s="75">
        <v>2</v>
      </c>
      <c r="PJ4" s="75">
        <v>2</v>
      </c>
      <c r="PK4" s="75">
        <v>2</v>
      </c>
      <c r="PL4" s="75">
        <v>2</v>
      </c>
      <c r="PM4" s="75"/>
      <c r="PN4" s="75"/>
      <c r="PO4" s="75"/>
      <c r="PP4" s="75"/>
      <c r="PQ4" s="75"/>
      <c r="PR4" s="75"/>
      <c r="PS4" s="75"/>
      <c r="PT4" s="75"/>
      <c r="PU4" s="75"/>
      <c r="PV4" s="75"/>
      <c r="PW4" s="75"/>
      <c r="PX4" s="75"/>
      <c r="PY4" s="75"/>
      <c r="PZ4" s="75"/>
      <c r="QA4" s="75"/>
      <c r="QB4" s="75"/>
      <c r="QC4" s="75"/>
      <c r="QD4" s="75"/>
      <c r="QE4" s="75"/>
      <c r="QF4" s="75"/>
      <c r="QG4" s="75"/>
      <c r="QH4" s="75"/>
      <c r="QI4" s="75"/>
      <c r="QJ4" s="75"/>
      <c r="QK4" s="75"/>
      <c r="QL4" s="75"/>
      <c r="QM4" s="75"/>
      <c r="QN4" s="75"/>
      <c r="QO4" s="75"/>
      <c r="QP4" s="75"/>
      <c r="QQ4" s="75"/>
      <c r="QR4" s="75"/>
      <c r="QS4" s="75"/>
      <c r="QT4" s="75"/>
      <c r="QU4" s="75"/>
      <c r="QV4" s="75"/>
      <c r="QW4" s="75"/>
      <c r="QX4" s="75"/>
      <c r="QY4" s="75"/>
      <c r="QZ4" s="75"/>
      <c r="RA4" s="75"/>
      <c r="RB4" s="75"/>
      <c r="RC4" s="75"/>
      <c r="RD4" s="75"/>
      <c r="RE4" s="75"/>
      <c r="RF4" s="75"/>
      <c r="RG4" s="75"/>
      <c r="RH4" s="75"/>
      <c r="RI4" s="75"/>
      <c r="RJ4" s="75"/>
      <c r="RK4" s="75"/>
      <c r="RL4" s="75"/>
      <c r="RM4" s="75"/>
      <c r="RN4" s="75"/>
      <c r="RO4" s="75"/>
      <c r="RP4" s="75"/>
      <c r="RQ4" s="75"/>
      <c r="RR4" s="75"/>
      <c r="RS4" s="75"/>
      <c r="RT4" s="75"/>
      <c r="RU4" s="75"/>
      <c r="RV4" s="75"/>
      <c r="RW4" s="75"/>
      <c r="RX4" s="75"/>
      <c r="RY4" s="75"/>
      <c r="RZ4" s="75"/>
      <c r="SA4" s="75"/>
      <c r="SB4" s="75"/>
      <c r="SC4" s="75"/>
      <c r="SD4" s="75"/>
      <c r="SE4" s="75"/>
      <c r="SF4" s="75"/>
      <c r="SG4" s="75"/>
      <c r="SH4" s="75"/>
      <c r="SI4" s="75"/>
      <c r="SJ4" s="75"/>
      <c r="SK4" s="75"/>
      <c r="SL4" s="75"/>
      <c r="SM4" s="75"/>
      <c r="SN4" s="75"/>
      <c r="SO4" s="75"/>
      <c r="SP4" s="75"/>
      <c r="SQ4" s="75"/>
      <c r="SR4" s="75"/>
      <c r="SS4" s="75"/>
      <c r="ST4" s="75"/>
      <c r="SU4" s="75"/>
      <c r="SV4" s="75"/>
      <c r="SW4" s="75"/>
      <c r="SX4" s="75"/>
      <c r="SY4" s="75"/>
      <c r="SZ4" s="75"/>
      <c r="TA4" s="75"/>
      <c r="TB4" s="75"/>
      <c r="TC4" s="75"/>
      <c r="TD4" s="75"/>
      <c r="TE4" s="75"/>
      <c r="TF4" s="75"/>
      <c r="TG4" s="75"/>
      <c r="TH4" s="75"/>
      <c r="TI4" s="75"/>
      <c r="TJ4" s="75"/>
      <c r="TK4" s="75">
        <v>1</v>
      </c>
      <c r="TL4" s="75">
        <v>1</v>
      </c>
      <c r="TM4" s="75">
        <v>1</v>
      </c>
      <c r="TN4" s="75">
        <v>1</v>
      </c>
      <c r="TO4" s="75">
        <v>1</v>
      </c>
      <c r="TP4" s="75"/>
      <c r="TQ4" s="75">
        <v>1</v>
      </c>
      <c r="TR4" s="75">
        <v>1</v>
      </c>
      <c r="TS4" s="75">
        <v>1</v>
      </c>
      <c r="TT4" s="75">
        <v>1</v>
      </c>
      <c r="TU4" s="75">
        <v>1</v>
      </c>
      <c r="TV4" s="75">
        <v>1</v>
      </c>
      <c r="TW4" s="75"/>
      <c r="TX4" s="75">
        <v>1</v>
      </c>
      <c r="TY4" s="75">
        <v>0</v>
      </c>
      <c r="TZ4" s="75"/>
      <c r="UA4" s="75"/>
      <c r="UB4" s="75"/>
      <c r="UC4" s="75"/>
      <c r="UD4" s="75"/>
      <c r="UE4" s="75"/>
      <c r="UF4" s="75"/>
      <c r="UG4" s="75"/>
      <c r="UH4" s="75"/>
      <c r="UI4" s="75"/>
      <c r="UJ4" s="75"/>
      <c r="UK4" s="75"/>
      <c r="UL4" s="75"/>
      <c r="UM4" s="75"/>
      <c r="UN4" s="75"/>
      <c r="UO4" s="75"/>
      <c r="UP4" s="75"/>
      <c r="UQ4" s="75"/>
      <c r="UR4" s="75"/>
      <c r="US4" s="75"/>
      <c r="UT4" s="75"/>
      <c r="UU4" s="75"/>
      <c r="UV4" s="75"/>
      <c r="UW4" s="75"/>
      <c r="UX4" s="75"/>
      <c r="UY4" s="75"/>
      <c r="UZ4" s="75"/>
      <c r="VA4" s="75"/>
      <c r="VB4" s="75"/>
      <c r="VC4" s="75"/>
      <c r="VD4" s="75"/>
      <c r="VE4" s="75"/>
      <c r="VF4" s="75"/>
      <c r="VG4" s="75"/>
      <c r="VH4" s="75"/>
      <c r="VI4" s="75"/>
      <c r="VJ4" s="75"/>
      <c r="VK4" s="75"/>
      <c r="VL4" s="75"/>
      <c r="VM4" s="75"/>
      <c r="VN4" s="75"/>
      <c r="VO4" s="75"/>
      <c r="VP4" s="75"/>
      <c r="VQ4" s="75"/>
      <c r="VR4" s="75"/>
      <c r="VS4" s="75"/>
      <c r="VT4" s="75"/>
      <c r="VU4" s="75"/>
      <c r="VV4" s="75"/>
      <c r="VW4" s="75"/>
      <c r="VX4" s="75"/>
      <c r="VY4" s="75"/>
      <c r="VZ4" s="75"/>
      <c r="WA4" s="75"/>
      <c r="WB4" s="75"/>
      <c r="WC4" s="75"/>
      <c r="WD4" s="75"/>
      <c r="WE4" s="75"/>
      <c r="WF4" s="75"/>
      <c r="WG4" s="75"/>
      <c r="WH4" s="75"/>
      <c r="WI4" s="75"/>
      <c r="WJ4" s="75"/>
      <c r="WK4" s="75"/>
      <c r="WL4" s="75"/>
      <c r="WM4" s="75"/>
      <c r="WN4" s="75"/>
      <c r="WO4" s="75"/>
      <c r="WP4" s="75"/>
      <c r="WQ4" s="75"/>
      <c r="WR4" s="75"/>
      <c r="WS4" s="75"/>
      <c r="WT4" s="75"/>
      <c r="WU4" s="75"/>
      <c r="WV4" s="75"/>
      <c r="WW4" s="75"/>
      <c r="WX4" s="75"/>
      <c r="WY4" s="75"/>
      <c r="WZ4" s="75"/>
      <c r="XA4" s="75"/>
      <c r="XB4" s="75"/>
      <c r="XC4" s="75"/>
      <c r="XD4" s="75"/>
      <c r="XE4" s="75"/>
      <c r="XF4" s="75"/>
      <c r="XG4" s="75"/>
      <c r="XH4" s="75"/>
      <c r="XI4" s="75"/>
      <c r="XJ4" s="75"/>
      <c r="XK4" s="75"/>
      <c r="XL4" s="75"/>
      <c r="XM4" s="75"/>
      <c r="XN4" s="75"/>
      <c r="XO4" s="75"/>
      <c r="XP4" s="75"/>
      <c r="XQ4" s="75"/>
      <c r="XR4" s="75"/>
      <c r="XS4" s="75"/>
      <c r="XT4" s="75"/>
      <c r="XU4" s="75"/>
      <c r="XV4" s="75"/>
      <c r="XW4" s="75"/>
      <c r="XX4" s="75"/>
      <c r="XY4" s="75"/>
      <c r="XZ4" s="75"/>
      <c r="YA4" s="75"/>
      <c r="YB4" s="75"/>
      <c r="YC4" s="75"/>
      <c r="YD4" s="75"/>
      <c r="YE4" s="75"/>
      <c r="YF4" s="75"/>
      <c r="YG4" s="75"/>
      <c r="YH4" s="75"/>
      <c r="YI4" s="75"/>
      <c r="YJ4" s="75"/>
      <c r="YK4" s="75"/>
      <c r="YL4" s="75"/>
      <c r="YM4" s="75"/>
      <c r="YN4" s="75"/>
      <c r="YO4" s="75"/>
      <c r="YP4" s="75"/>
      <c r="YQ4" s="75"/>
      <c r="YR4" s="75"/>
      <c r="YS4" s="75"/>
      <c r="YT4" s="75"/>
      <c r="YU4" s="75"/>
      <c r="YV4" s="75"/>
      <c r="YW4" s="75"/>
      <c r="YX4" s="75"/>
      <c r="YY4" s="75"/>
      <c r="YZ4" s="75"/>
      <c r="ZA4" s="75"/>
      <c r="ZB4" s="75"/>
      <c r="ZC4" s="75"/>
      <c r="ZD4" s="75"/>
      <c r="ZE4" s="75"/>
      <c r="ZF4" s="75"/>
      <c r="ZG4" s="75"/>
      <c r="ZH4" s="75"/>
      <c r="ZI4" s="75"/>
      <c r="ZJ4" s="75"/>
      <c r="ZK4" s="75"/>
      <c r="ZL4" s="75"/>
      <c r="ZM4" s="75"/>
      <c r="ZN4" s="75"/>
      <c r="ZO4" s="75"/>
      <c r="ZP4" s="75"/>
      <c r="ZQ4" s="75"/>
      <c r="ZR4" s="75"/>
      <c r="ZS4" s="75"/>
      <c r="ZT4" s="75"/>
      <c r="ZU4" s="75"/>
      <c r="ZV4" s="75"/>
      <c r="ZW4" s="75"/>
      <c r="ZX4" s="75"/>
      <c r="ZY4" s="75"/>
      <c r="ZZ4" s="75"/>
      <c r="AAA4" s="75"/>
      <c r="AAB4" s="75"/>
      <c r="AAC4" s="75"/>
      <c r="AAD4" s="75"/>
      <c r="AAE4" s="75"/>
      <c r="AAF4" s="75"/>
      <c r="AAG4" s="75"/>
      <c r="AAH4" s="75"/>
      <c r="AAI4" s="75"/>
      <c r="AAJ4" s="75"/>
      <c r="AAK4" s="75"/>
      <c r="AAL4" s="75"/>
      <c r="AAM4" s="75"/>
      <c r="AAN4" s="75"/>
      <c r="AAO4" s="75"/>
      <c r="AAP4" s="75"/>
      <c r="AAQ4" s="75"/>
      <c r="AAR4" s="75"/>
      <c r="AAS4" s="75"/>
      <c r="AAT4" s="75"/>
      <c r="AAU4" s="75"/>
      <c r="AAV4" s="75"/>
      <c r="AAW4" s="75"/>
      <c r="AAX4" s="75"/>
      <c r="AAY4" s="75"/>
      <c r="AAZ4" s="75"/>
      <c r="ABA4" s="75"/>
      <c r="ABB4" s="75"/>
      <c r="ABC4" s="75"/>
    </row>
    <row r="5" spans="1:731">
      <c r="A5" s="75" t="s">
        <v>43</v>
      </c>
      <c r="B5" s="75"/>
      <c r="C5" s="75"/>
      <c r="D5" s="75"/>
      <c r="E5" s="75"/>
      <c r="F5" s="75"/>
      <c r="G5" s="75"/>
      <c r="H5" s="75"/>
      <c r="I5" s="75"/>
      <c r="J5" s="75"/>
      <c r="K5" s="75">
        <v>2</v>
      </c>
      <c r="L5" s="75">
        <v>2</v>
      </c>
      <c r="M5" s="75">
        <v>2</v>
      </c>
      <c r="N5" s="75">
        <v>2</v>
      </c>
      <c r="O5" s="75">
        <v>2</v>
      </c>
      <c r="P5" s="75">
        <v>2</v>
      </c>
      <c r="Q5" s="75">
        <v>2</v>
      </c>
      <c r="R5" s="75">
        <v>2</v>
      </c>
      <c r="S5" s="75">
        <v>2</v>
      </c>
      <c r="T5" s="75">
        <v>2</v>
      </c>
      <c r="U5" s="75">
        <v>2</v>
      </c>
      <c r="V5" s="75">
        <v>2</v>
      </c>
      <c r="W5" s="75">
        <v>2</v>
      </c>
      <c r="X5" s="75">
        <v>2</v>
      </c>
      <c r="Y5" s="75">
        <v>2</v>
      </c>
      <c r="Z5" s="75">
        <v>2</v>
      </c>
      <c r="AA5" s="75">
        <v>2</v>
      </c>
      <c r="AB5" s="75">
        <v>2</v>
      </c>
      <c r="AC5" s="75">
        <v>2</v>
      </c>
      <c r="AD5" s="75">
        <v>2</v>
      </c>
      <c r="AE5" s="75">
        <v>2</v>
      </c>
      <c r="AF5" s="75">
        <v>2</v>
      </c>
      <c r="AG5" s="75">
        <v>2</v>
      </c>
      <c r="AH5" s="75">
        <v>2</v>
      </c>
      <c r="AI5" s="75">
        <v>2</v>
      </c>
      <c r="AJ5" s="75">
        <v>2</v>
      </c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5"/>
      <c r="BL5" s="75"/>
      <c r="BM5" s="75"/>
      <c r="BN5" s="75"/>
      <c r="BO5" s="75"/>
      <c r="BP5" s="75"/>
      <c r="BQ5" s="75"/>
      <c r="BR5" s="75"/>
      <c r="BS5" s="75"/>
      <c r="BT5" s="75"/>
      <c r="BU5" s="75"/>
      <c r="BV5" s="75"/>
      <c r="BW5" s="75"/>
      <c r="BX5" s="75"/>
      <c r="BY5" s="75"/>
      <c r="BZ5" s="75"/>
      <c r="CA5" s="75"/>
      <c r="CB5" s="75">
        <v>14</v>
      </c>
      <c r="CC5" s="75"/>
      <c r="CD5" s="75">
        <v>14</v>
      </c>
      <c r="CE5" s="75">
        <v>14</v>
      </c>
      <c r="CF5" s="75">
        <v>14</v>
      </c>
      <c r="CG5" s="75">
        <v>14</v>
      </c>
      <c r="CH5" s="75"/>
      <c r="CI5" s="75"/>
      <c r="CJ5" s="75"/>
      <c r="CK5" s="75"/>
      <c r="CL5" s="75"/>
      <c r="CM5" s="75"/>
      <c r="CN5" s="75"/>
      <c r="CO5" s="75"/>
      <c r="CP5" s="75"/>
      <c r="CQ5" s="75"/>
      <c r="CR5" s="75"/>
      <c r="CS5" s="75">
        <v>1</v>
      </c>
      <c r="CT5" s="75">
        <v>1</v>
      </c>
      <c r="CU5" s="75">
        <v>1</v>
      </c>
      <c r="CV5" s="75">
        <v>1</v>
      </c>
      <c r="CW5" s="75">
        <v>1</v>
      </c>
      <c r="CX5" s="75"/>
      <c r="CY5" s="75">
        <v>1</v>
      </c>
      <c r="CZ5" s="75">
        <v>1</v>
      </c>
      <c r="DA5" s="75">
        <v>1</v>
      </c>
      <c r="DB5" s="75"/>
      <c r="DC5" s="75"/>
      <c r="DD5" s="75"/>
      <c r="DE5" s="75"/>
      <c r="DF5" s="75"/>
      <c r="DG5" s="75"/>
      <c r="DH5" s="75"/>
      <c r="DI5" s="75">
        <v>2</v>
      </c>
      <c r="DJ5" s="75">
        <v>2</v>
      </c>
      <c r="DK5" s="75">
        <v>2</v>
      </c>
      <c r="DL5" s="75"/>
      <c r="DM5" s="75">
        <v>2</v>
      </c>
      <c r="DN5" s="75">
        <v>2</v>
      </c>
      <c r="DO5" s="75">
        <v>8</v>
      </c>
      <c r="DP5" s="75"/>
      <c r="DQ5" s="75"/>
      <c r="DR5" s="75"/>
      <c r="DS5" s="75"/>
      <c r="DT5" s="75"/>
      <c r="DU5" s="75"/>
      <c r="DV5" s="75">
        <v>10</v>
      </c>
      <c r="DW5" s="75">
        <v>11</v>
      </c>
      <c r="DX5" s="75">
        <v>11</v>
      </c>
      <c r="DY5" s="75">
        <v>19</v>
      </c>
      <c r="DZ5" s="75"/>
      <c r="EA5" s="75">
        <v>11</v>
      </c>
      <c r="EB5" s="75">
        <v>17</v>
      </c>
      <c r="EC5" s="75">
        <v>27</v>
      </c>
      <c r="ED5" s="75">
        <v>27</v>
      </c>
      <c r="EE5" s="75">
        <v>17</v>
      </c>
      <c r="EF5" s="75">
        <v>15</v>
      </c>
      <c r="EG5" s="75"/>
      <c r="EH5" s="75">
        <v>15</v>
      </c>
      <c r="EI5" s="75">
        <v>10</v>
      </c>
      <c r="EJ5" s="75">
        <v>10</v>
      </c>
      <c r="EK5" s="75">
        <v>15</v>
      </c>
      <c r="EL5" s="75">
        <v>15</v>
      </c>
      <c r="EM5" s="75">
        <v>15</v>
      </c>
      <c r="EN5" s="75"/>
      <c r="EO5" s="75">
        <v>5</v>
      </c>
      <c r="EP5" s="75">
        <v>5</v>
      </c>
      <c r="EQ5" s="75">
        <v>5</v>
      </c>
      <c r="ER5" s="75"/>
      <c r="ES5" s="75">
        <v>10</v>
      </c>
      <c r="ET5" s="75">
        <v>8</v>
      </c>
      <c r="EU5" s="75"/>
      <c r="EV5" s="75">
        <v>10</v>
      </c>
      <c r="EW5" s="75">
        <v>10</v>
      </c>
      <c r="EX5" s="75"/>
      <c r="EY5" s="75">
        <v>10</v>
      </c>
      <c r="EZ5" s="75">
        <v>10</v>
      </c>
      <c r="FA5" s="75">
        <v>2</v>
      </c>
      <c r="FB5" s="75"/>
      <c r="FC5" s="75">
        <v>2</v>
      </c>
      <c r="FD5" s="75">
        <v>2</v>
      </c>
      <c r="FE5" s="75">
        <v>2</v>
      </c>
      <c r="FF5" s="75">
        <v>2</v>
      </c>
      <c r="FG5" s="75">
        <v>2</v>
      </c>
      <c r="FH5" s="75">
        <v>17</v>
      </c>
      <c r="FI5" s="75"/>
      <c r="FJ5" s="75">
        <v>2</v>
      </c>
      <c r="FK5" s="75">
        <v>2</v>
      </c>
      <c r="FL5" s="75">
        <v>2</v>
      </c>
      <c r="FM5" s="75">
        <v>17</v>
      </c>
      <c r="FN5" s="75">
        <v>10</v>
      </c>
      <c r="FO5" s="75">
        <v>10</v>
      </c>
      <c r="FP5" s="75"/>
      <c r="FQ5" s="75"/>
      <c r="FR5" s="75"/>
      <c r="FS5" s="75"/>
      <c r="FT5" s="75"/>
      <c r="FU5" s="75"/>
      <c r="FV5" s="75">
        <v>10</v>
      </c>
      <c r="FW5" s="75"/>
      <c r="FX5" s="75">
        <v>20</v>
      </c>
      <c r="FY5" s="75"/>
      <c r="FZ5" s="75"/>
      <c r="GA5" s="75"/>
      <c r="GB5" s="75"/>
      <c r="GC5" s="75"/>
      <c r="GD5" s="75"/>
      <c r="GE5" s="75">
        <v>10</v>
      </c>
      <c r="GF5" s="75">
        <v>10</v>
      </c>
      <c r="GG5" s="75">
        <v>2</v>
      </c>
      <c r="GH5" s="75">
        <v>2</v>
      </c>
      <c r="GI5" s="75">
        <v>2</v>
      </c>
      <c r="GJ5" s="75">
        <v>6</v>
      </c>
      <c r="GK5" s="75"/>
      <c r="GL5" s="75">
        <v>6</v>
      </c>
      <c r="GM5" s="75">
        <v>10</v>
      </c>
      <c r="GN5" s="75">
        <v>8</v>
      </c>
      <c r="GO5" s="75">
        <v>4</v>
      </c>
      <c r="GP5" s="75">
        <v>4</v>
      </c>
      <c r="GQ5" s="75">
        <v>10</v>
      </c>
      <c r="GR5" s="75"/>
      <c r="GS5" s="75"/>
      <c r="GT5" s="75">
        <v>2</v>
      </c>
      <c r="GU5" s="75">
        <v>10</v>
      </c>
      <c r="GV5" s="75"/>
      <c r="GW5" s="75">
        <v>2</v>
      </c>
      <c r="GX5" s="75"/>
      <c r="GY5" s="75"/>
      <c r="GZ5" s="75">
        <v>10</v>
      </c>
      <c r="HA5" s="75">
        <v>10</v>
      </c>
      <c r="HB5" s="75">
        <v>20</v>
      </c>
      <c r="HC5" s="75">
        <v>20</v>
      </c>
      <c r="HD5" s="75">
        <v>10</v>
      </c>
      <c r="HE5" s="75"/>
      <c r="HF5" s="75"/>
      <c r="HG5" s="75">
        <v>20</v>
      </c>
      <c r="HH5" s="75">
        <v>10</v>
      </c>
      <c r="HI5" s="75">
        <v>10</v>
      </c>
      <c r="HJ5" s="75"/>
      <c r="HK5" s="75"/>
      <c r="HL5" s="75"/>
      <c r="HM5" s="75"/>
      <c r="HN5" s="75"/>
      <c r="HO5" s="75"/>
      <c r="HP5" s="75">
        <v>10</v>
      </c>
      <c r="HQ5" s="75"/>
      <c r="HR5" s="75">
        <v>10</v>
      </c>
      <c r="HS5" s="75"/>
      <c r="HT5" s="75"/>
      <c r="HU5" s="75">
        <v>2</v>
      </c>
      <c r="HV5" s="75">
        <v>10</v>
      </c>
      <c r="HW5" s="75">
        <v>8</v>
      </c>
      <c r="HX5" s="75">
        <v>26</v>
      </c>
      <c r="HY5" s="75">
        <v>26</v>
      </c>
      <c r="HZ5" s="75">
        <v>36</v>
      </c>
      <c r="IA5" s="75"/>
      <c r="IB5" s="75">
        <v>29</v>
      </c>
      <c r="IC5" s="75">
        <v>10</v>
      </c>
      <c r="ID5" s="75">
        <v>10</v>
      </c>
      <c r="IE5" s="75">
        <v>10</v>
      </c>
      <c r="IF5" s="75">
        <v>10</v>
      </c>
      <c r="IG5" s="75">
        <v>11</v>
      </c>
      <c r="IH5" s="75"/>
      <c r="II5" s="75"/>
      <c r="IJ5" s="75"/>
      <c r="IK5" s="75"/>
      <c r="IL5" s="75"/>
      <c r="IM5" s="75"/>
      <c r="IN5" s="75">
        <v>10</v>
      </c>
      <c r="IO5" s="75"/>
      <c r="IP5" s="75"/>
      <c r="IQ5" s="75">
        <v>10</v>
      </c>
      <c r="IR5" s="75"/>
      <c r="IS5" s="75">
        <v>10</v>
      </c>
      <c r="IT5" s="75">
        <v>20</v>
      </c>
      <c r="IU5" s="75"/>
      <c r="IV5" s="75"/>
      <c r="IW5" s="75">
        <v>10</v>
      </c>
      <c r="IX5" s="75">
        <v>20</v>
      </c>
      <c r="IY5" s="75">
        <v>20</v>
      </c>
      <c r="IZ5" s="75">
        <v>20</v>
      </c>
      <c r="JA5" s="75">
        <v>10</v>
      </c>
      <c r="JB5" s="75">
        <v>4</v>
      </c>
      <c r="JC5" s="75"/>
      <c r="JD5" s="75">
        <v>19</v>
      </c>
      <c r="JE5" s="75">
        <v>33</v>
      </c>
      <c r="JF5" s="75">
        <v>33</v>
      </c>
      <c r="JG5" s="75">
        <v>23</v>
      </c>
      <c r="JH5" s="75">
        <v>23</v>
      </c>
      <c r="JI5" s="75">
        <v>23</v>
      </c>
      <c r="JJ5" s="75"/>
      <c r="JK5" s="75">
        <v>23</v>
      </c>
      <c r="JL5" s="75">
        <v>26</v>
      </c>
      <c r="JM5" s="75">
        <v>40</v>
      </c>
      <c r="JN5" s="75">
        <v>3</v>
      </c>
      <c r="JO5" s="75">
        <v>3</v>
      </c>
      <c r="JP5" s="75">
        <v>3</v>
      </c>
      <c r="JQ5" s="75"/>
      <c r="JR5" s="75"/>
      <c r="JS5" s="75"/>
      <c r="JT5" s="75"/>
      <c r="JU5" s="75"/>
      <c r="JV5" s="75">
        <v>3</v>
      </c>
      <c r="JW5" s="75">
        <v>14</v>
      </c>
      <c r="JX5" s="75"/>
      <c r="JY5" s="75">
        <v>3</v>
      </c>
      <c r="JZ5" s="75">
        <v>23</v>
      </c>
      <c r="KA5" s="75">
        <v>23</v>
      </c>
      <c r="KB5" s="75">
        <v>20</v>
      </c>
      <c r="KC5" s="75">
        <v>21</v>
      </c>
      <c r="KD5" s="75"/>
      <c r="KE5" s="75"/>
      <c r="KF5" s="75">
        <v>2</v>
      </c>
      <c r="KG5" s="75">
        <v>12</v>
      </c>
      <c r="KH5" s="75">
        <v>15</v>
      </c>
      <c r="KI5" s="75">
        <v>15</v>
      </c>
      <c r="KJ5" s="75">
        <v>11</v>
      </c>
      <c r="KK5" s="75">
        <v>9</v>
      </c>
      <c r="KL5" s="75"/>
      <c r="KM5" s="75">
        <v>9</v>
      </c>
      <c r="KN5" s="75">
        <v>11</v>
      </c>
      <c r="KO5" s="75">
        <v>5</v>
      </c>
      <c r="KP5" s="75">
        <v>25</v>
      </c>
      <c r="KQ5" s="75">
        <v>3</v>
      </c>
      <c r="KR5" s="75">
        <v>3</v>
      </c>
      <c r="KS5" s="75"/>
      <c r="KT5" s="75"/>
      <c r="KU5" s="75">
        <v>8</v>
      </c>
      <c r="KV5" s="75">
        <v>22</v>
      </c>
      <c r="KW5" s="75">
        <v>16</v>
      </c>
      <c r="KX5" s="75">
        <v>30</v>
      </c>
      <c r="KY5" s="75">
        <v>22</v>
      </c>
      <c r="KZ5" s="75"/>
      <c r="LA5" s="75">
        <v>28</v>
      </c>
      <c r="LB5" s="75">
        <v>17</v>
      </c>
      <c r="LC5" s="75">
        <v>6</v>
      </c>
      <c r="LD5" s="75">
        <v>6</v>
      </c>
      <c r="LE5" s="75">
        <v>4</v>
      </c>
      <c r="LF5" s="75">
        <v>5</v>
      </c>
      <c r="LG5" s="75"/>
      <c r="LH5" s="75">
        <v>6</v>
      </c>
      <c r="LI5" s="75">
        <v>4</v>
      </c>
      <c r="LJ5" s="75">
        <v>6</v>
      </c>
      <c r="LK5" s="75">
        <v>7</v>
      </c>
      <c r="LL5" s="75">
        <v>2</v>
      </c>
      <c r="LM5" s="75">
        <v>13</v>
      </c>
      <c r="LN5" s="75"/>
      <c r="LO5" s="75">
        <v>3</v>
      </c>
      <c r="LP5" s="75">
        <v>2</v>
      </c>
      <c r="LQ5" s="75">
        <v>2</v>
      </c>
      <c r="LR5" s="75">
        <v>2</v>
      </c>
      <c r="LS5" s="75">
        <v>4</v>
      </c>
      <c r="LT5" s="75">
        <v>5</v>
      </c>
      <c r="LU5" s="75"/>
      <c r="LV5" s="75">
        <v>12</v>
      </c>
      <c r="LW5" s="75">
        <v>12</v>
      </c>
      <c r="LX5" s="75">
        <v>14</v>
      </c>
      <c r="LY5" s="75">
        <v>14</v>
      </c>
      <c r="LZ5" s="75">
        <v>4</v>
      </c>
      <c r="MA5" s="75">
        <v>4</v>
      </c>
      <c r="MB5" s="75"/>
      <c r="MC5" s="75">
        <v>6</v>
      </c>
      <c r="MD5" s="75">
        <v>6</v>
      </c>
      <c r="ME5" s="75">
        <v>4</v>
      </c>
      <c r="MF5" s="75">
        <v>4</v>
      </c>
      <c r="MG5" s="75"/>
      <c r="MH5" s="75"/>
      <c r="MI5" s="75"/>
      <c r="MJ5" s="75"/>
      <c r="MK5" s="75"/>
      <c r="ML5" s="75">
        <v>6</v>
      </c>
      <c r="MM5" s="75">
        <v>6</v>
      </c>
      <c r="MN5" s="75">
        <v>6</v>
      </c>
      <c r="MO5" s="75">
        <v>4</v>
      </c>
      <c r="MP5" s="75"/>
      <c r="MQ5" s="75">
        <v>14</v>
      </c>
      <c r="MR5" s="75">
        <v>6</v>
      </c>
      <c r="MS5" s="75">
        <v>6</v>
      </c>
      <c r="MT5" s="75">
        <v>4</v>
      </c>
      <c r="MU5" s="75">
        <v>5</v>
      </c>
      <c r="MV5" s="75">
        <v>4</v>
      </c>
      <c r="MW5" s="75"/>
      <c r="MX5" s="75">
        <v>4</v>
      </c>
      <c r="MY5" s="75">
        <v>5</v>
      </c>
      <c r="MZ5" s="75">
        <v>5</v>
      </c>
      <c r="NA5" s="75">
        <v>8</v>
      </c>
      <c r="NB5" s="75">
        <v>10</v>
      </c>
      <c r="NC5" s="75">
        <v>10</v>
      </c>
      <c r="ND5" s="75"/>
      <c r="NE5" s="75">
        <v>20</v>
      </c>
      <c r="NF5" s="75">
        <v>10</v>
      </c>
      <c r="NG5" s="75">
        <v>16</v>
      </c>
      <c r="NH5" s="75">
        <v>14</v>
      </c>
      <c r="NI5" s="75">
        <v>10</v>
      </c>
      <c r="NJ5" s="75">
        <v>7</v>
      </c>
      <c r="NK5" s="75"/>
      <c r="NL5" s="75">
        <v>7</v>
      </c>
      <c r="NM5" s="75">
        <v>4</v>
      </c>
      <c r="NN5" s="75">
        <v>4</v>
      </c>
      <c r="NO5" s="75">
        <v>2</v>
      </c>
      <c r="NP5" s="75">
        <v>2</v>
      </c>
      <c r="NQ5" s="75">
        <v>2</v>
      </c>
      <c r="NR5" s="75"/>
      <c r="NS5" s="75">
        <v>2</v>
      </c>
      <c r="NT5" s="75">
        <v>4</v>
      </c>
      <c r="NU5" s="75">
        <v>4</v>
      </c>
      <c r="NV5" s="75">
        <v>6</v>
      </c>
      <c r="NW5" s="75">
        <v>6</v>
      </c>
      <c r="NX5" s="75">
        <v>6</v>
      </c>
      <c r="NY5" s="75"/>
      <c r="NZ5" s="75">
        <v>6</v>
      </c>
      <c r="OA5" s="75">
        <v>6</v>
      </c>
      <c r="OB5" s="75">
        <v>6</v>
      </c>
      <c r="OC5" s="75">
        <v>5</v>
      </c>
      <c r="OD5" s="75">
        <v>13</v>
      </c>
      <c r="OE5" s="75">
        <v>15</v>
      </c>
      <c r="OF5" s="75"/>
      <c r="OG5" s="75">
        <v>18</v>
      </c>
      <c r="OH5" s="75">
        <v>18</v>
      </c>
      <c r="OI5" s="75">
        <v>18</v>
      </c>
      <c r="OJ5" s="75">
        <v>18</v>
      </c>
      <c r="OK5" s="75">
        <v>18</v>
      </c>
      <c r="OL5" s="75">
        <v>18</v>
      </c>
      <c r="OM5" s="75"/>
      <c r="ON5" s="75">
        <v>16</v>
      </c>
      <c r="OO5" s="75">
        <v>13</v>
      </c>
      <c r="OP5" s="75">
        <v>9</v>
      </c>
      <c r="OQ5" s="75">
        <v>7</v>
      </c>
      <c r="OR5" s="75">
        <v>6</v>
      </c>
      <c r="OS5" s="75">
        <v>6</v>
      </c>
      <c r="OT5" s="75"/>
      <c r="OU5" s="75">
        <v>6</v>
      </c>
      <c r="OV5" s="75">
        <v>6</v>
      </c>
      <c r="OW5" s="75">
        <v>6</v>
      </c>
      <c r="OX5" s="75">
        <v>4</v>
      </c>
      <c r="OY5" s="75">
        <v>4</v>
      </c>
      <c r="OZ5" s="75">
        <v>4</v>
      </c>
      <c r="PA5" s="75"/>
      <c r="PB5" s="75">
        <v>8</v>
      </c>
      <c r="PC5" s="75">
        <v>8</v>
      </c>
      <c r="PD5" s="75">
        <v>8</v>
      </c>
      <c r="PE5" s="75">
        <v>8</v>
      </c>
      <c r="PF5" s="75">
        <v>8</v>
      </c>
      <c r="PG5" s="75">
        <v>4</v>
      </c>
      <c r="PH5" s="75"/>
      <c r="PI5" s="75">
        <v>8</v>
      </c>
      <c r="PJ5" s="75">
        <v>8</v>
      </c>
      <c r="PK5" s="75">
        <v>12</v>
      </c>
      <c r="PL5" s="75">
        <v>12</v>
      </c>
      <c r="PM5" s="75">
        <v>8</v>
      </c>
      <c r="PN5" s="75">
        <v>8</v>
      </c>
      <c r="PO5" s="75"/>
      <c r="PP5" s="75">
        <v>12</v>
      </c>
      <c r="PQ5" s="75">
        <v>12</v>
      </c>
      <c r="PR5" s="75">
        <v>16</v>
      </c>
      <c r="PS5" s="75">
        <v>16</v>
      </c>
      <c r="PT5" s="75">
        <v>16</v>
      </c>
      <c r="PU5" s="75">
        <v>21</v>
      </c>
      <c r="PV5" s="75"/>
      <c r="PW5" s="75">
        <v>24</v>
      </c>
      <c r="PX5" s="75">
        <v>24</v>
      </c>
      <c r="PY5" s="75">
        <v>24</v>
      </c>
      <c r="PZ5" s="75">
        <v>20</v>
      </c>
      <c r="QA5" s="75">
        <v>20</v>
      </c>
      <c r="QB5" s="75">
        <v>22</v>
      </c>
      <c r="QC5" s="75"/>
      <c r="QD5" s="75">
        <v>24</v>
      </c>
      <c r="QE5" s="75">
        <v>24</v>
      </c>
      <c r="QF5" s="75">
        <v>24</v>
      </c>
      <c r="QG5" s="75">
        <v>24</v>
      </c>
      <c r="QH5" s="75">
        <v>24</v>
      </c>
      <c r="QI5" s="75">
        <v>24</v>
      </c>
      <c r="QJ5" s="75"/>
      <c r="QK5" s="75">
        <v>24</v>
      </c>
      <c r="QL5" s="75">
        <v>24</v>
      </c>
      <c r="QM5" s="75">
        <v>19</v>
      </c>
      <c r="QN5" s="75">
        <v>16</v>
      </c>
      <c r="QO5" s="75">
        <v>16</v>
      </c>
      <c r="QP5" s="75">
        <v>16</v>
      </c>
      <c r="QQ5" s="75"/>
      <c r="QR5" s="75">
        <v>12</v>
      </c>
      <c r="QS5" s="75">
        <v>22</v>
      </c>
      <c r="QT5" s="75">
        <v>16</v>
      </c>
      <c r="QU5" s="75">
        <v>14</v>
      </c>
      <c r="QV5" s="75">
        <v>14</v>
      </c>
      <c r="QW5" s="75">
        <v>19</v>
      </c>
      <c r="QX5" s="75"/>
      <c r="QY5" s="75">
        <v>15</v>
      </c>
      <c r="QZ5" s="75">
        <v>18</v>
      </c>
      <c r="RA5" s="75">
        <v>18</v>
      </c>
      <c r="RB5" s="75">
        <v>18</v>
      </c>
      <c r="RC5" s="75">
        <v>17</v>
      </c>
      <c r="RD5" s="75">
        <v>18</v>
      </c>
      <c r="RE5" s="75"/>
      <c r="RF5" s="75">
        <v>18</v>
      </c>
      <c r="RG5" s="75">
        <v>5</v>
      </c>
      <c r="RH5" s="75">
        <v>5</v>
      </c>
      <c r="RI5" s="75">
        <v>3</v>
      </c>
      <c r="RJ5" s="75">
        <v>2</v>
      </c>
      <c r="RK5" s="75">
        <v>2</v>
      </c>
      <c r="RL5" s="75"/>
      <c r="RM5" s="75"/>
      <c r="RN5" s="75"/>
      <c r="RO5" s="75"/>
      <c r="RP5" s="75"/>
      <c r="RQ5" s="75"/>
      <c r="RR5" s="75"/>
      <c r="RS5" s="75"/>
      <c r="RT5" s="75"/>
      <c r="RU5" s="75"/>
      <c r="RV5" s="75"/>
      <c r="RW5" s="75"/>
      <c r="RX5" s="75"/>
      <c r="RY5" s="75"/>
      <c r="RZ5" s="75"/>
      <c r="SA5" s="75"/>
      <c r="SB5" s="75"/>
      <c r="SC5" s="75"/>
      <c r="SD5" s="75"/>
      <c r="SE5" s="75"/>
      <c r="SF5" s="75"/>
      <c r="SG5" s="75"/>
      <c r="SH5" s="75"/>
      <c r="SI5" s="75"/>
      <c r="SJ5" s="75"/>
      <c r="SK5" s="75"/>
      <c r="SL5" s="75">
        <v>4</v>
      </c>
      <c r="SM5" s="75">
        <v>4</v>
      </c>
      <c r="SN5" s="75"/>
      <c r="SO5" s="75"/>
      <c r="SP5" s="75"/>
      <c r="SQ5" s="75"/>
      <c r="SR5" s="75"/>
      <c r="SS5" s="75"/>
      <c r="ST5" s="75"/>
      <c r="SU5" s="75"/>
      <c r="SV5" s="75"/>
      <c r="SW5" s="75"/>
      <c r="SX5" s="75"/>
      <c r="SY5" s="75"/>
      <c r="SZ5" s="75"/>
      <c r="TA5" s="75"/>
      <c r="TB5" s="75"/>
      <c r="TC5" s="75"/>
      <c r="TD5" s="75"/>
      <c r="TE5" s="75"/>
      <c r="TF5" s="75"/>
      <c r="TG5" s="75">
        <v>2</v>
      </c>
      <c r="TH5" s="75">
        <v>2</v>
      </c>
      <c r="TI5" s="75"/>
      <c r="TJ5" s="75"/>
      <c r="TK5" s="75">
        <v>1</v>
      </c>
      <c r="TL5" s="75">
        <v>2</v>
      </c>
      <c r="TM5" s="75">
        <v>2</v>
      </c>
      <c r="TN5" s="75">
        <v>2</v>
      </c>
      <c r="TO5" s="75">
        <v>2</v>
      </c>
      <c r="TP5" s="75"/>
      <c r="TQ5" s="75">
        <v>2</v>
      </c>
      <c r="TR5" s="75">
        <v>2</v>
      </c>
      <c r="TS5" s="75">
        <v>2</v>
      </c>
      <c r="TT5" s="75">
        <v>2</v>
      </c>
      <c r="TU5" s="75">
        <v>2</v>
      </c>
      <c r="TV5" s="75">
        <v>2</v>
      </c>
      <c r="TW5" s="75"/>
      <c r="TX5" s="75">
        <v>2</v>
      </c>
      <c r="TY5" s="75">
        <v>1</v>
      </c>
      <c r="TZ5" s="75"/>
      <c r="UA5" s="75"/>
      <c r="UB5" s="75"/>
      <c r="UC5" s="75"/>
      <c r="UD5" s="75"/>
      <c r="UE5" s="75"/>
      <c r="UF5" s="75"/>
      <c r="UG5" s="75"/>
      <c r="UH5" s="75"/>
      <c r="UI5" s="75"/>
      <c r="UJ5" s="75"/>
      <c r="UK5" s="75"/>
      <c r="UL5" s="75"/>
      <c r="UM5" s="75"/>
      <c r="UN5" s="75"/>
      <c r="UO5" s="75"/>
      <c r="UP5" s="75"/>
      <c r="UQ5" s="75"/>
      <c r="UR5" s="75"/>
      <c r="US5" s="75"/>
      <c r="UT5" s="75"/>
      <c r="UU5" s="75"/>
      <c r="UV5" s="75"/>
      <c r="UW5" s="75"/>
      <c r="UX5" s="75"/>
      <c r="UY5" s="75"/>
      <c r="UZ5" s="75"/>
      <c r="VA5" s="75"/>
      <c r="VB5" s="75"/>
      <c r="VC5" s="75"/>
      <c r="VD5" s="75"/>
      <c r="VE5" s="75"/>
      <c r="VF5" s="75"/>
      <c r="VG5" s="75"/>
      <c r="VH5" s="75"/>
      <c r="VI5" s="75"/>
      <c r="VJ5" s="75"/>
      <c r="VK5" s="75"/>
      <c r="VL5" s="75"/>
      <c r="VM5" s="75"/>
      <c r="VN5" s="75"/>
      <c r="VO5" s="75"/>
      <c r="VP5" s="75"/>
      <c r="VQ5" s="75"/>
      <c r="VR5" s="75"/>
      <c r="VS5" s="75"/>
      <c r="VT5" s="75"/>
      <c r="VU5" s="75"/>
      <c r="VV5" s="75"/>
      <c r="VW5" s="75"/>
      <c r="VX5" s="75"/>
      <c r="VY5" s="75"/>
      <c r="VZ5" s="75"/>
      <c r="WA5" s="75"/>
      <c r="WB5" s="75"/>
      <c r="WC5" s="75"/>
      <c r="WD5" s="75"/>
      <c r="WE5" s="75"/>
      <c r="WF5" s="75"/>
      <c r="WG5" s="75"/>
      <c r="WH5" s="75"/>
      <c r="WI5" s="75"/>
      <c r="WJ5" s="75"/>
      <c r="WK5" s="75"/>
      <c r="WL5" s="75"/>
      <c r="WM5" s="75"/>
      <c r="WN5" s="75"/>
      <c r="WO5" s="75"/>
      <c r="WP5" s="75"/>
      <c r="WQ5" s="75"/>
      <c r="WR5" s="75"/>
      <c r="WS5" s="75"/>
      <c r="WT5" s="75"/>
      <c r="WU5" s="75"/>
      <c r="WV5" s="75"/>
      <c r="WW5" s="75"/>
      <c r="WX5" s="75"/>
      <c r="WY5" s="75"/>
      <c r="WZ5" s="75"/>
      <c r="XA5" s="75"/>
      <c r="XB5" s="75"/>
      <c r="XC5" s="75"/>
      <c r="XD5" s="75"/>
      <c r="XE5" s="75"/>
      <c r="XF5" s="75"/>
      <c r="XG5" s="75"/>
      <c r="XH5" s="75"/>
      <c r="XI5" s="75"/>
      <c r="XJ5" s="75"/>
      <c r="XK5" s="75"/>
      <c r="XL5" s="75"/>
      <c r="XM5" s="75"/>
      <c r="XN5" s="75"/>
      <c r="XO5" s="75"/>
      <c r="XP5" s="75"/>
      <c r="XQ5" s="75"/>
      <c r="XR5" s="75"/>
      <c r="XS5" s="75"/>
      <c r="XT5" s="75"/>
      <c r="XU5" s="75"/>
      <c r="XV5" s="75"/>
      <c r="XW5" s="75"/>
      <c r="XX5" s="75"/>
      <c r="XY5" s="75"/>
      <c r="XZ5" s="75"/>
      <c r="YA5" s="75"/>
      <c r="YB5" s="75"/>
      <c r="YC5" s="75"/>
      <c r="YD5" s="75"/>
      <c r="YE5" s="75"/>
      <c r="YF5" s="75"/>
      <c r="YG5" s="75"/>
      <c r="YH5" s="75"/>
      <c r="YI5" s="75"/>
      <c r="YJ5" s="75"/>
      <c r="YK5" s="75"/>
      <c r="YL5" s="75"/>
      <c r="YM5" s="75"/>
      <c r="YN5" s="75"/>
      <c r="YO5" s="75"/>
      <c r="YP5" s="75"/>
      <c r="YQ5" s="75"/>
      <c r="YR5" s="75"/>
      <c r="YS5" s="75"/>
      <c r="YT5" s="75"/>
      <c r="YU5" s="75"/>
      <c r="YV5" s="75"/>
      <c r="YW5" s="75"/>
      <c r="YX5" s="75"/>
      <c r="YY5" s="75"/>
      <c r="YZ5" s="75"/>
      <c r="ZA5" s="75"/>
      <c r="ZB5" s="75"/>
      <c r="ZC5" s="75"/>
      <c r="ZD5" s="75"/>
      <c r="ZE5" s="75"/>
      <c r="ZF5" s="75"/>
      <c r="ZG5" s="75"/>
      <c r="ZH5" s="75"/>
      <c r="ZI5" s="75"/>
      <c r="ZJ5" s="75"/>
      <c r="ZK5" s="75"/>
      <c r="ZL5" s="75"/>
      <c r="ZM5" s="75"/>
      <c r="ZN5" s="75"/>
      <c r="ZO5" s="75"/>
      <c r="ZP5" s="75"/>
      <c r="ZQ5" s="75"/>
      <c r="ZR5" s="75"/>
      <c r="ZS5" s="75"/>
      <c r="ZT5" s="75"/>
      <c r="ZU5" s="75"/>
      <c r="ZV5" s="75"/>
      <c r="ZW5" s="75"/>
      <c r="ZX5" s="75"/>
      <c r="ZY5" s="75"/>
      <c r="ZZ5" s="75"/>
      <c r="AAA5" s="75"/>
      <c r="AAB5" s="75"/>
      <c r="AAC5" s="75"/>
      <c r="AAD5" s="75"/>
      <c r="AAE5" s="75"/>
      <c r="AAF5" s="75"/>
      <c r="AAG5" s="75"/>
      <c r="AAH5" s="75"/>
      <c r="AAI5" s="75"/>
      <c r="AAJ5" s="75"/>
      <c r="AAK5" s="75"/>
      <c r="AAL5" s="75"/>
      <c r="AAM5" s="75"/>
      <c r="AAN5" s="75"/>
      <c r="AAO5" s="75"/>
      <c r="AAP5" s="75"/>
      <c r="AAQ5" s="75"/>
      <c r="AAR5" s="75"/>
      <c r="AAS5" s="75"/>
      <c r="AAT5" s="75"/>
      <c r="AAU5" s="75"/>
      <c r="AAV5" s="75"/>
      <c r="AAW5" s="75"/>
      <c r="AAX5" s="75"/>
      <c r="AAY5" s="75"/>
      <c r="AAZ5" s="75"/>
      <c r="ABA5" s="75"/>
      <c r="ABB5" s="75"/>
      <c r="ABC5" s="75"/>
    </row>
    <row r="6" spans="1:731">
      <c r="A6" s="75" t="s">
        <v>44</v>
      </c>
      <c r="B6" s="75"/>
      <c r="C6" s="75"/>
      <c r="D6" s="75"/>
      <c r="E6" s="75"/>
      <c r="F6" s="75"/>
      <c r="G6" s="75"/>
      <c r="H6" s="75"/>
      <c r="I6" s="75"/>
      <c r="J6" s="75"/>
      <c r="K6" s="75">
        <v>10</v>
      </c>
      <c r="L6" s="75">
        <v>10</v>
      </c>
      <c r="M6" s="75">
        <v>10</v>
      </c>
      <c r="N6" s="75">
        <v>10</v>
      </c>
      <c r="O6" s="75">
        <v>10</v>
      </c>
      <c r="P6" s="75">
        <v>10</v>
      </c>
      <c r="Q6" s="75">
        <v>10</v>
      </c>
      <c r="R6" s="75">
        <v>10</v>
      </c>
      <c r="S6" s="75">
        <v>10</v>
      </c>
      <c r="T6" s="75">
        <v>10</v>
      </c>
      <c r="U6" s="75">
        <v>10</v>
      </c>
      <c r="V6" s="75">
        <v>10</v>
      </c>
      <c r="W6" s="75">
        <v>10</v>
      </c>
      <c r="X6" s="75">
        <v>10</v>
      </c>
      <c r="Y6" s="75">
        <v>10</v>
      </c>
      <c r="Z6" s="75">
        <v>10</v>
      </c>
      <c r="AA6" s="75">
        <v>10</v>
      </c>
      <c r="AB6" s="75">
        <v>10</v>
      </c>
      <c r="AC6" s="75">
        <v>10</v>
      </c>
      <c r="AD6" s="75">
        <v>10</v>
      </c>
      <c r="AE6" s="75">
        <v>10</v>
      </c>
      <c r="AF6" s="75">
        <v>10</v>
      </c>
      <c r="AG6" s="75">
        <v>10</v>
      </c>
      <c r="AH6" s="75">
        <v>10</v>
      </c>
      <c r="AI6" s="75">
        <v>10</v>
      </c>
      <c r="AJ6" s="75">
        <v>10</v>
      </c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5"/>
      <c r="BO6" s="75"/>
      <c r="BP6" s="75"/>
      <c r="BQ6" s="75"/>
      <c r="BR6" s="75"/>
      <c r="BS6" s="75"/>
      <c r="BT6" s="75"/>
      <c r="BU6" s="75"/>
      <c r="BV6" s="75"/>
      <c r="BW6" s="75"/>
      <c r="BX6" s="75"/>
      <c r="BY6" s="75"/>
      <c r="BZ6" s="75"/>
      <c r="CA6" s="75"/>
      <c r="CB6" s="75">
        <v>14</v>
      </c>
      <c r="CC6" s="75"/>
      <c r="CD6" s="75">
        <v>14</v>
      </c>
      <c r="CE6" s="75">
        <v>14</v>
      </c>
      <c r="CF6" s="75">
        <v>14</v>
      </c>
      <c r="CG6" s="75">
        <v>18</v>
      </c>
      <c r="CH6" s="75">
        <v>4</v>
      </c>
      <c r="CI6" s="75">
        <v>4</v>
      </c>
      <c r="CJ6" s="75"/>
      <c r="CK6" s="75">
        <v>8</v>
      </c>
      <c r="CL6" s="75">
        <v>30</v>
      </c>
      <c r="CM6" s="75">
        <v>30</v>
      </c>
      <c r="CN6" s="75">
        <v>30</v>
      </c>
      <c r="CO6" s="75">
        <v>26</v>
      </c>
      <c r="CP6" s="75">
        <v>26</v>
      </c>
      <c r="CQ6" s="75"/>
      <c r="CR6" s="75">
        <v>22</v>
      </c>
      <c r="CS6" s="75">
        <v>26</v>
      </c>
      <c r="CT6" s="75">
        <v>26</v>
      </c>
      <c r="CU6" s="75">
        <v>30</v>
      </c>
      <c r="CV6" s="75">
        <v>33</v>
      </c>
      <c r="CW6" s="75">
        <v>23</v>
      </c>
      <c r="CX6" s="75"/>
      <c r="CY6" s="75">
        <v>20</v>
      </c>
      <c r="CZ6" s="75">
        <v>8</v>
      </c>
      <c r="DA6" s="75">
        <v>8</v>
      </c>
      <c r="DB6" s="75">
        <v>11</v>
      </c>
      <c r="DC6" s="75">
        <v>21</v>
      </c>
      <c r="DD6" s="75">
        <v>18</v>
      </c>
      <c r="DE6" s="75"/>
      <c r="DF6" s="75">
        <v>18</v>
      </c>
      <c r="DG6" s="75">
        <v>23</v>
      </c>
      <c r="DH6" s="75">
        <v>23</v>
      </c>
      <c r="DI6" s="75">
        <v>21</v>
      </c>
      <c r="DJ6" s="75">
        <v>21</v>
      </c>
      <c r="DK6" s="75">
        <v>30</v>
      </c>
      <c r="DL6" s="75"/>
      <c r="DM6" s="75">
        <v>30</v>
      </c>
      <c r="DN6" s="75">
        <v>40</v>
      </c>
      <c r="DO6" s="75">
        <v>60</v>
      </c>
      <c r="DP6" s="75">
        <v>52</v>
      </c>
      <c r="DQ6" s="75">
        <v>56</v>
      </c>
      <c r="DR6" s="75">
        <v>47</v>
      </c>
      <c r="DS6" s="75"/>
      <c r="DT6" s="75">
        <v>37</v>
      </c>
      <c r="DU6" s="75">
        <v>33</v>
      </c>
      <c r="DV6" s="75">
        <v>41</v>
      </c>
      <c r="DW6" s="75">
        <v>42</v>
      </c>
      <c r="DX6" s="75">
        <v>42</v>
      </c>
      <c r="DY6" s="75">
        <v>60</v>
      </c>
      <c r="DZ6" s="75"/>
      <c r="EA6" s="75">
        <v>41</v>
      </c>
      <c r="EB6" s="75">
        <v>47</v>
      </c>
      <c r="EC6" s="75">
        <v>51</v>
      </c>
      <c r="ED6" s="75">
        <v>56</v>
      </c>
      <c r="EE6" s="75">
        <v>41</v>
      </c>
      <c r="EF6" s="75">
        <v>58</v>
      </c>
      <c r="EG6" s="75"/>
      <c r="EH6" s="75">
        <v>72</v>
      </c>
      <c r="EI6" s="75">
        <v>61</v>
      </c>
      <c r="EJ6" s="75">
        <v>67</v>
      </c>
      <c r="EK6" s="75">
        <v>77</v>
      </c>
      <c r="EL6" s="75">
        <v>68</v>
      </c>
      <c r="EM6" s="75">
        <v>66</v>
      </c>
      <c r="EN6" s="75"/>
      <c r="EO6" s="75">
        <v>64</v>
      </c>
      <c r="EP6" s="75">
        <v>60</v>
      </c>
      <c r="EQ6" s="75">
        <v>59</v>
      </c>
      <c r="ER6" s="75">
        <v>49</v>
      </c>
      <c r="ES6" s="75">
        <v>43</v>
      </c>
      <c r="ET6" s="75">
        <v>49</v>
      </c>
      <c r="EU6" s="75"/>
      <c r="EV6" s="75">
        <v>59</v>
      </c>
      <c r="EW6" s="75">
        <v>58</v>
      </c>
      <c r="EX6" s="75">
        <v>44</v>
      </c>
      <c r="EY6" s="75">
        <v>52</v>
      </c>
      <c r="EZ6" s="75">
        <v>50</v>
      </c>
      <c r="FA6" s="75">
        <v>60</v>
      </c>
      <c r="FB6" s="75"/>
      <c r="FC6" s="75">
        <v>66</v>
      </c>
      <c r="FD6" s="75">
        <v>71</v>
      </c>
      <c r="FE6" s="75">
        <v>70</v>
      </c>
      <c r="FF6" s="75">
        <v>64</v>
      </c>
      <c r="FG6" s="75">
        <v>48</v>
      </c>
      <c r="FH6" s="75">
        <v>56</v>
      </c>
      <c r="FI6" s="75"/>
      <c r="FJ6" s="75">
        <v>37</v>
      </c>
      <c r="FK6" s="75">
        <v>31</v>
      </c>
      <c r="FL6" s="75">
        <v>33</v>
      </c>
      <c r="FM6" s="75">
        <v>28</v>
      </c>
      <c r="FN6" s="75">
        <v>19</v>
      </c>
      <c r="FO6" s="75">
        <v>19</v>
      </c>
      <c r="FP6" s="75"/>
      <c r="FQ6" s="75">
        <v>21</v>
      </c>
      <c r="FR6" s="75">
        <v>22</v>
      </c>
      <c r="FS6" s="75">
        <v>30</v>
      </c>
      <c r="FT6" s="75">
        <v>33</v>
      </c>
      <c r="FU6" s="75">
        <v>32</v>
      </c>
      <c r="FV6" s="75">
        <v>49</v>
      </c>
      <c r="FW6" s="75"/>
      <c r="FX6" s="75">
        <v>44</v>
      </c>
      <c r="FY6" s="75">
        <v>24</v>
      </c>
      <c r="FZ6" s="75">
        <v>15</v>
      </c>
      <c r="GA6" s="75">
        <v>10</v>
      </c>
      <c r="GB6" s="75">
        <v>9</v>
      </c>
      <c r="GC6" s="75">
        <v>12</v>
      </c>
      <c r="GD6" s="75"/>
      <c r="GE6" s="75">
        <v>30</v>
      </c>
      <c r="GF6" s="75">
        <v>30</v>
      </c>
      <c r="GG6" s="75">
        <v>25</v>
      </c>
      <c r="GH6" s="75">
        <v>28</v>
      </c>
      <c r="GI6" s="75">
        <v>33</v>
      </c>
      <c r="GJ6" s="75">
        <v>35</v>
      </c>
      <c r="GK6" s="75"/>
      <c r="GL6" s="75">
        <v>33</v>
      </c>
      <c r="GM6" s="75">
        <v>28</v>
      </c>
      <c r="GN6" s="75">
        <v>29</v>
      </c>
      <c r="GO6" s="75">
        <v>24</v>
      </c>
      <c r="GP6" s="75">
        <v>18</v>
      </c>
      <c r="GQ6" s="75">
        <v>28</v>
      </c>
      <c r="GR6" s="75"/>
      <c r="GS6" s="75">
        <v>39</v>
      </c>
      <c r="GT6" s="75">
        <v>73</v>
      </c>
      <c r="GU6" s="75">
        <v>84</v>
      </c>
      <c r="GV6" s="75">
        <v>73</v>
      </c>
      <c r="GW6" s="75">
        <v>71</v>
      </c>
      <c r="GX6" s="75">
        <v>69</v>
      </c>
      <c r="GY6" s="75"/>
      <c r="GZ6" s="75">
        <v>79</v>
      </c>
      <c r="HA6" s="75">
        <v>79</v>
      </c>
      <c r="HB6" s="75">
        <v>80</v>
      </c>
      <c r="HC6" s="75">
        <v>56</v>
      </c>
      <c r="HD6" s="75">
        <v>100</v>
      </c>
      <c r="HE6" s="75">
        <v>132</v>
      </c>
      <c r="HF6" s="75"/>
      <c r="HG6" s="75">
        <v>144</v>
      </c>
      <c r="HH6" s="75">
        <v>135</v>
      </c>
      <c r="HI6" s="75">
        <v>114</v>
      </c>
      <c r="HJ6" s="75">
        <v>102</v>
      </c>
      <c r="HK6" s="75">
        <v>102</v>
      </c>
      <c r="HL6" s="75">
        <v>98</v>
      </c>
      <c r="HM6" s="75"/>
      <c r="HN6" s="75">
        <v>61</v>
      </c>
      <c r="HO6" s="75">
        <v>41</v>
      </c>
      <c r="HP6" s="75">
        <v>51</v>
      </c>
      <c r="HQ6" s="75">
        <v>44</v>
      </c>
      <c r="HR6" s="75">
        <v>82</v>
      </c>
      <c r="HS6" s="75">
        <v>65</v>
      </c>
      <c r="HT6" s="75"/>
      <c r="HU6" s="75">
        <v>89</v>
      </c>
      <c r="HV6" s="75">
        <v>97</v>
      </c>
      <c r="HW6" s="75">
        <v>96</v>
      </c>
      <c r="HX6" s="75">
        <v>115</v>
      </c>
      <c r="HY6" s="75">
        <v>116</v>
      </c>
      <c r="HZ6" s="75">
        <v>122</v>
      </c>
      <c r="IA6" s="75"/>
      <c r="IB6" s="75">
        <v>102</v>
      </c>
      <c r="IC6" s="75">
        <v>124</v>
      </c>
      <c r="ID6" s="75">
        <v>123</v>
      </c>
      <c r="IE6" s="75">
        <v>193</v>
      </c>
      <c r="IF6" s="75">
        <v>184</v>
      </c>
      <c r="IG6" s="75">
        <v>202</v>
      </c>
      <c r="IH6" s="75"/>
      <c r="II6" s="75">
        <v>187</v>
      </c>
      <c r="IJ6" s="75">
        <v>183</v>
      </c>
      <c r="IK6" s="75">
        <v>199</v>
      </c>
      <c r="IL6" s="75">
        <v>164</v>
      </c>
      <c r="IM6" s="75">
        <v>146</v>
      </c>
      <c r="IN6" s="75">
        <v>98</v>
      </c>
      <c r="IO6" s="75"/>
      <c r="IP6" s="75">
        <v>98</v>
      </c>
      <c r="IQ6" s="75">
        <v>112</v>
      </c>
      <c r="IR6" s="75">
        <v>94</v>
      </c>
      <c r="IS6" s="75">
        <v>99</v>
      </c>
      <c r="IT6" s="75">
        <v>126</v>
      </c>
      <c r="IU6" s="75">
        <v>117</v>
      </c>
      <c r="IV6" s="75"/>
      <c r="IW6" s="75">
        <v>155</v>
      </c>
      <c r="IX6" s="75">
        <v>165</v>
      </c>
      <c r="IY6" s="75">
        <v>158</v>
      </c>
      <c r="IZ6" s="75">
        <v>145</v>
      </c>
      <c r="JA6" s="75">
        <v>178</v>
      </c>
      <c r="JB6" s="75">
        <v>213</v>
      </c>
      <c r="JC6" s="75"/>
      <c r="JD6" s="75">
        <v>256</v>
      </c>
      <c r="JE6" s="75">
        <v>266</v>
      </c>
      <c r="JF6" s="75">
        <v>258</v>
      </c>
      <c r="JG6" s="75">
        <v>248</v>
      </c>
      <c r="JH6" s="75">
        <v>249</v>
      </c>
      <c r="JI6" s="75">
        <v>249</v>
      </c>
      <c r="JJ6" s="75"/>
      <c r="JK6" s="75">
        <v>215</v>
      </c>
      <c r="JL6" s="75">
        <v>137</v>
      </c>
      <c r="JM6" s="75">
        <v>114</v>
      </c>
      <c r="JN6" s="75">
        <v>158</v>
      </c>
      <c r="JO6" s="75">
        <v>206</v>
      </c>
      <c r="JP6" s="75">
        <v>195</v>
      </c>
      <c r="JQ6" s="75"/>
      <c r="JR6" s="75"/>
      <c r="JS6" s="75"/>
      <c r="JT6" s="75"/>
      <c r="JU6" s="75"/>
      <c r="JV6" s="75">
        <v>196</v>
      </c>
      <c r="JW6" s="75">
        <v>206</v>
      </c>
      <c r="JX6" s="75"/>
      <c r="JY6" s="75">
        <v>196</v>
      </c>
      <c r="JZ6" s="75">
        <v>231</v>
      </c>
      <c r="KA6" s="75">
        <v>231</v>
      </c>
      <c r="KB6" s="75">
        <v>217</v>
      </c>
      <c r="KC6" s="75">
        <v>185</v>
      </c>
      <c r="KD6" s="75">
        <v>276</v>
      </c>
      <c r="KE6" s="75"/>
      <c r="KF6" s="75">
        <v>309</v>
      </c>
      <c r="KG6" s="75">
        <v>347</v>
      </c>
      <c r="KH6" s="75">
        <v>334</v>
      </c>
      <c r="KI6" s="75">
        <v>325</v>
      </c>
      <c r="KJ6" s="75">
        <v>264</v>
      </c>
      <c r="KK6" s="75">
        <v>256</v>
      </c>
      <c r="KL6" s="75"/>
      <c r="KM6" s="75">
        <v>255</v>
      </c>
      <c r="KN6" s="75">
        <v>159</v>
      </c>
      <c r="KO6" s="75">
        <v>141</v>
      </c>
      <c r="KP6" s="75">
        <v>133</v>
      </c>
      <c r="KQ6" s="75">
        <v>113</v>
      </c>
      <c r="KR6" s="75">
        <v>160</v>
      </c>
      <c r="KS6" s="75"/>
      <c r="KT6" s="75">
        <v>142</v>
      </c>
      <c r="KU6" s="75">
        <v>140</v>
      </c>
      <c r="KV6" s="75">
        <v>154</v>
      </c>
      <c r="KW6" s="75">
        <v>147</v>
      </c>
      <c r="KX6" s="75">
        <v>156</v>
      </c>
      <c r="KY6" s="75">
        <v>135</v>
      </c>
      <c r="KZ6" s="75"/>
      <c r="LA6" s="75">
        <v>113</v>
      </c>
      <c r="LB6" s="75">
        <v>106</v>
      </c>
      <c r="LC6" s="75">
        <v>150</v>
      </c>
      <c r="LD6" s="75">
        <v>180</v>
      </c>
      <c r="LE6" s="75">
        <v>178</v>
      </c>
      <c r="LF6" s="75">
        <v>182</v>
      </c>
      <c r="LG6" s="75"/>
      <c r="LH6" s="75">
        <v>181</v>
      </c>
      <c r="LI6" s="75">
        <v>176</v>
      </c>
      <c r="LJ6" s="75">
        <v>162</v>
      </c>
      <c r="LK6" s="75">
        <v>196</v>
      </c>
      <c r="LL6" s="75">
        <v>163</v>
      </c>
      <c r="LM6" s="75">
        <v>156</v>
      </c>
      <c r="LN6" s="75"/>
      <c r="LO6" s="75">
        <v>140</v>
      </c>
      <c r="LP6" s="75">
        <v>147</v>
      </c>
      <c r="LQ6" s="75">
        <v>150</v>
      </c>
      <c r="LR6" s="75">
        <v>164</v>
      </c>
      <c r="LS6" s="75">
        <v>177</v>
      </c>
      <c r="LT6" s="75">
        <v>219</v>
      </c>
      <c r="LU6" s="75"/>
      <c r="LV6" s="75">
        <v>234</v>
      </c>
      <c r="LW6" s="75">
        <v>231</v>
      </c>
      <c r="LX6" s="75">
        <v>214</v>
      </c>
      <c r="LY6" s="75">
        <v>212</v>
      </c>
      <c r="LZ6" s="75">
        <v>209</v>
      </c>
      <c r="MA6" s="75">
        <v>211</v>
      </c>
      <c r="MB6" s="75"/>
      <c r="MC6" s="75">
        <v>195</v>
      </c>
      <c r="MD6" s="75">
        <v>188</v>
      </c>
      <c r="ME6" s="75">
        <v>186</v>
      </c>
      <c r="MF6" s="75">
        <v>190</v>
      </c>
      <c r="MG6" s="75"/>
      <c r="MH6" s="75"/>
      <c r="MI6" s="75"/>
      <c r="MJ6" s="75"/>
      <c r="MK6" s="75"/>
      <c r="ML6" s="75">
        <v>178</v>
      </c>
      <c r="MM6" s="75">
        <v>178</v>
      </c>
      <c r="MN6" s="75">
        <v>185</v>
      </c>
      <c r="MO6" s="75">
        <v>190</v>
      </c>
      <c r="MP6" s="75"/>
      <c r="MQ6" s="75">
        <v>206</v>
      </c>
      <c r="MR6" s="75">
        <v>174</v>
      </c>
      <c r="MS6" s="75">
        <v>187</v>
      </c>
      <c r="MT6" s="75">
        <v>194</v>
      </c>
      <c r="MU6" s="75">
        <v>227</v>
      </c>
      <c r="MV6" s="75">
        <v>249</v>
      </c>
      <c r="MW6" s="75"/>
      <c r="MX6" s="75">
        <v>264</v>
      </c>
      <c r="MY6" s="75">
        <v>277</v>
      </c>
      <c r="MZ6" s="75">
        <v>263</v>
      </c>
      <c r="NA6" s="75">
        <v>261</v>
      </c>
      <c r="NB6" s="75">
        <v>282</v>
      </c>
      <c r="NC6" s="75">
        <v>267</v>
      </c>
      <c r="ND6" s="75"/>
      <c r="NE6" s="75">
        <v>268</v>
      </c>
      <c r="NF6" s="75">
        <v>255</v>
      </c>
      <c r="NG6" s="75">
        <v>244</v>
      </c>
      <c r="NH6" s="75">
        <v>235</v>
      </c>
      <c r="NI6" s="75">
        <v>230</v>
      </c>
      <c r="NJ6" s="75">
        <v>223</v>
      </c>
      <c r="NK6" s="75"/>
      <c r="NL6" s="75">
        <v>215</v>
      </c>
      <c r="NM6" s="75">
        <v>237</v>
      </c>
      <c r="NN6" s="75">
        <v>243</v>
      </c>
      <c r="NO6" s="75">
        <v>251</v>
      </c>
      <c r="NP6" s="75">
        <v>253</v>
      </c>
      <c r="NQ6" s="75">
        <v>249</v>
      </c>
      <c r="NR6" s="75"/>
      <c r="NS6" s="75">
        <v>254</v>
      </c>
      <c r="NT6" s="75">
        <v>243</v>
      </c>
      <c r="NU6" s="75">
        <v>240</v>
      </c>
      <c r="NV6" s="75">
        <v>237</v>
      </c>
      <c r="NW6" s="75">
        <v>236</v>
      </c>
      <c r="NX6" s="75">
        <v>246</v>
      </c>
      <c r="NY6" s="75"/>
      <c r="NZ6" s="75">
        <v>214</v>
      </c>
      <c r="OA6" s="75">
        <v>188</v>
      </c>
      <c r="OB6" s="75">
        <v>204</v>
      </c>
      <c r="OC6" s="75">
        <v>249</v>
      </c>
      <c r="OD6" s="75">
        <v>247</v>
      </c>
      <c r="OE6" s="75">
        <v>255</v>
      </c>
      <c r="OF6" s="75"/>
      <c r="OG6" s="75">
        <v>251</v>
      </c>
      <c r="OH6" s="75">
        <v>246</v>
      </c>
      <c r="OI6" s="75">
        <v>244</v>
      </c>
      <c r="OJ6" s="75">
        <v>255</v>
      </c>
      <c r="OK6" s="75">
        <v>252</v>
      </c>
      <c r="OL6" s="75">
        <v>267</v>
      </c>
      <c r="OM6" s="75"/>
      <c r="ON6" s="75">
        <v>275</v>
      </c>
      <c r="OO6" s="75">
        <v>291</v>
      </c>
      <c r="OP6" s="75">
        <v>258</v>
      </c>
      <c r="OQ6" s="75">
        <v>273</v>
      </c>
      <c r="OR6" s="75">
        <v>245</v>
      </c>
      <c r="OS6" s="75">
        <v>243</v>
      </c>
      <c r="OT6" s="75"/>
      <c r="OU6" s="75">
        <v>235</v>
      </c>
      <c r="OV6" s="75">
        <v>250</v>
      </c>
      <c r="OW6" s="75">
        <v>265</v>
      </c>
      <c r="OX6" s="75">
        <v>290</v>
      </c>
      <c r="OY6" s="75">
        <v>289</v>
      </c>
      <c r="OZ6" s="75">
        <v>291</v>
      </c>
      <c r="PA6" s="75"/>
      <c r="PB6" s="75">
        <v>281</v>
      </c>
      <c r="PC6" s="75">
        <v>269</v>
      </c>
      <c r="PD6" s="75">
        <v>263</v>
      </c>
      <c r="PE6" s="75">
        <v>260</v>
      </c>
      <c r="PF6" s="75">
        <v>248</v>
      </c>
      <c r="PG6" s="75">
        <v>229</v>
      </c>
      <c r="PH6" s="75"/>
      <c r="PI6" s="75">
        <v>209</v>
      </c>
      <c r="PJ6" s="75">
        <v>195</v>
      </c>
      <c r="PK6" s="75">
        <v>171</v>
      </c>
      <c r="PL6" s="75">
        <v>150</v>
      </c>
      <c r="PM6" s="75">
        <v>163</v>
      </c>
      <c r="PN6" s="75">
        <v>175</v>
      </c>
      <c r="PO6" s="75"/>
      <c r="PP6" s="75">
        <v>183</v>
      </c>
      <c r="PQ6" s="75">
        <v>204</v>
      </c>
      <c r="PR6" s="75">
        <v>219</v>
      </c>
      <c r="PS6" s="75">
        <v>221</v>
      </c>
      <c r="PT6" s="75">
        <v>216</v>
      </c>
      <c r="PU6" s="75">
        <v>237</v>
      </c>
      <c r="PV6" s="75"/>
      <c r="PW6" s="75">
        <v>248</v>
      </c>
      <c r="PX6" s="75">
        <v>248</v>
      </c>
      <c r="PY6" s="75">
        <v>272</v>
      </c>
      <c r="PZ6" s="75">
        <v>273</v>
      </c>
      <c r="QA6" s="75">
        <v>284</v>
      </c>
      <c r="QB6" s="75">
        <v>287</v>
      </c>
      <c r="QC6" s="75"/>
      <c r="QD6" s="75">
        <v>274</v>
      </c>
      <c r="QE6" s="75">
        <v>252</v>
      </c>
      <c r="QF6" s="75">
        <v>256</v>
      </c>
      <c r="QG6" s="75">
        <v>211</v>
      </c>
      <c r="QH6" s="75">
        <v>223</v>
      </c>
      <c r="QI6" s="75">
        <v>213</v>
      </c>
      <c r="QJ6" s="75"/>
      <c r="QK6" s="75">
        <v>235</v>
      </c>
      <c r="QL6" s="75">
        <v>235</v>
      </c>
      <c r="QM6" s="75">
        <v>227</v>
      </c>
      <c r="QN6" s="75">
        <v>218</v>
      </c>
      <c r="QO6" s="75">
        <v>216</v>
      </c>
      <c r="QP6" s="75">
        <v>196</v>
      </c>
      <c r="QQ6" s="75"/>
      <c r="QR6" s="75">
        <v>194</v>
      </c>
      <c r="QS6" s="75">
        <v>226</v>
      </c>
      <c r="QT6" s="75">
        <v>207</v>
      </c>
      <c r="QU6" s="75">
        <v>201</v>
      </c>
      <c r="QV6" s="75">
        <v>189</v>
      </c>
      <c r="QW6" s="75">
        <v>178</v>
      </c>
      <c r="QX6" s="75"/>
      <c r="QY6" s="75">
        <v>165</v>
      </c>
      <c r="QZ6" s="75">
        <v>151</v>
      </c>
      <c r="RA6" s="75">
        <v>140</v>
      </c>
      <c r="RB6" s="75">
        <v>120</v>
      </c>
      <c r="RC6" s="75">
        <v>120</v>
      </c>
      <c r="RD6" s="75">
        <v>121</v>
      </c>
      <c r="RE6" s="75"/>
      <c r="RF6" s="75">
        <v>107</v>
      </c>
      <c r="RG6" s="75">
        <v>90</v>
      </c>
      <c r="RH6" s="75">
        <v>106</v>
      </c>
      <c r="RI6" s="75">
        <v>101</v>
      </c>
      <c r="RJ6" s="75">
        <v>103</v>
      </c>
      <c r="RK6" s="75">
        <v>135</v>
      </c>
      <c r="RL6" s="75"/>
      <c r="RM6" s="75">
        <v>134</v>
      </c>
      <c r="RN6" s="75">
        <v>143</v>
      </c>
      <c r="RO6" s="75">
        <v>135</v>
      </c>
      <c r="RP6" s="75">
        <v>135</v>
      </c>
      <c r="RQ6" s="75">
        <v>129</v>
      </c>
      <c r="RR6" s="75">
        <v>138</v>
      </c>
      <c r="RS6" s="75"/>
      <c r="RT6" s="75">
        <v>139</v>
      </c>
      <c r="RU6" s="75">
        <v>134</v>
      </c>
      <c r="RV6" s="75">
        <v>134</v>
      </c>
      <c r="RW6" s="75">
        <v>133</v>
      </c>
      <c r="RX6" s="75">
        <v>134</v>
      </c>
      <c r="RY6" s="75">
        <v>131</v>
      </c>
      <c r="RZ6" s="75"/>
      <c r="SA6" s="75">
        <v>134</v>
      </c>
      <c r="SB6" s="75">
        <v>148</v>
      </c>
      <c r="SC6" s="75">
        <v>147</v>
      </c>
      <c r="SD6" s="75">
        <v>147</v>
      </c>
      <c r="SE6" s="75">
        <v>129</v>
      </c>
      <c r="SF6" s="75">
        <v>128</v>
      </c>
      <c r="SG6" s="75"/>
      <c r="SH6" s="75">
        <v>137</v>
      </c>
      <c r="SI6" s="75">
        <v>135</v>
      </c>
      <c r="SJ6" s="75">
        <v>143</v>
      </c>
      <c r="SK6" s="75">
        <v>138</v>
      </c>
      <c r="SL6" s="75">
        <v>136</v>
      </c>
      <c r="SM6" s="75">
        <v>136</v>
      </c>
      <c r="SN6" s="75"/>
      <c r="SO6" s="75">
        <v>133</v>
      </c>
      <c r="SP6" s="75">
        <v>135</v>
      </c>
      <c r="SQ6" s="75">
        <v>121</v>
      </c>
      <c r="SR6" s="75">
        <v>122</v>
      </c>
      <c r="SS6" s="75">
        <v>125</v>
      </c>
      <c r="ST6" s="75">
        <v>126</v>
      </c>
      <c r="SU6" s="75"/>
      <c r="SV6" s="75">
        <v>131</v>
      </c>
      <c r="SW6" s="75">
        <v>135</v>
      </c>
      <c r="SX6" s="75">
        <v>132</v>
      </c>
      <c r="SY6" s="75">
        <v>117</v>
      </c>
      <c r="SZ6" s="75">
        <v>121</v>
      </c>
      <c r="TA6" s="75">
        <v>108</v>
      </c>
      <c r="TB6" s="75"/>
      <c r="TC6" s="75">
        <v>105</v>
      </c>
      <c r="TD6" s="75">
        <v>106</v>
      </c>
      <c r="TE6" s="75">
        <v>102</v>
      </c>
      <c r="TF6" s="75">
        <v>103</v>
      </c>
      <c r="TG6" s="75">
        <v>113</v>
      </c>
      <c r="TH6" s="75">
        <v>109</v>
      </c>
      <c r="TI6" s="75"/>
      <c r="TJ6" s="75">
        <v>106</v>
      </c>
      <c r="TK6" s="75">
        <v>107</v>
      </c>
      <c r="TL6" s="75">
        <v>94</v>
      </c>
      <c r="TM6" s="75">
        <v>95</v>
      </c>
      <c r="TN6" s="75">
        <v>100</v>
      </c>
      <c r="TO6" s="75">
        <v>99</v>
      </c>
      <c r="TP6" s="75"/>
      <c r="TQ6" s="75">
        <v>97</v>
      </c>
      <c r="TR6" s="75">
        <v>96</v>
      </c>
      <c r="TS6" s="75">
        <v>94</v>
      </c>
      <c r="TT6" s="75">
        <v>89</v>
      </c>
      <c r="TU6" s="75">
        <v>90</v>
      </c>
      <c r="TV6" s="75">
        <v>89</v>
      </c>
      <c r="TW6" s="75"/>
      <c r="TX6" s="75">
        <v>86</v>
      </c>
      <c r="TY6" s="75">
        <v>75</v>
      </c>
      <c r="TZ6" s="75">
        <v>74</v>
      </c>
      <c r="UA6" s="75">
        <v>76</v>
      </c>
      <c r="UB6" s="75">
        <v>87</v>
      </c>
      <c r="UC6" s="75">
        <v>87</v>
      </c>
      <c r="UD6" s="75"/>
      <c r="UE6" s="75">
        <v>95</v>
      </c>
      <c r="UF6" s="75">
        <v>95</v>
      </c>
      <c r="UG6" s="75">
        <v>95</v>
      </c>
      <c r="UH6" s="75">
        <v>95</v>
      </c>
      <c r="UI6" s="75">
        <v>99</v>
      </c>
      <c r="UJ6" s="75">
        <v>99</v>
      </c>
      <c r="UK6" s="75"/>
      <c r="UL6" s="75">
        <v>99</v>
      </c>
      <c r="UM6" s="75">
        <v>96</v>
      </c>
      <c r="UN6" s="75">
        <v>92</v>
      </c>
      <c r="UO6" s="75">
        <v>90</v>
      </c>
      <c r="UP6" s="75">
        <v>90</v>
      </c>
      <c r="UQ6" s="75">
        <v>92</v>
      </c>
      <c r="UR6" s="75"/>
      <c r="US6" s="75">
        <v>98</v>
      </c>
      <c r="UT6" s="75">
        <v>83</v>
      </c>
      <c r="UU6" s="75">
        <v>93</v>
      </c>
      <c r="UV6" s="75">
        <v>110</v>
      </c>
      <c r="UW6" s="75">
        <v>116</v>
      </c>
      <c r="UX6" s="75">
        <v>115</v>
      </c>
      <c r="UY6" s="75"/>
      <c r="UZ6" s="75">
        <v>114</v>
      </c>
      <c r="VA6" s="75">
        <v>113</v>
      </c>
      <c r="VB6" s="75">
        <v>112</v>
      </c>
      <c r="VC6" s="75">
        <v>112</v>
      </c>
      <c r="VD6" s="75">
        <v>120</v>
      </c>
      <c r="VE6" s="75">
        <v>120</v>
      </c>
      <c r="VF6" s="75"/>
      <c r="VG6" s="75">
        <v>117</v>
      </c>
      <c r="VH6" s="75">
        <v>117</v>
      </c>
      <c r="VI6" s="75">
        <v>121</v>
      </c>
      <c r="VJ6" s="75">
        <v>113</v>
      </c>
      <c r="VK6" s="75">
        <v>100</v>
      </c>
      <c r="VL6" s="75">
        <v>73</v>
      </c>
      <c r="VM6" s="75"/>
      <c r="VN6" s="75">
        <v>82</v>
      </c>
      <c r="VO6" s="75">
        <v>78</v>
      </c>
      <c r="VP6" s="75">
        <v>77</v>
      </c>
      <c r="VQ6" s="75">
        <v>77</v>
      </c>
      <c r="VR6" s="75">
        <v>77</v>
      </c>
      <c r="VS6" s="75">
        <v>77</v>
      </c>
      <c r="VT6" s="75"/>
      <c r="VU6" s="75">
        <v>77</v>
      </c>
      <c r="VV6" s="75">
        <v>69</v>
      </c>
      <c r="VW6" s="75">
        <v>67</v>
      </c>
      <c r="VX6" s="75">
        <v>67</v>
      </c>
      <c r="VY6" s="75">
        <v>65</v>
      </c>
      <c r="VZ6" s="75">
        <v>57</v>
      </c>
      <c r="WA6" s="75"/>
      <c r="WB6" s="75">
        <v>57</v>
      </c>
      <c r="WC6" s="75">
        <v>32</v>
      </c>
      <c r="WD6" s="75">
        <v>32</v>
      </c>
      <c r="WE6" s="75">
        <v>32</v>
      </c>
      <c r="WF6" s="75">
        <v>32</v>
      </c>
      <c r="WG6" s="75">
        <v>32</v>
      </c>
      <c r="WH6" s="75"/>
      <c r="WI6" s="75">
        <v>32</v>
      </c>
      <c r="WJ6" s="75">
        <v>32</v>
      </c>
      <c r="WK6" s="75">
        <v>32</v>
      </c>
      <c r="WL6" s="75">
        <v>32</v>
      </c>
      <c r="WM6" s="75">
        <v>32</v>
      </c>
      <c r="WN6" s="75">
        <v>32</v>
      </c>
      <c r="WO6" s="75"/>
      <c r="WP6" s="75">
        <v>32</v>
      </c>
      <c r="WQ6" s="75">
        <v>32</v>
      </c>
      <c r="WR6" s="75">
        <v>32</v>
      </c>
      <c r="WS6" s="75">
        <v>32</v>
      </c>
      <c r="WT6" s="75">
        <v>32</v>
      </c>
      <c r="WU6" s="75">
        <v>32</v>
      </c>
      <c r="WV6" s="75"/>
      <c r="WW6" s="75">
        <v>32</v>
      </c>
      <c r="WX6" s="75">
        <v>32</v>
      </c>
      <c r="WY6" s="75">
        <v>32</v>
      </c>
      <c r="WZ6" s="75">
        <v>40</v>
      </c>
      <c r="XA6" s="75">
        <v>46</v>
      </c>
      <c r="XB6" s="75">
        <v>54</v>
      </c>
      <c r="XC6" s="75"/>
      <c r="XD6" s="75">
        <v>60</v>
      </c>
      <c r="XE6" s="75">
        <v>60</v>
      </c>
      <c r="XF6" s="75">
        <v>60</v>
      </c>
      <c r="XG6" s="75">
        <v>60</v>
      </c>
      <c r="XH6" s="75">
        <v>60</v>
      </c>
      <c r="XI6" s="75"/>
      <c r="XJ6" s="75"/>
      <c r="XK6" s="75"/>
      <c r="XL6" s="75"/>
      <c r="XM6" s="75"/>
      <c r="XN6" s="75">
        <v>60</v>
      </c>
      <c r="XO6" s="75">
        <v>60</v>
      </c>
      <c r="XP6" s="75">
        <v>65</v>
      </c>
      <c r="XQ6" s="75"/>
      <c r="XR6" s="75">
        <v>65</v>
      </c>
      <c r="XS6" s="75">
        <v>65</v>
      </c>
      <c r="XT6" s="75">
        <v>65</v>
      </c>
      <c r="XU6" s="75">
        <v>65</v>
      </c>
      <c r="XV6" s="75">
        <v>57</v>
      </c>
      <c r="XW6" s="75">
        <v>51</v>
      </c>
      <c r="XX6" s="75"/>
      <c r="XY6" s="75">
        <v>43</v>
      </c>
      <c r="XZ6" s="75">
        <v>37</v>
      </c>
      <c r="YA6" s="75">
        <v>37</v>
      </c>
      <c r="YB6" s="75">
        <v>37</v>
      </c>
      <c r="YC6" s="75">
        <v>37</v>
      </c>
      <c r="YD6" s="75">
        <v>39</v>
      </c>
      <c r="YE6" s="75"/>
      <c r="YF6" s="75">
        <v>39</v>
      </c>
      <c r="YG6" s="75">
        <v>39</v>
      </c>
      <c r="YH6" s="75">
        <v>39</v>
      </c>
      <c r="YI6" s="75">
        <v>39</v>
      </c>
      <c r="YJ6" s="75">
        <v>39</v>
      </c>
      <c r="YK6" s="75">
        <v>39</v>
      </c>
      <c r="YL6" s="75"/>
      <c r="YM6" s="75">
        <v>39</v>
      </c>
      <c r="YN6" s="75">
        <v>39</v>
      </c>
      <c r="YO6" s="75">
        <v>39</v>
      </c>
      <c r="YP6" s="75">
        <v>39</v>
      </c>
      <c r="YQ6" s="75">
        <v>39</v>
      </c>
      <c r="YR6" s="75">
        <v>39</v>
      </c>
      <c r="YS6" s="75"/>
      <c r="YT6" s="75">
        <v>39</v>
      </c>
      <c r="YU6" s="75">
        <v>39</v>
      </c>
      <c r="YV6" s="75">
        <v>32</v>
      </c>
      <c r="YW6" s="75">
        <v>32</v>
      </c>
      <c r="YX6" s="75">
        <v>32</v>
      </c>
      <c r="YY6" s="75">
        <v>32</v>
      </c>
      <c r="YZ6" s="75"/>
      <c r="ZA6" s="75">
        <v>32</v>
      </c>
      <c r="ZB6" s="75">
        <v>15</v>
      </c>
      <c r="ZC6" s="75">
        <v>15</v>
      </c>
      <c r="ZD6" s="75">
        <v>15</v>
      </c>
      <c r="ZE6" s="75">
        <v>15</v>
      </c>
      <c r="ZF6" s="75">
        <v>15</v>
      </c>
      <c r="ZG6" s="75"/>
      <c r="ZH6" s="75">
        <v>15</v>
      </c>
      <c r="ZI6" s="75">
        <v>15</v>
      </c>
      <c r="ZJ6" s="75">
        <v>15</v>
      </c>
      <c r="ZK6" s="75">
        <v>15</v>
      </c>
      <c r="ZL6" s="75">
        <v>15</v>
      </c>
      <c r="ZM6" s="75">
        <v>15</v>
      </c>
      <c r="ZN6" s="75"/>
      <c r="ZO6" s="75">
        <v>15</v>
      </c>
      <c r="ZP6" s="75">
        <v>15</v>
      </c>
      <c r="ZQ6" s="75">
        <v>15</v>
      </c>
      <c r="ZR6" s="75">
        <v>15</v>
      </c>
      <c r="ZS6" s="75"/>
      <c r="ZT6" s="75"/>
      <c r="ZU6" s="75"/>
      <c r="ZV6" s="75"/>
      <c r="ZW6" s="75"/>
      <c r="ZX6" s="75"/>
      <c r="ZY6" s="75"/>
      <c r="ZZ6" s="75"/>
      <c r="AAA6" s="75"/>
      <c r="AAB6" s="75"/>
      <c r="AAC6" s="75"/>
      <c r="AAD6" s="75"/>
      <c r="AAE6" s="75"/>
      <c r="AAF6" s="75"/>
      <c r="AAG6" s="75"/>
      <c r="AAH6" s="75"/>
      <c r="AAI6" s="75"/>
      <c r="AAJ6" s="75"/>
      <c r="AAK6" s="75"/>
      <c r="AAL6" s="75"/>
      <c r="AAM6" s="75"/>
      <c r="AAN6" s="75"/>
      <c r="AAO6" s="75"/>
      <c r="AAP6" s="75"/>
      <c r="AAQ6" s="75"/>
      <c r="AAR6" s="75"/>
      <c r="AAS6" s="75"/>
      <c r="AAT6" s="75"/>
      <c r="AAU6" s="75"/>
      <c r="AAV6" s="75"/>
      <c r="AAW6" s="75"/>
      <c r="AAX6" s="75"/>
      <c r="AAY6" s="75"/>
      <c r="AAZ6" s="75"/>
      <c r="ABA6" s="75"/>
      <c r="ABB6" s="75"/>
      <c r="ABC6" s="75"/>
    </row>
    <row r="7" spans="1:731">
      <c r="A7" s="75" t="s">
        <v>45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75"/>
      <c r="BJ7" s="75"/>
      <c r="BK7" s="75"/>
      <c r="BL7" s="75"/>
      <c r="BM7" s="75"/>
      <c r="BN7" s="75"/>
      <c r="BO7" s="75"/>
      <c r="BP7" s="75"/>
      <c r="BQ7" s="75"/>
      <c r="BR7" s="75"/>
      <c r="BS7" s="75"/>
      <c r="BT7" s="75"/>
      <c r="BU7" s="75"/>
      <c r="BV7" s="75"/>
      <c r="BW7" s="75"/>
      <c r="BX7" s="75"/>
      <c r="BY7" s="75"/>
      <c r="BZ7" s="75"/>
      <c r="CA7" s="75"/>
      <c r="CB7" s="75"/>
      <c r="CC7" s="75"/>
      <c r="CD7" s="75"/>
      <c r="CE7" s="75"/>
      <c r="CF7" s="75"/>
      <c r="CG7" s="75"/>
      <c r="CH7" s="75"/>
      <c r="CI7" s="75"/>
      <c r="CJ7" s="75"/>
      <c r="CK7" s="75"/>
      <c r="CL7" s="75"/>
      <c r="CM7" s="75"/>
      <c r="CN7" s="75"/>
      <c r="CO7" s="75"/>
      <c r="CP7" s="75"/>
      <c r="CQ7" s="75"/>
      <c r="CR7" s="75"/>
      <c r="CS7" s="75"/>
      <c r="CT7" s="75"/>
      <c r="CU7" s="75"/>
      <c r="CV7" s="75"/>
      <c r="CW7" s="75"/>
      <c r="CX7" s="75"/>
      <c r="CY7" s="75"/>
      <c r="CZ7" s="75"/>
      <c r="DA7" s="75"/>
      <c r="DB7" s="75"/>
      <c r="DC7" s="75"/>
      <c r="DD7" s="75"/>
      <c r="DE7" s="75"/>
      <c r="DF7" s="75"/>
      <c r="DG7" s="75">
        <v>5</v>
      </c>
      <c r="DH7" s="75">
        <v>5</v>
      </c>
      <c r="DI7" s="75">
        <v>5</v>
      </c>
      <c r="DJ7" s="75">
        <v>5</v>
      </c>
      <c r="DK7" s="75">
        <v>5</v>
      </c>
      <c r="DL7" s="75"/>
      <c r="DM7" s="75">
        <v>5</v>
      </c>
      <c r="DN7" s="75">
        <v>5</v>
      </c>
      <c r="DO7" s="75">
        <v>5</v>
      </c>
      <c r="DP7" s="75">
        <v>5</v>
      </c>
      <c r="DQ7" s="75">
        <v>5</v>
      </c>
      <c r="DR7" s="75">
        <v>5</v>
      </c>
      <c r="DS7" s="75"/>
      <c r="DT7" s="75">
        <v>5</v>
      </c>
      <c r="DU7" s="75">
        <v>5</v>
      </c>
      <c r="DV7" s="75">
        <v>5</v>
      </c>
      <c r="DW7" s="75">
        <v>5</v>
      </c>
      <c r="DX7" s="75">
        <v>5</v>
      </c>
      <c r="DY7" s="75">
        <v>5</v>
      </c>
      <c r="DZ7" s="75"/>
      <c r="EA7" s="75"/>
      <c r="EB7" s="75"/>
      <c r="EC7" s="75"/>
      <c r="ED7" s="75"/>
      <c r="EE7" s="75"/>
      <c r="EF7" s="75">
        <v>5</v>
      </c>
      <c r="EG7" s="75"/>
      <c r="EH7" s="75">
        <v>5</v>
      </c>
      <c r="EI7" s="75">
        <v>5</v>
      </c>
      <c r="EJ7" s="75">
        <v>5</v>
      </c>
      <c r="EK7" s="75">
        <v>5</v>
      </c>
      <c r="EL7" s="75">
        <v>5</v>
      </c>
      <c r="EM7" s="75">
        <v>5</v>
      </c>
      <c r="EN7" s="75"/>
      <c r="EO7" s="75">
        <v>5</v>
      </c>
      <c r="EP7" s="75">
        <v>5</v>
      </c>
      <c r="EQ7" s="75">
        <v>5</v>
      </c>
      <c r="ER7" s="75"/>
      <c r="ES7" s="75"/>
      <c r="ET7" s="75"/>
      <c r="EU7" s="75"/>
      <c r="EV7" s="75">
        <v>4</v>
      </c>
      <c r="EW7" s="75">
        <v>4</v>
      </c>
      <c r="EX7" s="75">
        <v>4</v>
      </c>
      <c r="EY7" s="75">
        <v>4</v>
      </c>
      <c r="EZ7" s="75">
        <v>4</v>
      </c>
      <c r="FA7" s="75">
        <v>4</v>
      </c>
      <c r="FB7" s="75"/>
      <c r="FC7" s="75">
        <v>8</v>
      </c>
      <c r="FD7" s="75">
        <v>8</v>
      </c>
      <c r="FE7" s="75">
        <v>8</v>
      </c>
      <c r="FF7" s="75">
        <v>8</v>
      </c>
      <c r="FG7" s="75">
        <v>4</v>
      </c>
      <c r="FH7" s="75">
        <v>4</v>
      </c>
      <c r="FI7" s="75"/>
      <c r="FJ7" s="75">
        <v>4</v>
      </c>
      <c r="FK7" s="75">
        <v>4</v>
      </c>
      <c r="FL7" s="75">
        <v>4</v>
      </c>
      <c r="FM7" s="75">
        <v>4</v>
      </c>
      <c r="FN7" s="75"/>
      <c r="FO7" s="75"/>
      <c r="FP7" s="75"/>
      <c r="FQ7" s="75"/>
      <c r="FR7" s="75"/>
      <c r="FS7" s="75"/>
      <c r="FT7" s="75"/>
      <c r="FU7" s="75"/>
      <c r="FV7" s="75"/>
      <c r="FW7" s="75"/>
      <c r="FX7" s="75"/>
      <c r="FY7" s="75"/>
      <c r="FZ7" s="75"/>
      <c r="GA7" s="75"/>
      <c r="GB7" s="75"/>
      <c r="GC7" s="75"/>
      <c r="GD7" s="75"/>
      <c r="GE7" s="75"/>
      <c r="GF7" s="75"/>
      <c r="GG7" s="75"/>
      <c r="GH7" s="75"/>
      <c r="GI7" s="75"/>
      <c r="GJ7" s="75"/>
      <c r="GK7" s="75"/>
      <c r="GL7" s="75"/>
      <c r="GM7" s="75"/>
      <c r="GN7" s="75"/>
      <c r="GO7" s="75"/>
      <c r="GP7" s="75"/>
      <c r="GQ7" s="75"/>
      <c r="GR7" s="75"/>
      <c r="GS7" s="75"/>
      <c r="GT7" s="75"/>
      <c r="GU7" s="75"/>
      <c r="GV7" s="75"/>
      <c r="GW7" s="75"/>
      <c r="GX7" s="75"/>
      <c r="GY7" s="75"/>
      <c r="GZ7" s="75"/>
      <c r="HA7" s="75"/>
      <c r="HB7" s="75"/>
      <c r="HC7" s="75"/>
      <c r="HD7" s="75"/>
      <c r="HE7" s="75"/>
      <c r="HF7" s="75"/>
      <c r="HG7" s="75"/>
      <c r="HH7" s="75"/>
      <c r="HI7" s="75"/>
      <c r="HJ7" s="75"/>
      <c r="HK7" s="75"/>
      <c r="HL7" s="75"/>
      <c r="HM7" s="75"/>
      <c r="HN7" s="75"/>
      <c r="HO7" s="75"/>
      <c r="HP7" s="75"/>
      <c r="HQ7" s="75"/>
      <c r="HR7" s="75"/>
      <c r="HS7" s="75"/>
      <c r="HT7" s="75"/>
      <c r="HU7" s="75"/>
      <c r="HV7" s="75"/>
      <c r="HW7" s="75"/>
      <c r="HX7" s="75"/>
      <c r="HY7" s="75"/>
      <c r="HZ7" s="75"/>
      <c r="IA7" s="75"/>
      <c r="IB7" s="75"/>
      <c r="IC7" s="75"/>
      <c r="ID7" s="75"/>
      <c r="IE7" s="75"/>
      <c r="IF7" s="75"/>
      <c r="IG7" s="75"/>
      <c r="IH7" s="75"/>
      <c r="II7" s="75"/>
      <c r="IJ7" s="75"/>
      <c r="IK7" s="75">
        <v>16</v>
      </c>
      <c r="IL7" s="75">
        <v>16</v>
      </c>
      <c r="IM7" s="75">
        <v>16</v>
      </c>
      <c r="IN7" s="75">
        <v>16</v>
      </c>
      <c r="IO7" s="75"/>
      <c r="IP7" s="75">
        <v>16</v>
      </c>
      <c r="IQ7" s="75">
        <v>16</v>
      </c>
      <c r="IR7" s="75">
        <v>16</v>
      </c>
      <c r="IS7" s="75">
        <v>16</v>
      </c>
      <c r="IT7" s="75">
        <v>32</v>
      </c>
      <c r="IU7" s="75">
        <v>32</v>
      </c>
      <c r="IV7" s="75"/>
      <c r="IW7" s="75">
        <v>32</v>
      </c>
      <c r="IX7" s="75">
        <v>32</v>
      </c>
      <c r="IY7" s="75">
        <v>32</v>
      </c>
      <c r="IZ7" s="75">
        <v>32</v>
      </c>
      <c r="JA7" s="75">
        <v>32</v>
      </c>
      <c r="JB7" s="75">
        <v>16</v>
      </c>
      <c r="JC7" s="75"/>
      <c r="JD7" s="75">
        <v>16</v>
      </c>
      <c r="JE7" s="75">
        <v>16</v>
      </c>
      <c r="JF7" s="75">
        <v>16</v>
      </c>
      <c r="JG7" s="75">
        <v>16</v>
      </c>
      <c r="JH7" s="75">
        <v>16</v>
      </c>
      <c r="JI7" s="75">
        <v>16</v>
      </c>
      <c r="JJ7" s="75"/>
      <c r="JK7" s="75">
        <v>16</v>
      </c>
      <c r="JL7" s="75">
        <v>16</v>
      </c>
      <c r="JM7" s="75">
        <v>16</v>
      </c>
      <c r="JN7" s="75">
        <v>26</v>
      </c>
      <c r="JO7" s="75">
        <v>26</v>
      </c>
      <c r="JP7" s="75">
        <v>26</v>
      </c>
      <c r="JQ7" s="75"/>
      <c r="JR7" s="75"/>
      <c r="JS7" s="75"/>
      <c r="JT7" s="75"/>
      <c r="JU7" s="75"/>
      <c r="JV7" s="75">
        <v>26</v>
      </c>
      <c r="JW7" s="75">
        <v>26</v>
      </c>
      <c r="JX7" s="75"/>
      <c r="JY7" s="75">
        <v>26</v>
      </c>
      <c r="JZ7" s="75">
        <v>41</v>
      </c>
      <c r="KA7" s="75">
        <v>41</v>
      </c>
      <c r="KB7" s="75">
        <v>51</v>
      </c>
      <c r="KC7" s="75">
        <v>51</v>
      </c>
      <c r="KD7" s="75">
        <v>51</v>
      </c>
      <c r="KE7" s="75"/>
      <c r="KF7" s="75">
        <v>51</v>
      </c>
      <c r="KG7" s="75">
        <v>51</v>
      </c>
      <c r="KH7" s="75">
        <v>35</v>
      </c>
      <c r="KI7" s="75">
        <v>50</v>
      </c>
      <c r="KJ7" s="75">
        <v>40</v>
      </c>
      <c r="KK7" s="75">
        <v>40</v>
      </c>
      <c r="KL7" s="75"/>
      <c r="KM7" s="75">
        <v>40</v>
      </c>
      <c r="KN7" s="75">
        <v>40</v>
      </c>
      <c r="KO7" s="75">
        <v>40</v>
      </c>
      <c r="KP7" s="75">
        <v>40</v>
      </c>
      <c r="KQ7" s="75">
        <v>35</v>
      </c>
      <c r="KR7" s="75">
        <v>50</v>
      </c>
      <c r="KS7" s="75"/>
      <c r="KT7" s="75">
        <v>50</v>
      </c>
      <c r="KU7" s="75">
        <v>50</v>
      </c>
      <c r="KV7" s="75">
        <v>50</v>
      </c>
      <c r="KW7" s="75">
        <v>50</v>
      </c>
      <c r="KX7" s="75">
        <v>50</v>
      </c>
      <c r="KY7" s="75">
        <v>50</v>
      </c>
      <c r="KZ7" s="75"/>
      <c r="LA7" s="75">
        <v>35</v>
      </c>
      <c r="LB7" s="75">
        <v>51</v>
      </c>
      <c r="LC7" s="75">
        <v>51</v>
      </c>
      <c r="LD7" s="75">
        <v>51</v>
      </c>
      <c r="LE7" s="75">
        <v>51</v>
      </c>
      <c r="LF7" s="75">
        <v>51</v>
      </c>
      <c r="LG7" s="75"/>
      <c r="LH7" s="75">
        <v>51</v>
      </c>
      <c r="LI7" s="75">
        <v>41</v>
      </c>
      <c r="LJ7" s="75">
        <v>26</v>
      </c>
      <c r="LK7" s="75">
        <v>32</v>
      </c>
      <c r="LL7" s="75">
        <v>60</v>
      </c>
      <c r="LM7" s="75">
        <v>72</v>
      </c>
      <c r="LN7" s="75"/>
      <c r="LO7" s="75">
        <v>72</v>
      </c>
      <c r="LP7" s="75">
        <v>72</v>
      </c>
      <c r="LQ7" s="75">
        <v>72</v>
      </c>
      <c r="LR7" s="75">
        <v>72</v>
      </c>
      <c r="LS7" s="75">
        <v>80</v>
      </c>
      <c r="LT7" s="75">
        <v>102</v>
      </c>
      <c r="LU7" s="75"/>
      <c r="LV7" s="75">
        <v>112</v>
      </c>
      <c r="LW7" s="75">
        <v>112</v>
      </c>
      <c r="LX7" s="75">
        <v>112</v>
      </c>
      <c r="LY7" s="75">
        <v>112</v>
      </c>
      <c r="LZ7" s="75">
        <v>112</v>
      </c>
      <c r="MA7" s="75">
        <v>112</v>
      </c>
      <c r="MB7" s="75"/>
      <c r="MC7" s="75">
        <v>96</v>
      </c>
      <c r="MD7" s="75">
        <v>85</v>
      </c>
      <c r="ME7" s="75">
        <v>84</v>
      </c>
      <c r="MF7" s="75">
        <v>84</v>
      </c>
      <c r="MG7" s="75"/>
      <c r="MH7" s="75"/>
      <c r="MI7" s="75"/>
      <c r="MJ7" s="75"/>
      <c r="MK7" s="75"/>
      <c r="ML7" s="75">
        <v>84</v>
      </c>
      <c r="MM7" s="75">
        <v>84</v>
      </c>
      <c r="MN7" s="75">
        <v>84</v>
      </c>
      <c r="MO7" s="75">
        <v>84</v>
      </c>
      <c r="MP7" s="75"/>
      <c r="MQ7" s="75">
        <v>62</v>
      </c>
      <c r="MR7" s="75">
        <v>40</v>
      </c>
      <c r="MS7" s="75">
        <v>46</v>
      </c>
      <c r="MT7" s="75">
        <v>56</v>
      </c>
      <c r="MU7" s="75">
        <v>73</v>
      </c>
      <c r="MV7" s="75">
        <v>84</v>
      </c>
      <c r="MW7" s="75"/>
      <c r="MX7" s="75">
        <v>84</v>
      </c>
      <c r="MY7" s="75">
        <v>84</v>
      </c>
      <c r="MZ7" s="75">
        <v>84</v>
      </c>
      <c r="NA7" s="75">
        <v>68</v>
      </c>
      <c r="NB7" s="75">
        <v>96</v>
      </c>
      <c r="NC7" s="75">
        <v>112</v>
      </c>
      <c r="ND7" s="75"/>
      <c r="NE7" s="75">
        <v>112</v>
      </c>
      <c r="NF7" s="75">
        <v>112</v>
      </c>
      <c r="NG7" s="75">
        <v>112</v>
      </c>
      <c r="NH7" s="75">
        <v>112</v>
      </c>
      <c r="NI7" s="75">
        <v>112</v>
      </c>
      <c r="NJ7" s="75">
        <v>106</v>
      </c>
      <c r="NK7" s="75"/>
      <c r="NL7" s="75">
        <v>96</v>
      </c>
      <c r="NM7" s="75">
        <v>98</v>
      </c>
      <c r="NN7" s="75">
        <v>86</v>
      </c>
      <c r="NO7" s="75">
        <v>86</v>
      </c>
      <c r="NP7" s="75">
        <v>86</v>
      </c>
      <c r="NQ7" s="75">
        <v>86</v>
      </c>
      <c r="NR7" s="75"/>
      <c r="NS7" s="75">
        <v>86</v>
      </c>
      <c r="NT7" s="75">
        <v>46</v>
      </c>
      <c r="NU7" s="75">
        <v>30</v>
      </c>
      <c r="NV7" s="75">
        <v>30</v>
      </c>
      <c r="NW7" s="75">
        <v>30</v>
      </c>
      <c r="NX7" s="75">
        <v>60</v>
      </c>
      <c r="NY7" s="75"/>
      <c r="NZ7" s="75">
        <v>60</v>
      </c>
      <c r="OA7" s="75">
        <v>72</v>
      </c>
      <c r="OB7" s="75">
        <v>70</v>
      </c>
      <c r="OC7" s="75">
        <v>80</v>
      </c>
      <c r="OD7" s="75">
        <v>60</v>
      </c>
      <c r="OE7" s="75">
        <v>60</v>
      </c>
      <c r="OF7" s="75"/>
      <c r="OG7" s="75">
        <v>60</v>
      </c>
      <c r="OH7" s="75">
        <v>60</v>
      </c>
      <c r="OI7" s="75">
        <v>60</v>
      </c>
      <c r="OJ7" s="75">
        <v>70</v>
      </c>
      <c r="OK7" s="75">
        <v>70</v>
      </c>
      <c r="OL7" s="75">
        <v>70</v>
      </c>
      <c r="OM7" s="75"/>
      <c r="ON7" s="75">
        <v>70</v>
      </c>
      <c r="OO7" s="75">
        <v>90</v>
      </c>
      <c r="OP7" s="75">
        <v>80</v>
      </c>
      <c r="OQ7" s="75">
        <v>92</v>
      </c>
      <c r="OR7" s="75">
        <v>88</v>
      </c>
      <c r="OS7" s="75">
        <v>80</v>
      </c>
      <c r="OT7" s="75"/>
      <c r="OU7" s="75">
        <v>70</v>
      </c>
      <c r="OV7" s="75">
        <v>70</v>
      </c>
      <c r="OW7" s="75">
        <v>70</v>
      </c>
      <c r="OX7" s="75">
        <v>70</v>
      </c>
      <c r="OY7" s="75">
        <v>70</v>
      </c>
      <c r="OZ7" s="75">
        <v>70</v>
      </c>
      <c r="PA7" s="75"/>
      <c r="PB7" s="75">
        <v>60</v>
      </c>
      <c r="PC7" s="75">
        <v>60</v>
      </c>
      <c r="PD7" s="75">
        <v>60</v>
      </c>
      <c r="PE7" s="75">
        <v>60</v>
      </c>
      <c r="PF7" s="75">
        <v>40</v>
      </c>
      <c r="PG7" s="75">
        <v>20</v>
      </c>
      <c r="PH7" s="75"/>
      <c r="PI7" s="75">
        <v>8</v>
      </c>
      <c r="PJ7" s="75"/>
      <c r="PK7" s="75"/>
      <c r="PL7" s="75"/>
      <c r="PM7" s="75">
        <v>10</v>
      </c>
      <c r="PN7" s="75">
        <v>10</v>
      </c>
      <c r="PO7" s="75"/>
      <c r="PP7" s="75">
        <v>10</v>
      </c>
      <c r="PQ7" s="75">
        <v>10</v>
      </c>
      <c r="PR7" s="75">
        <v>10</v>
      </c>
      <c r="PS7" s="75">
        <v>10</v>
      </c>
      <c r="PT7" s="75">
        <v>10</v>
      </c>
      <c r="PU7" s="75">
        <v>10</v>
      </c>
      <c r="PV7" s="75"/>
      <c r="PW7" s="75">
        <v>10</v>
      </c>
      <c r="PX7" s="75">
        <v>10</v>
      </c>
      <c r="PY7" s="75">
        <v>10</v>
      </c>
      <c r="PZ7" s="75">
        <v>10</v>
      </c>
      <c r="QA7" s="75">
        <v>10</v>
      </c>
      <c r="QB7" s="75">
        <v>10</v>
      </c>
      <c r="QC7" s="75"/>
      <c r="QD7" s="75"/>
      <c r="QE7" s="75"/>
      <c r="QF7" s="75"/>
      <c r="QG7" s="75"/>
      <c r="QH7" s="75"/>
      <c r="QI7" s="75"/>
      <c r="QJ7" s="75"/>
      <c r="QK7" s="75"/>
      <c r="QL7" s="75"/>
      <c r="QM7" s="75"/>
      <c r="QN7" s="75"/>
      <c r="QO7" s="75"/>
      <c r="QP7" s="75"/>
      <c r="QQ7" s="75"/>
      <c r="QR7" s="75"/>
      <c r="QS7" s="75"/>
      <c r="QT7" s="75"/>
      <c r="QU7" s="75"/>
      <c r="QV7" s="75"/>
      <c r="QW7" s="75"/>
      <c r="QX7" s="75"/>
      <c r="QY7" s="75"/>
      <c r="QZ7" s="75"/>
      <c r="RA7" s="75"/>
      <c r="RB7" s="75"/>
      <c r="RC7" s="75"/>
      <c r="RD7" s="75"/>
      <c r="RE7" s="75"/>
      <c r="RF7" s="75"/>
      <c r="RG7" s="75"/>
      <c r="RH7" s="75"/>
      <c r="RI7" s="75"/>
      <c r="RJ7" s="75"/>
      <c r="RK7" s="75"/>
      <c r="RL7" s="75"/>
      <c r="RM7" s="75"/>
      <c r="RN7" s="75"/>
      <c r="RO7" s="75"/>
      <c r="RP7" s="75"/>
      <c r="RQ7" s="75"/>
      <c r="RR7" s="75"/>
      <c r="RS7" s="75"/>
      <c r="RT7" s="75"/>
      <c r="RU7" s="75"/>
      <c r="RV7" s="75"/>
      <c r="RW7" s="75"/>
      <c r="RX7" s="75"/>
      <c r="RY7" s="75"/>
      <c r="RZ7" s="75"/>
      <c r="SA7" s="75"/>
      <c r="SB7" s="75"/>
      <c r="SC7" s="75"/>
      <c r="SD7" s="75"/>
      <c r="SE7" s="75"/>
      <c r="SF7" s="75"/>
      <c r="SG7" s="75"/>
      <c r="SH7" s="75"/>
      <c r="SI7" s="75"/>
      <c r="SJ7" s="75"/>
      <c r="SK7" s="75"/>
      <c r="SL7" s="75"/>
      <c r="SM7" s="75"/>
      <c r="SN7" s="75"/>
      <c r="SO7" s="75"/>
      <c r="SP7" s="75"/>
      <c r="SQ7" s="75"/>
      <c r="SR7" s="75"/>
      <c r="SS7" s="75"/>
      <c r="ST7" s="75"/>
      <c r="SU7" s="75"/>
      <c r="SV7" s="75"/>
      <c r="SW7" s="75"/>
      <c r="SX7" s="75"/>
      <c r="SY7" s="75"/>
      <c r="SZ7" s="75"/>
      <c r="TA7" s="75"/>
      <c r="TB7" s="75"/>
      <c r="TC7" s="75"/>
      <c r="TD7" s="75"/>
      <c r="TE7" s="75"/>
      <c r="TF7" s="75"/>
      <c r="TG7" s="75"/>
      <c r="TH7" s="75"/>
      <c r="TI7" s="75"/>
      <c r="TJ7" s="75"/>
      <c r="TK7" s="75"/>
      <c r="TL7" s="75"/>
      <c r="TM7" s="75"/>
      <c r="TN7" s="75"/>
      <c r="TO7" s="75"/>
      <c r="TP7" s="75"/>
      <c r="TQ7" s="75"/>
      <c r="TR7" s="75"/>
      <c r="TS7" s="75"/>
      <c r="TT7" s="75"/>
      <c r="TU7" s="75"/>
      <c r="TV7" s="75"/>
      <c r="TW7" s="75"/>
      <c r="TX7" s="75"/>
      <c r="TY7" s="75"/>
      <c r="TZ7" s="75"/>
      <c r="UA7" s="75"/>
      <c r="UB7" s="75"/>
      <c r="UC7" s="75"/>
      <c r="UD7" s="75"/>
      <c r="UE7" s="75"/>
      <c r="UF7" s="75"/>
      <c r="UG7" s="75"/>
      <c r="UH7" s="75"/>
      <c r="UI7" s="75"/>
      <c r="UJ7" s="75"/>
      <c r="UK7" s="75"/>
      <c r="UL7" s="75"/>
      <c r="UM7" s="75"/>
      <c r="UN7" s="75"/>
      <c r="UO7" s="75"/>
      <c r="UP7" s="75"/>
      <c r="UQ7" s="75"/>
      <c r="UR7" s="75"/>
      <c r="US7" s="75"/>
      <c r="UT7" s="75"/>
      <c r="UU7" s="75"/>
      <c r="UV7" s="75"/>
      <c r="UW7" s="75"/>
      <c r="UX7" s="75"/>
      <c r="UY7" s="75"/>
      <c r="UZ7" s="75"/>
      <c r="VA7" s="75"/>
      <c r="VB7" s="75"/>
      <c r="VC7" s="75"/>
      <c r="VD7" s="75"/>
      <c r="VE7" s="75"/>
      <c r="VF7" s="75"/>
      <c r="VG7" s="75"/>
      <c r="VH7" s="75"/>
      <c r="VI7" s="75"/>
      <c r="VJ7" s="75"/>
      <c r="VK7" s="75"/>
      <c r="VL7" s="75"/>
      <c r="VM7" s="75"/>
      <c r="VN7" s="75"/>
      <c r="VO7" s="75"/>
      <c r="VP7" s="75"/>
      <c r="VQ7" s="75"/>
      <c r="VR7" s="75"/>
      <c r="VS7" s="75"/>
      <c r="VT7" s="75"/>
      <c r="VU7" s="75"/>
      <c r="VV7" s="75"/>
      <c r="VW7" s="75"/>
      <c r="VX7" s="75"/>
      <c r="VY7" s="75"/>
      <c r="VZ7" s="75"/>
      <c r="WA7" s="75"/>
      <c r="WB7" s="75"/>
      <c r="WC7" s="75"/>
      <c r="WD7" s="75"/>
      <c r="WE7" s="75"/>
      <c r="WF7" s="75"/>
      <c r="WG7" s="75"/>
      <c r="WH7" s="75"/>
      <c r="WI7" s="75"/>
      <c r="WJ7" s="75"/>
      <c r="WK7" s="75"/>
      <c r="WL7" s="75"/>
      <c r="WM7" s="75"/>
      <c r="WN7" s="75"/>
      <c r="WO7" s="75"/>
      <c r="WP7" s="75"/>
      <c r="WQ7" s="75"/>
      <c r="WR7" s="75"/>
      <c r="WS7" s="75"/>
      <c r="WT7" s="75"/>
      <c r="WU7" s="75"/>
      <c r="WV7" s="75"/>
      <c r="WW7" s="75"/>
      <c r="WX7" s="75"/>
      <c r="WY7" s="75"/>
      <c r="WZ7" s="75"/>
      <c r="XA7" s="75"/>
      <c r="XB7" s="75"/>
      <c r="XC7" s="75"/>
      <c r="XD7" s="75"/>
      <c r="XE7" s="75"/>
      <c r="XF7" s="75"/>
      <c r="XG7" s="75"/>
      <c r="XH7" s="75"/>
      <c r="XI7" s="75"/>
      <c r="XJ7" s="75"/>
      <c r="XK7" s="75"/>
      <c r="XL7" s="75"/>
      <c r="XM7" s="75"/>
      <c r="XN7" s="75"/>
      <c r="XO7" s="75"/>
      <c r="XP7" s="75"/>
      <c r="XQ7" s="75"/>
      <c r="XR7" s="75"/>
      <c r="XS7" s="75"/>
      <c r="XT7" s="75"/>
      <c r="XU7" s="75"/>
      <c r="XV7" s="75"/>
      <c r="XW7" s="75"/>
      <c r="XX7" s="75"/>
      <c r="XY7" s="75"/>
      <c r="XZ7" s="75"/>
      <c r="YA7" s="75"/>
      <c r="YB7" s="75"/>
      <c r="YC7" s="75"/>
      <c r="YD7" s="75"/>
      <c r="YE7" s="75"/>
      <c r="YF7" s="75"/>
      <c r="YG7" s="75"/>
      <c r="YH7" s="75"/>
      <c r="YI7" s="75"/>
      <c r="YJ7" s="75"/>
      <c r="YK7" s="75"/>
      <c r="YL7" s="75"/>
      <c r="YM7" s="75"/>
      <c r="YN7" s="75"/>
      <c r="YO7" s="75"/>
      <c r="YP7" s="75"/>
      <c r="YQ7" s="75"/>
      <c r="YR7" s="75"/>
      <c r="YS7" s="75"/>
      <c r="YT7" s="75"/>
      <c r="YU7" s="75"/>
      <c r="YV7" s="75"/>
      <c r="YW7" s="75"/>
      <c r="YX7" s="75"/>
      <c r="YY7" s="75"/>
      <c r="YZ7" s="75"/>
      <c r="ZA7" s="75"/>
      <c r="ZB7" s="75"/>
      <c r="ZC7" s="75"/>
      <c r="ZD7" s="75"/>
      <c r="ZE7" s="75"/>
      <c r="ZF7" s="75"/>
      <c r="ZG7" s="75"/>
      <c r="ZH7" s="75"/>
      <c r="ZI7" s="75"/>
      <c r="ZJ7" s="75"/>
      <c r="ZK7" s="75"/>
      <c r="ZL7" s="75"/>
      <c r="ZM7" s="75"/>
      <c r="ZN7" s="75"/>
      <c r="ZO7" s="75"/>
      <c r="ZP7" s="75"/>
      <c r="ZQ7" s="75"/>
      <c r="ZR7" s="75"/>
      <c r="ZS7" s="75"/>
      <c r="ZT7" s="75"/>
      <c r="ZU7" s="75"/>
      <c r="ZV7" s="75"/>
      <c r="ZW7" s="75"/>
      <c r="ZX7" s="75"/>
      <c r="ZY7" s="75"/>
      <c r="ZZ7" s="75"/>
      <c r="AAA7" s="75"/>
      <c r="AAB7" s="75"/>
      <c r="AAC7" s="75"/>
      <c r="AAD7" s="75"/>
      <c r="AAE7" s="75"/>
      <c r="AAF7" s="75"/>
      <c r="AAG7" s="75"/>
      <c r="AAH7" s="75"/>
      <c r="AAI7" s="75"/>
      <c r="AAJ7" s="75"/>
      <c r="AAK7" s="75"/>
      <c r="AAL7" s="75"/>
      <c r="AAM7" s="75"/>
      <c r="AAN7" s="75"/>
      <c r="AAO7" s="75"/>
      <c r="AAP7" s="75"/>
      <c r="AAQ7" s="75"/>
      <c r="AAR7" s="75"/>
      <c r="AAS7" s="75"/>
      <c r="AAT7" s="75"/>
      <c r="AAU7" s="75"/>
      <c r="AAV7" s="75"/>
      <c r="AAW7" s="75"/>
      <c r="AAX7" s="75"/>
      <c r="AAY7" s="75"/>
      <c r="AAZ7" s="75"/>
      <c r="ABA7" s="75"/>
      <c r="ABB7" s="75"/>
      <c r="ABC7" s="75"/>
    </row>
    <row r="8" spans="1:731">
      <c r="A8" s="75" t="s">
        <v>46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5"/>
      <c r="BF8" s="75"/>
      <c r="BG8" s="75"/>
      <c r="BH8" s="75"/>
      <c r="BI8" s="75"/>
      <c r="BJ8" s="75"/>
      <c r="BK8" s="75"/>
      <c r="BL8" s="75"/>
      <c r="BM8" s="75"/>
      <c r="BN8" s="75"/>
      <c r="BO8" s="75"/>
      <c r="BP8" s="75"/>
      <c r="BQ8" s="75"/>
      <c r="BR8" s="75"/>
      <c r="BS8" s="75"/>
      <c r="BT8" s="75"/>
      <c r="BU8" s="75"/>
      <c r="BV8" s="75"/>
      <c r="BW8" s="75"/>
      <c r="BX8" s="75"/>
      <c r="BY8" s="75"/>
      <c r="BZ8" s="75"/>
      <c r="CA8" s="75"/>
      <c r="CB8" s="75"/>
      <c r="CC8" s="75"/>
      <c r="CD8" s="75"/>
      <c r="CE8" s="75"/>
      <c r="CF8" s="75"/>
      <c r="CG8" s="75"/>
      <c r="CH8" s="75"/>
      <c r="CI8" s="75"/>
      <c r="CJ8" s="75"/>
      <c r="CK8" s="75"/>
      <c r="CL8" s="75"/>
      <c r="CM8" s="75"/>
      <c r="CN8" s="75"/>
      <c r="CO8" s="75"/>
      <c r="CP8" s="75"/>
      <c r="CQ8" s="75"/>
      <c r="CR8" s="75"/>
      <c r="CS8" s="75"/>
      <c r="CT8" s="75"/>
      <c r="CU8" s="75"/>
      <c r="CV8" s="75"/>
      <c r="CW8" s="75"/>
      <c r="CX8" s="75"/>
      <c r="CY8" s="75"/>
      <c r="CZ8" s="75"/>
      <c r="DA8" s="75"/>
      <c r="DB8" s="75"/>
      <c r="DC8" s="75"/>
      <c r="DD8" s="75"/>
      <c r="DE8" s="75"/>
      <c r="DF8" s="75"/>
      <c r="DG8" s="75"/>
      <c r="DH8" s="75"/>
      <c r="DI8" s="75"/>
      <c r="DJ8" s="75"/>
      <c r="DK8" s="75"/>
      <c r="DL8" s="75"/>
      <c r="DM8" s="75"/>
      <c r="DN8" s="75"/>
      <c r="DO8" s="75"/>
      <c r="DP8" s="75"/>
      <c r="DQ8" s="75"/>
      <c r="DR8" s="75"/>
      <c r="DS8" s="75"/>
      <c r="DT8" s="75"/>
      <c r="DU8" s="75"/>
      <c r="DV8" s="75"/>
      <c r="DW8" s="75"/>
      <c r="DX8" s="75"/>
      <c r="DY8" s="75"/>
      <c r="DZ8" s="75"/>
      <c r="EA8" s="75"/>
      <c r="EB8" s="75"/>
      <c r="EC8" s="75"/>
      <c r="ED8" s="75"/>
      <c r="EE8" s="75"/>
      <c r="EF8" s="75"/>
      <c r="EG8" s="75"/>
      <c r="EH8" s="75"/>
      <c r="EI8" s="75"/>
      <c r="EJ8" s="75"/>
      <c r="EK8" s="75"/>
      <c r="EL8" s="75"/>
      <c r="EM8" s="75"/>
      <c r="EN8" s="75"/>
      <c r="EO8" s="75"/>
      <c r="EP8" s="75"/>
      <c r="EQ8" s="75"/>
      <c r="ER8" s="75"/>
      <c r="ES8" s="75"/>
      <c r="ET8" s="75"/>
      <c r="EU8" s="75"/>
      <c r="EV8" s="75"/>
      <c r="EW8" s="75"/>
      <c r="EX8" s="75"/>
      <c r="EY8" s="75"/>
      <c r="EZ8" s="75"/>
      <c r="FA8" s="75"/>
      <c r="FB8" s="75"/>
      <c r="FC8" s="75"/>
      <c r="FD8" s="75"/>
      <c r="FE8" s="75"/>
      <c r="FF8" s="75"/>
      <c r="FG8" s="75"/>
      <c r="FH8" s="75"/>
      <c r="FI8" s="75"/>
      <c r="FJ8" s="75"/>
      <c r="FK8" s="75"/>
      <c r="FL8" s="75"/>
      <c r="FM8" s="75"/>
      <c r="FN8" s="75"/>
      <c r="FO8" s="75"/>
      <c r="FP8" s="75"/>
      <c r="FQ8" s="75"/>
      <c r="FR8" s="75"/>
      <c r="FS8" s="75"/>
      <c r="FT8" s="75"/>
      <c r="FU8" s="75"/>
      <c r="FV8" s="75"/>
      <c r="FW8" s="75"/>
      <c r="FX8" s="75"/>
      <c r="FY8" s="75"/>
      <c r="FZ8" s="75"/>
      <c r="GA8" s="75"/>
      <c r="GB8" s="75"/>
      <c r="GC8" s="75"/>
      <c r="GD8" s="75"/>
      <c r="GE8" s="75"/>
      <c r="GF8" s="75"/>
      <c r="GG8" s="75"/>
      <c r="GH8" s="75"/>
      <c r="GI8" s="75"/>
      <c r="GJ8" s="75"/>
      <c r="GK8" s="75"/>
      <c r="GL8" s="75"/>
      <c r="GM8" s="75"/>
      <c r="GN8" s="75"/>
      <c r="GO8" s="75"/>
      <c r="GP8" s="75"/>
      <c r="GQ8" s="75"/>
      <c r="GR8" s="75"/>
      <c r="GS8" s="75"/>
      <c r="GT8" s="75"/>
      <c r="GU8" s="75"/>
      <c r="GV8" s="75"/>
      <c r="GW8" s="75"/>
      <c r="GX8" s="75"/>
      <c r="GY8" s="75"/>
      <c r="GZ8" s="75"/>
      <c r="HA8" s="75"/>
      <c r="HB8" s="75"/>
      <c r="HC8" s="75"/>
      <c r="HD8" s="75"/>
      <c r="HE8" s="75"/>
      <c r="HF8" s="75"/>
      <c r="HG8" s="75"/>
      <c r="HH8" s="75"/>
      <c r="HI8" s="75"/>
      <c r="HJ8" s="75"/>
      <c r="HK8" s="75"/>
      <c r="HL8" s="75"/>
      <c r="HM8" s="75"/>
      <c r="HN8" s="75"/>
      <c r="HO8" s="75"/>
      <c r="HP8" s="75"/>
      <c r="HQ8" s="75"/>
      <c r="HR8" s="75"/>
      <c r="HS8" s="75"/>
      <c r="HT8" s="75"/>
      <c r="HU8" s="75"/>
      <c r="HV8" s="75"/>
      <c r="HW8" s="75"/>
      <c r="HX8" s="75"/>
      <c r="HY8" s="75"/>
      <c r="HZ8" s="75"/>
      <c r="IA8" s="75"/>
      <c r="IB8" s="75"/>
      <c r="IC8" s="75"/>
      <c r="ID8" s="75"/>
      <c r="IE8" s="75"/>
      <c r="IF8" s="75"/>
      <c r="IG8" s="75"/>
      <c r="IH8" s="75"/>
      <c r="II8" s="75"/>
      <c r="IJ8" s="75">
        <v>1</v>
      </c>
      <c r="IK8" s="75">
        <v>1</v>
      </c>
      <c r="IL8" s="75">
        <v>1</v>
      </c>
      <c r="IM8" s="75">
        <v>1</v>
      </c>
      <c r="IN8" s="75">
        <v>1</v>
      </c>
      <c r="IO8" s="75"/>
      <c r="IP8" s="75">
        <v>1</v>
      </c>
      <c r="IQ8" s="75">
        <v>1</v>
      </c>
      <c r="IR8" s="75">
        <v>1</v>
      </c>
      <c r="IS8" s="75">
        <v>1</v>
      </c>
      <c r="IT8" s="75">
        <v>1</v>
      </c>
      <c r="IU8" s="75">
        <v>1</v>
      </c>
      <c r="IV8" s="75"/>
      <c r="IW8" s="75">
        <v>1</v>
      </c>
      <c r="IX8" s="75">
        <v>1</v>
      </c>
      <c r="IY8" s="75">
        <v>1</v>
      </c>
      <c r="IZ8" s="75">
        <v>1</v>
      </c>
      <c r="JA8" s="75">
        <v>1</v>
      </c>
      <c r="JB8" s="75"/>
      <c r="JC8" s="75"/>
      <c r="JD8" s="75"/>
      <c r="JE8" s="75"/>
      <c r="JF8" s="75"/>
      <c r="JG8" s="75"/>
      <c r="JH8" s="75"/>
      <c r="JI8" s="75"/>
      <c r="JJ8" s="75"/>
      <c r="JK8" s="75">
        <v>1</v>
      </c>
      <c r="JL8" s="75">
        <v>1</v>
      </c>
      <c r="JM8" s="75">
        <v>1</v>
      </c>
      <c r="JN8" s="75">
        <v>1</v>
      </c>
      <c r="JO8" s="75">
        <v>1</v>
      </c>
      <c r="JP8" s="75">
        <v>1</v>
      </c>
      <c r="JQ8" s="75"/>
      <c r="JR8" s="75"/>
      <c r="JS8" s="75"/>
      <c r="JT8" s="75"/>
      <c r="JU8" s="75"/>
      <c r="JV8" s="75">
        <v>1</v>
      </c>
      <c r="JW8" s="75">
        <v>1</v>
      </c>
      <c r="JX8" s="75"/>
      <c r="JY8" s="75">
        <v>2</v>
      </c>
      <c r="JZ8" s="75">
        <v>2</v>
      </c>
      <c r="KA8" s="75">
        <v>2</v>
      </c>
      <c r="KB8" s="75">
        <v>2</v>
      </c>
      <c r="KC8" s="75">
        <v>2</v>
      </c>
      <c r="KD8" s="75">
        <v>2</v>
      </c>
      <c r="KE8" s="75"/>
      <c r="KF8" s="75">
        <v>2</v>
      </c>
      <c r="KG8" s="75">
        <v>2</v>
      </c>
      <c r="KH8" s="75">
        <v>2</v>
      </c>
      <c r="KI8" s="75">
        <v>2</v>
      </c>
      <c r="KJ8" s="75">
        <v>2</v>
      </c>
      <c r="KK8" s="75">
        <v>2</v>
      </c>
      <c r="KL8" s="75"/>
      <c r="KM8" s="75">
        <v>2</v>
      </c>
      <c r="KN8" s="75">
        <v>2</v>
      </c>
      <c r="KO8" s="75">
        <v>2</v>
      </c>
      <c r="KP8" s="75">
        <v>2</v>
      </c>
      <c r="KQ8" s="75">
        <v>2</v>
      </c>
      <c r="KR8" s="75">
        <v>13</v>
      </c>
      <c r="KS8" s="75"/>
      <c r="KT8" s="75">
        <v>13</v>
      </c>
      <c r="KU8" s="75">
        <v>13</v>
      </c>
      <c r="KV8" s="75">
        <v>13</v>
      </c>
      <c r="KW8" s="75">
        <v>13</v>
      </c>
      <c r="KX8" s="75">
        <v>13</v>
      </c>
      <c r="KY8" s="75">
        <v>13</v>
      </c>
      <c r="KZ8" s="75"/>
      <c r="LA8" s="75">
        <v>14</v>
      </c>
      <c r="LB8" s="75">
        <v>25</v>
      </c>
      <c r="LC8" s="75">
        <v>25</v>
      </c>
      <c r="LD8" s="75">
        <v>25</v>
      </c>
      <c r="LE8" s="75">
        <v>25</v>
      </c>
      <c r="LF8" s="75">
        <v>29</v>
      </c>
      <c r="LG8" s="75"/>
      <c r="LH8" s="75">
        <v>29</v>
      </c>
      <c r="LI8" s="75">
        <v>29</v>
      </c>
      <c r="LJ8" s="75">
        <v>29</v>
      </c>
      <c r="LK8" s="75">
        <v>31</v>
      </c>
      <c r="LL8" s="75">
        <v>32</v>
      </c>
      <c r="LM8" s="75">
        <v>32</v>
      </c>
      <c r="LN8" s="75"/>
      <c r="LO8" s="75">
        <v>32</v>
      </c>
      <c r="LP8" s="75">
        <v>36</v>
      </c>
      <c r="LQ8" s="75">
        <v>45</v>
      </c>
      <c r="LR8" s="75">
        <v>59</v>
      </c>
      <c r="LS8" s="75">
        <v>60</v>
      </c>
      <c r="LT8" s="75">
        <v>60</v>
      </c>
      <c r="LU8" s="75"/>
      <c r="LV8" s="75">
        <v>60</v>
      </c>
      <c r="LW8" s="75">
        <v>58</v>
      </c>
      <c r="LX8" s="75">
        <v>41</v>
      </c>
      <c r="LY8" s="75">
        <v>41</v>
      </c>
      <c r="LZ8" s="75">
        <v>41</v>
      </c>
      <c r="MA8" s="75">
        <v>41</v>
      </c>
      <c r="MB8" s="75"/>
      <c r="MC8" s="75">
        <v>42</v>
      </c>
      <c r="MD8" s="75">
        <v>39</v>
      </c>
      <c r="ME8" s="75">
        <v>43</v>
      </c>
      <c r="MF8" s="75">
        <v>47</v>
      </c>
      <c r="MG8" s="75"/>
      <c r="MH8" s="75"/>
      <c r="MI8" s="75"/>
      <c r="MJ8" s="75"/>
      <c r="MK8" s="75"/>
      <c r="ML8" s="75">
        <v>32</v>
      </c>
      <c r="MM8" s="75">
        <v>32</v>
      </c>
      <c r="MN8" s="75">
        <v>32</v>
      </c>
      <c r="MO8" s="75">
        <v>32</v>
      </c>
      <c r="MP8" s="75"/>
      <c r="MQ8" s="75">
        <v>41</v>
      </c>
      <c r="MR8" s="75">
        <v>41</v>
      </c>
      <c r="MS8" s="75">
        <v>41</v>
      </c>
      <c r="MT8" s="75">
        <v>41</v>
      </c>
      <c r="MU8" s="75">
        <v>41</v>
      </c>
      <c r="MV8" s="75">
        <v>41</v>
      </c>
      <c r="MW8" s="75"/>
      <c r="MX8" s="75">
        <v>41</v>
      </c>
      <c r="MY8" s="75">
        <v>41</v>
      </c>
      <c r="MZ8" s="75">
        <v>41</v>
      </c>
      <c r="NA8" s="75">
        <v>50</v>
      </c>
      <c r="NB8" s="75">
        <v>37</v>
      </c>
      <c r="NC8" s="75">
        <v>22</v>
      </c>
      <c r="ND8" s="75"/>
      <c r="NE8" s="75">
        <v>26</v>
      </c>
      <c r="NF8" s="75">
        <v>26</v>
      </c>
      <c r="NG8" s="75">
        <v>26</v>
      </c>
      <c r="NH8" s="75">
        <v>26</v>
      </c>
      <c r="NI8" s="75">
        <v>26</v>
      </c>
      <c r="NJ8" s="75">
        <v>31</v>
      </c>
      <c r="NK8" s="75"/>
      <c r="NL8" s="75">
        <v>33</v>
      </c>
      <c r="NM8" s="75">
        <v>33</v>
      </c>
      <c r="NN8" s="75">
        <v>33</v>
      </c>
      <c r="NO8" s="75">
        <v>37</v>
      </c>
      <c r="NP8" s="75">
        <v>37</v>
      </c>
      <c r="NQ8" s="75">
        <v>37</v>
      </c>
      <c r="NR8" s="75"/>
      <c r="NS8" s="75">
        <v>37</v>
      </c>
      <c r="NT8" s="75">
        <v>37</v>
      </c>
      <c r="NU8" s="75">
        <v>49</v>
      </c>
      <c r="NV8" s="75">
        <v>44</v>
      </c>
      <c r="NW8" s="75">
        <v>46</v>
      </c>
      <c r="NX8" s="75">
        <v>50</v>
      </c>
      <c r="NY8" s="75"/>
      <c r="NZ8" s="75">
        <v>51</v>
      </c>
      <c r="OA8" s="75">
        <v>52</v>
      </c>
      <c r="OB8" s="75">
        <v>75</v>
      </c>
      <c r="OC8" s="75">
        <v>88</v>
      </c>
      <c r="OD8" s="75">
        <v>88</v>
      </c>
      <c r="OE8" s="75">
        <v>88</v>
      </c>
      <c r="OF8" s="75"/>
      <c r="OG8" s="75">
        <v>73</v>
      </c>
      <c r="OH8" s="75">
        <v>73</v>
      </c>
      <c r="OI8" s="75">
        <v>72</v>
      </c>
      <c r="OJ8" s="75">
        <v>80</v>
      </c>
      <c r="OK8" s="75">
        <v>80</v>
      </c>
      <c r="OL8" s="75">
        <v>89</v>
      </c>
      <c r="OM8" s="75"/>
      <c r="ON8" s="75">
        <v>89</v>
      </c>
      <c r="OO8" s="75">
        <v>89</v>
      </c>
      <c r="OP8" s="75">
        <v>76</v>
      </c>
      <c r="OQ8" s="75">
        <v>80</v>
      </c>
      <c r="OR8" s="75">
        <v>80</v>
      </c>
      <c r="OS8" s="75">
        <v>86</v>
      </c>
      <c r="OT8" s="75"/>
      <c r="OU8" s="75">
        <v>84</v>
      </c>
      <c r="OV8" s="75">
        <v>84</v>
      </c>
      <c r="OW8" s="75">
        <v>84</v>
      </c>
      <c r="OX8" s="75">
        <v>88</v>
      </c>
      <c r="OY8" s="75">
        <v>88</v>
      </c>
      <c r="OZ8" s="75">
        <v>92</v>
      </c>
      <c r="PA8" s="75"/>
      <c r="PB8" s="75">
        <v>92</v>
      </c>
      <c r="PC8" s="75">
        <v>101</v>
      </c>
      <c r="PD8" s="75">
        <v>89</v>
      </c>
      <c r="PE8" s="75">
        <v>81</v>
      </c>
      <c r="PF8" s="75">
        <v>81</v>
      </c>
      <c r="PG8" s="75">
        <v>81</v>
      </c>
      <c r="PH8" s="75"/>
      <c r="PI8" s="75">
        <v>68</v>
      </c>
      <c r="PJ8" s="75">
        <v>68</v>
      </c>
      <c r="PK8" s="75">
        <v>39</v>
      </c>
      <c r="PL8" s="75">
        <v>35</v>
      </c>
      <c r="PM8" s="75">
        <v>43</v>
      </c>
      <c r="PN8" s="75">
        <v>63</v>
      </c>
      <c r="PO8" s="75"/>
      <c r="PP8" s="75">
        <v>50</v>
      </c>
      <c r="PQ8" s="75">
        <v>66</v>
      </c>
      <c r="PR8" s="75">
        <v>61</v>
      </c>
      <c r="PS8" s="75">
        <v>61</v>
      </c>
      <c r="PT8" s="75">
        <v>61</v>
      </c>
      <c r="PU8" s="75">
        <v>61</v>
      </c>
      <c r="PV8" s="75"/>
      <c r="PW8" s="75">
        <v>60</v>
      </c>
      <c r="PX8" s="75">
        <v>60</v>
      </c>
      <c r="PY8" s="75">
        <v>60</v>
      </c>
      <c r="PZ8" s="75">
        <v>60</v>
      </c>
      <c r="QA8" s="75">
        <v>60</v>
      </c>
      <c r="QB8" s="75">
        <v>60</v>
      </c>
      <c r="QC8" s="75"/>
      <c r="QD8" s="75">
        <v>60</v>
      </c>
      <c r="QE8" s="75">
        <v>60</v>
      </c>
      <c r="QF8" s="75">
        <v>60</v>
      </c>
      <c r="QG8" s="75">
        <v>46</v>
      </c>
      <c r="QH8" s="75">
        <v>46</v>
      </c>
      <c r="QI8" s="75">
        <v>46</v>
      </c>
      <c r="QJ8" s="75"/>
      <c r="QK8" s="75">
        <v>46</v>
      </c>
      <c r="QL8" s="75">
        <v>46</v>
      </c>
      <c r="QM8" s="75">
        <v>46</v>
      </c>
      <c r="QN8" s="75">
        <v>46</v>
      </c>
      <c r="QO8" s="75">
        <v>46</v>
      </c>
      <c r="QP8" s="75">
        <v>46</v>
      </c>
      <c r="QQ8" s="75"/>
      <c r="QR8" s="75">
        <v>46</v>
      </c>
      <c r="QS8" s="75">
        <v>62</v>
      </c>
      <c r="QT8" s="75">
        <v>62</v>
      </c>
      <c r="QU8" s="75">
        <v>62</v>
      </c>
      <c r="QV8" s="75">
        <v>62</v>
      </c>
      <c r="QW8" s="75">
        <v>40</v>
      </c>
      <c r="QX8" s="75"/>
      <c r="QY8" s="75">
        <v>40</v>
      </c>
      <c r="QZ8" s="75">
        <v>28</v>
      </c>
      <c r="RA8" s="75">
        <v>20</v>
      </c>
      <c r="RB8" s="75">
        <v>20</v>
      </c>
      <c r="RC8" s="75">
        <v>20</v>
      </c>
      <c r="RD8" s="75">
        <v>19</v>
      </c>
      <c r="RE8" s="75"/>
      <c r="RF8" s="75">
        <v>19</v>
      </c>
      <c r="RG8" s="75">
        <v>19</v>
      </c>
      <c r="RH8" s="75">
        <v>19</v>
      </c>
      <c r="RI8" s="75">
        <v>19</v>
      </c>
      <c r="RJ8" s="75">
        <v>19</v>
      </c>
      <c r="RK8" s="75">
        <v>17</v>
      </c>
      <c r="RL8" s="75"/>
      <c r="RM8" s="75">
        <v>17</v>
      </c>
      <c r="RN8" s="75">
        <v>17</v>
      </c>
      <c r="RO8" s="75">
        <v>17</v>
      </c>
      <c r="RP8" s="75">
        <v>17</v>
      </c>
      <c r="RQ8" s="75">
        <v>17</v>
      </c>
      <c r="RR8" s="75">
        <v>17</v>
      </c>
      <c r="RS8" s="75"/>
      <c r="RT8" s="75">
        <v>17</v>
      </c>
      <c r="RU8" s="75">
        <v>17</v>
      </c>
      <c r="RV8" s="75">
        <v>17</v>
      </c>
      <c r="RW8" s="75">
        <v>17</v>
      </c>
      <c r="RX8" s="75">
        <v>17</v>
      </c>
      <c r="RY8" s="75">
        <v>17</v>
      </c>
      <c r="RZ8" s="75"/>
      <c r="SA8" s="75">
        <v>17</v>
      </c>
      <c r="SB8" s="75">
        <v>17</v>
      </c>
      <c r="SC8" s="75">
        <v>17</v>
      </c>
      <c r="SD8" s="75">
        <v>17</v>
      </c>
      <c r="SE8" s="75">
        <v>17</v>
      </c>
      <c r="SF8" s="75">
        <v>17</v>
      </c>
      <c r="SG8" s="75"/>
      <c r="SH8" s="75">
        <v>17</v>
      </c>
      <c r="SI8" s="75">
        <v>17</v>
      </c>
      <c r="SJ8" s="75">
        <v>17</v>
      </c>
      <c r="SK8" s="75">
        <v>17</v>
      </c>
      <c r="SL8" s="75">
        <v>17</v>
      </c>
      <c r="SM8" s="75">
        <v>17</v>
      </c>
      <c r="SN8" s="75"/>
      <c r="SO8" s="75">
        <v>17</v>
      </c>
      <c r="SP8" s="75">
        <v>17</v>
      </c>
      <c r="SQ8" s="75">
        <v>17</v>
      </c>
      <c r="SR8" s="75">
        <v>17</v>
      </c>
      <c r="SS8" s="75">
        <v>17</v>
      </c>
      <c r="ST8" s="75">
        <v>17</v>
      </c>
      <c r="SU8" s="75"/>
      <c r="SV8" s="75">
        <v>17</v>
      </c>
      <c r="SW8" s="75">
        <v>17</v>
      </c>
      <c r="SX8" s="75">
        <v>17</v>
      </c>
      <c r="SY8" s="75">
        <v>17</v>
      </c>
      <c r="SZ8" s="75">
        <v>17</v>
      </c>
      <c r="TA8" s="75">
        <v>17</v>
      </c>
      <c r="TB8" s="75"/>
      <c r="TC8" s="75">
        <v>17</v>
      </c>
      <c r="TD8" s="75">
        <v>17</v>
      </c>
      <c r="TE8" s="75">
        <v>17</v>
      </c>
      <c r="TF8" s="75">
        <v>17</v>
      </c>
      <c r="TG8" s="75">
        <v>17</v>
      </c>
      <c r="TH8" s="75">
        <v>17</v>
      </c>
      <c r="TI8" s="75"/>
      <c r="TJ8" s="75">
        <v>17</v>
      </c>
      <c r="TK8" s="75">
        <v>17</v>
      </c>
      <c r="TL8" s="75">
        <v>17</v>
      </c>
      <c r="TM8" s="75">
        <v>17</v>
      </c>
      <c r="TN8" s="75">
        <v>17</v>
      </c>
      <c r="TO8" s="75">
        <v>17</v>
      </c>
      <c r="TP8" s="75"/>
      <c r="TQ8" s="75">
        <v>17</v>
      </c>
      <c r="TR8" s="75">
        <v>17</v>
      </c>
      <c r="TS8" s="75">
        <v>17</v>
      </c>
      <c r="TT8" s="75">
        <v>17</v>
      </c>
      <c r="TU8" s="75">
        <v>17</v>
      </c>
      <c r="TV8" s="75">
        <v>17</v>
      </c>
      <c r="TW8" s="75"/>
      <c r="TX8" s="75">
        <v>17</v>
      </c>
      <c r="TY8" s="75">
        <v>17</v>
      </c>
      <c r="TZ8" s="75">
        <v>17</v>
      </c>
      <c r="UA8" s="75">
        <v>17</v>
      </c>
      <c r="UB8" s="75">
        <v>17</v>
      </c>
      <c r="UC8" s="75">
        <v>17</v>
      </c>
      <c r="UD8" s="75"/>
      <c r="UE8" s="75">
        <v>17</v>
      </c>
      <c r="UF8" s="75">
        <v>17</v>
      </c>
      <c r="UG8" s="75">
        <v>17</v>
      </c>
      <c r="UH8" s="75">
        <v>17</v>
      </c>
      <c r="UI8" s="75">
        <v>17</v>
      </c>
      <c r="UJ8" s="75">
        <v>17</v>
      </c>
      <c r="UK8" s="75"/>
      <c r="UL8" s="75">
        <v>17</v>
      </c>
      <c r="UM8" s="75">
        <v>17</v>
      </c>
      <c r="UN8" s="75">
        <v>17</v>
      </c>
      <c r="UO8" s="75">
        <v>17</v>
      </c>
      <c r="UP8" s="75">
        <v>17</v>
      </c>
      <c r="UQ8" s="75">
        <v>17</v>
      </c>
      <c r="UR8" s="75"/>
      <c r="US8" s="75">
        <v>17</v>
      </c>
      <c r="UT8" s="75"/>
      <c r="UU8" s="75"/>
      <c r="UV8" s="75">
        <v>17</v>
      </c>
      <c r="UW8" s="75">
        <v>17</v>
      </c>
      <c r="UX8" s="75">
        <v>17</v>
      </c>
      <c r="UY8" s="75"/>
      <c r="UZ8" s="75">
        <v>17</v>
      </c>
      <c r="VA8" s="75">
        <v>17</v>
      </c>
      <c r="VB8" s="75">
        <v>17</v>
      </c>
      <c r="VC8" s="75">
        <v>17</v>
      </c>
      <c r="VD8" s="75">
        <v>17</v>
      </c>
      <c r="VE8" s="75">
        <v>17</v>
      </c>
      <c r="VF8" s="75"/>
      <c r="VG8" s="75">
        <v>17</v>
      </c>
      <c r="VH8" s="75">
        <v>17</v>
      </c>
      <c r="VI8" s="75">
        <v>17</v>
      </c>
      <c r="VJ8" s="75">
        <v>17</v>
      </c>
      <c r="VK8" s="75">
        <v>17</v>
      </c>
      <c r="VL8" s="75">
        <v>17</v>
      </c>
      <c r="VM8" s="75"/>
      <c r="VN8" s="75">
        <v>17</v>
      </c>
      <c r="VO8" s="75">
        <v>17</v>
      </c>
      <c r="VP8" s="75">
        <v>17</v>
      </c>
      <c r="VQ8" s="75">
        <v>17</v>
      </c>
      <c r="VR8" s="75">
        <v>17</v>
      </c>
      <c r="VS8" s="75">
        <v>17</v>
      </c>
      <c r="VT8" s="75"/>
      <c r="VU8" s="75">
        <v>17</v>
      </c>
      <c r="VV8" s="75">
        <v>17</v>
      </c>
      <c r="VW8" s="75">
        <v>17</v>
      </c>
      <c r="VX8" s="75">
        <v>17</v>
      </c>
      <c r="VY8" s="75">
        <v>17</v>
      </c>
      <c r="VZ8" s="75">
        <v>17</v>
      </c>
      <c r="WA8" s="75"/>
      <c r="WB8" s="75">
        <v>17</v>
      </c>
      <c r="WC8" s="75">
        <v>17</v>
      </c>
      <c r="WD8" s="75">
        <v>17</v>
      </c>
      <c r="WE8" s="75">
        <v>17</v>
      </c>
      <c r="WF8" s="75">
        <v>17</v>
      </c>
      <c r="WG8" s="75">
        <v>17</v>
      </c>
      <c r="WH8" s="75"/>
      <c r="WI8" s="75">
        <v>17</v>
      </c>
      <c r="WJ8" s="75">
        <v>17</v>
      </c>
      <c r="WK8" s="75">
        <v>17</v>
      </c>
      <c r="WL8" s="75">
        <v>17</v>
      </c>
      <c r="WM8" s="75">
        <v>17</v>
      </c>
      <c r="WN8" s="75">
        <v>17</v>
      </c>
      <c r="WO8" s="75"/>
      <c r="WP8" s="75">
        <v>17</v>
      </c>
      <c r="WQ8" s="75">
        <v>17</v>
      </c>
      <c r="WR8" s="75">
        <v>17</v>
      </c>
      <c r="WS8" s="75">
        <v>17</v>
      </c>
      <c r="WT8" s="75">
        <v>17</v>
      </c>
      <c r="WU8" s="75">
        <v>17</v>
      </c>
      <c r="WV8" s="75"/>
      <c r="WW8" s="75">
        <v>17</v>
      </c>
      <c r="WX8" s="75">
        <v>17</v>
      </c>
      <c r="WY8" s="75">
        <v>17</v>
      </c>
      <c r="WZ8" s="75">
        <v>17</v>
      </c>
      <c r="XA8" s="75">
        <v>17</v>
      </c>
      <c r="XB8" s="75">
        <v>17</v>
      </c>
      <c r="XC8" s="75"/>
      <c r="XD8" s="75">
        <v>17</v>
      </c>
      <c r="XE8" s="75">
        <v>17</v>
      </c>
      <c r="XF8" s="75">
        <v>17</v>
      </c>
      <c r="XG8" s="75">
        <v>17</v>
      </c>
      <c r="XH8" s="75">
        <v>17</v>
      </c>
      <c r="XI8" s="75"/>
      <c r="XJ8" s="75"/>
      <c r="XK8" s="75"/>
      <c r="XL8" s="75"/>
      <c r="XM8" s="75"/>
      <c r="XN8" s="75">
        <v>17</v>
      </c>
      <c r="XO8" s="75">
        <v>17</v>
      </c>
      <c r="XP8" s="75">
        <v>17</v>
      </c>
      <c r="XQ8" s="75"/>
      <c r="XR8" s="75">
        <v>17</v>
      </c>
      <c r="XS8" s="75">
        <v>17</v>
      </c>
      <c r="XT8" s="75">
        <v>17</v>
      </c>
      <c r="XU8" s="75">
        <v>17</v>
      </c>
      <c r="XV8" s="75">
        <v>17</v>
      </c>
      <c r="XW8" s="75">
        <v>17</v>
      </c>
      <c r="XX8" s="75"/>
      <c r="XY8" s="75">
        <v>17</v>
      </c>
      <c r="XZ8" s="75">
        <v>17</v>
      </c>
      <c r="YA8" s="75">
        <v>17</v>
      </c>
      <c r="YB8" s="75">
        <v>17</v>
      </c>
      <c r="YC8" s="75">
        <v>17</v>
      </c>
      <c r="YD8" s="75">
        <v>17</v>
      </c>
      <c r="YE8" s="75"/>
      <c r="YF8" s="75">
        <v>17</v>
      </c>
      <c r="YG8" s="75">
        <v>17</v>
      </c>
      <c r="YH8" s="75">
        <v>17</v>
      </c>
      <c r="YI8" s="75">
        <v>17</v>
      </c>
      <c r="YJ8" s="75">
        <v>17</v>
      </c>
      <c r="YK8" s="75">
        <v>17</v>
      </c>
      <c r="YL8" s="75"/>
      <c r="YM8" s="75">
        <v>17</v>
      </c>
      <c r="YN8" s="75">
        <v>17</v>
      </c>
      <c r="YO8" s="75">
        <v>17</v>
      </c>
      <c r="YP8" s="75">
        <v>17</v>
      </c>
      <c r="YQ8" s="75">
        <v>17</v>
      </c>
      <c r="YR8" s="75">
        <v>17</v>
      </c>
      <c r="YS8" s="75"/>
      <c r="YT8" s="75">
        <v>17</v>
      </c>
      <c r="YU8" s="75">
        <v>17</v>
      </c>
      <c r="YV8" s="75">
        <v>17</v>
      </c>
      <c r="YW8" s="75">
        <v>17</v>
      </c>
      <c r="YX8" s="75">
        <v>17</v>
      </c>
      <c r="YY8" s="75">
        <v>17</v>
      </c>
      <c r="YZ8" s="75"/>
      <c r="ZA8" s="75">
        <v>17</v>
      </c>
      <c r="ZB8" s="75"/>
      <c r="ZC8" s="75"/>
      <c r="ZD8" s="75"/>
      <c r="ZE8" s="75"/>
      <c r="ZF8" s="75"/>
      <c r="ZG8" s="75"/>
      <c r="ZH8" s="75"/>
      <c r="ZI8" s="75"/>
      <c r="ZJ8" s="75"/>
      <c r="ZK8" s="75"/>
      <c r="ZL8" s="75"/>
      <c r="ZM8" s="75"/>
      <c r="ZN8" s="75"/>
      <c r="ZO8" s="75"/>
      <c r="ZP8" s="75"/>
      <c r="ZQ8" s="75"/>
      <c r="ZR8" s="75"/>
      <c r="ZS8" s="75"/>
      <c r="ZT8" s="75"/>
      <c r="ZU8" s="75"/>
      <c r="ZV8" s="75"/>
      <c r="ZW8" s="75"/>
      <c r="ZX8" s="75"/>
      <c r="ZY8" s="75"/>
      <c r="ZZ8" s="75"/>
      <c r="AAA8" s="75"/>
      <c r="AAB8" s="75"/>
      <c r="AAC8" s="75"/>
      <c r="AAD8" s="75"/>
      <c r="AAE8" s="75"/>
      <c r="AAF8" s="75"/>
      <c r="AAG8" s="75"/>
      <c r="AAH8" s="75"/>
      <c r="AAI8" s="75"/>
      <c r="AAJ8" s="75"/>
      <c r="AAK8" s="75"/>
      <c r="AAL8" s="75"/>
      <c r="AAM8" s="75"/>
      <c r="AAN8" s="75"/>
      <c r="AAO8" s="75"/>
      <c r="AAP8" s="75"/>
      <c r="AAQ8" s="75"/>
      <c r="AAR8" s="75"/>
      <c r="AAS8" s="75"/>
      <c r="AAT8" s="75"/>
      <c r="AAU8" s="75"/>
      <c r="AAV8" s="75"/>
      <c r="AAW8" s="75"/>
      <c r="AAX8" s="75"/>
      <c r="AAY8" s="75"/>
      <c r="AAZ8" s="75"/>
      <c r="ABA8" s="75"/>
      <c r="ABB8" s="75"/>
      <c r="ABC8" s="75"/>
    </row>
    <row r="9" spans="1:731">
      <c r="A9" s="75" t="s">
        <v>47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5"/>
      <c r="BF9" s="75"/>
      <c r="BG9" s="75"/>
      <c r="BH9" s="75"/>
      <c r="BI9" s="75"/>
      <c r="BJ9" s="75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  <c r="BV9" s="75"/>
      <c r="BW9" s="75"/>
      <c r="BX9" s="75"/>
      <c r="BY9" s="75"/>
      <c r="BZ9" s="75"/>
      <c r="CA9" s="75"/>
      <c r="CB9" s="75"/>
      <c r="CC9" s="75"/>
      <c r="CD9" s="75"/>
      <c r="CE9" s="75"/>
      <c r="CF9" s="75"/>
      <c r="CG9" s="75">
        <v>4</v>
      </c>
      <c r="CH9" s="75">
        <v>4</v>
      </c>
      <c r="CI9" s="75">
        <v>4</v>
      </c>
      <c r="CJ9" s="75"/>
      <c r="CK9" s="75">
        <v>4</v>
      </c>
      <c r="CL9" s="75">
        <v>4</v>
      </c>
      <c r="CM9" s="75">
        <v>4</v>
      </c>
      <c r="CN9" s="75">
        <v>4</v>
      </c>
      <c r="CO9" s="75"/>
      <c r="CP9" s="75"/>
      <c r="CQ9" s="75"/>
      <c r="CR9" s="75"/>
      <c r="CS9" s="75">
        <v>3</v>
      </c>
      <c r="CT9" s="75">
        <v>3</v>
      </c>
      <c r="CU9" s="75">
        <v>3</v>
      </c>
      <c r="CV9" s="75">
        <v>3</v>
      </c>
      <c r="CW9" s="75">
        <v>3</v>
      </c>
      <c r="CX9" s="75"/>
      <c r="CY9" s="75"/>
      <c r="CZ9" s="75"/>
      <c r="DA9" s="75"/>
      <c r="DB9" s="75"/>
      <c r="DC9" s="75"/>
      <c r="DD9" s="75"/>
      <c r="DE9" s="75"/>
      <c r="DF9" s="75"/>
      <c r="DG9" s="75"/>
      <c r="DH9" s="75"/>
      <c r="DI9" s="75"/>
      <c r="DJ9" s="75"/>
      <c r="DK9" s="75">
        <v>9</v>
      </c>
      <c r="DL9" s="75"/>
      <c r="DM9" s="75">
        <v>9</v>
      </c>
      <c r="DN9" s="75">
        <v>9</v>
      </c>
      <c r="DO9" s="75">
        <v>9</v>
      </c>
      <c r="DP9" s="75">
        <v>9</v>
      </c>
      <c r="DQ9" s="75">
        <v>9</v>
      </c>
      <c r="DR9" s="75"/>
      <c r="DS9" s="75"/>
      <c r="DT9" s="75"/>
      <c r="DU9" s="75"/>
      <c r="DV9" s="75"/>
      <c r="DW9" s="75"/>
      <c r="DX9" s="75">
        <v>4</v>
      </c>
      <c r="DY9" s="75">
        <v>14</v>
      </c>
      <c r="DZ9" s="75"/>
      <c r="EA9" s="75">
        <v>14</v>
      </c>
      <c r="EB9" s="75">
        <v>14</v>
      </c>
      <c r="EC9" s="75">
        <v>20</v>
      </c>
      <c r="ED9" s="75">
        <v>20</v>
      </c>
      <c r="EE9" s="75">
        <v>14</v>
      </c>
      <c r="EF9" s="75">
        <v>24</v>
      </c>
      <c r="EG9" s="75"/>
      <c r="EH9" s="75">
        <v>28</v>
      </c>
      <c r="EI9" s="75">
        <v>22</v>
      </c>
      <c r="EJ9" s="75">
        <v>28</v>
      </c>
      <c r="EK9" s="75">
        <v>28</v>
      </c>
      <c r="EL9" s="75">
        <v>14</v>
      </c>
      <c r="EM9" s="75">
        <v>10</v>
      </c>
      <c r="EN9" s="75"/>
      <c r="EO9" s="75">
        <v>18</v>
      </c>
      <c r="EP9" s="75">
        <v>10</v>
      </c>
      <c r="EQ9" s="75">
        <v>14</v>
      </c>
      <c r="ER9" s="75">
        <v>18</v>
      </c>
      <c r="ES9" s="75">
        <v>14</v>
      </c>
      <c r="ET9" s="75">
        <v>14</v>
      </c>
      <c r="EU9" s="75"/>
      <c r="EV9" s="75">
        <v>6</v>
      </c>
      <c r="EW9" s="75">
        <v>2</v>
      </c>
      <c r="EX9" s="75">
        <v>3</v>
      </c>
      <c r="EY9" s="75">
        <v>3</v>
      </c>
      <c r="EZ9" s="75">
        <v>3</v>
      </c>
      <c r="FA9" s="75">
        <v>3</v>
      </c>
      <c r="FB9" s="75"/>
      <c r="FC9" s="75">
        <v>5</v>
      </c>
      <c r="FD9" s="75">
        <v>2</v>
      </c>
      <c r="FE9" s="75">
        <v>2</v>
      </c>
      <c r="FF9" s="75">
        <v>2</v>
      </c>
      <c r="FG9" s="75">
        <v>2</v>
      </c>
      <c r="FH9" s="75">
        <v>2</v>
      </c>
      <c r="FI9" s="75"/>
      <c r="FJ9" s="75">
        <v>2</v>
      </c>
      <c r="FK9" s="75"/>
      <c r="FL9" s="75"/>
      <c r="FM9" s="75"/>
      <c r="FN9" s="75">
        <v>2</v>
      </c>
      <c r="FO9" s="75">
        <v>2</v>
      </c>
      <c r="FP9" s="75"/>
      <c r="FQ9" s="75">
        <v>12</v>
      </c>
      <c r="FR9" s="75">
        <v>13</v>
      </c>
      <c r="FS9" s="75">
        <v>21</v>
      </c>
      <c r="FT9" s="75">
        <v>21</v>
      </c>
      <c r="FU9" s="75">
        <v>21</v>
      </c>
      <c r="FV9" s="75">
        <v>21</v>
      </c>
      <c r="FW9" s="75"/>
      <c r="FX9" s="75">
        <v>11</v>
      </c>
      <c r="FY9" s="75">
        <v>11</v>
      </c>
      <c r="FZ9" s="75">
        <v>2</v>
      </c>
      <c r="GA9" s="75">
        <v>2</v>
      </c>
      <c r="GB9" s="75">
        <v>2</v>
      </c>
      <c r="GC9" s="75">
        <v>2</v>
      </c>
      <c r="GD9" s="75"/>
      <c r="GE9" s="75">
        <v>2</v>
      </c>
      <c r="GF9" s="75">
        <v>2</v>
      </c>
      <c r="GG9" s="75">
        <v>6</v>
      </c>
      <c r="GH9" s="75">
        <v>7</v>
      </c>
      <c r="GI9" s="75">
        <v>7</v>
      </c>
      <c r="GJ9" s="75">
        <v>7</v>
      </c>
      <c r="GK9" s="75"/>
      <c r="GL9" s="75">
        <v>3</v>
      </c>
      <c r="GM9" s="75">
        <v>3</v>
      </c>
      <c r="GN9" s="75">
        <v>6</v>
      </c>
      <c r="GO9" s="75">
        <v>3</v>
      </c>
      <c r="GP9" s="75">
        <v>9</v>
      </c>
      <c r="GQ9" s="75">
        <v>9</v>
      </c>
      <c r="GR9" s="75"/>
      <c r="GS9" s="75">
        <v>9</v>
      </c>
      <c r="GT9" s="75">
        <v>9</v>
      </c>
      <c r="GU9" s="75">
        <v>3</v>
      </c>
      <c r="GV9" s="75">
        <v>3</v>
      </c>
      <c r="GW9" s="75"/>
      <c r="GX9" s="75"/>
      <c r="GY9" s="75"/>
      <c r="GZ9" s="75"/>
      <c r="HA9" s="75"/>
      <c r="HB9" s="75"/>
      <c r="HC9" s="75"/>
      <c r="HD9" s="75">
        <v>4</v>
      </c>
      <c r="HE9" s="75">
        <v>13</v>
      </c>
      <c r="HF9" s="75"/>
      <c r="HG9" s="75">
        <v>13</v>
      </c>
      <c r="HH9" s="75">
        <v>17</v>
      </c>
      <c r="HI9" s="75">
        <v>8</v>
      </c>
      <c r="HJ9" s="75">
        <v>4</v>
      </c>
      <c r="HK9" s="75">
        <v>4</v>
      </c>
      <c r="HL9" s="75"/>
      <c r="HM9" s="75"/>
      <c r="HN9" s="75"/>
      <c r="HO9" s="75"/>
      <c r="HP9" s="75"/>
      <c r="HQ9" s="75"/>
      <c r="HR9" s="75"/>
      <c r="HS9" s="75"/>
      <c r="HT9" s="75"/>
      <c r="HU9" s="75"/>
      <c r="HV9" s="75"/>
      <c r="HW9" s="75"/>
      <c r="HX9" s="75"/>
      <c r="HY9" s="75"/>
      <c r="HZ9" s="75">
        <v>4</v>
      </c>
      <c r="IA9" s="75"/>
      <c r="IB9" s="75">
        <v>8</v>
      </c>
      <c r="IC9" s="75">
        <v>8</v>
      </c>
      <c r="ID9" s="75">
        <v>12</v>
      </c>
      <c r="IE9" s="75">
        <v>12</v>
      </c>
      <c r="IF9" s="75">
        <v>8</v>
      </c>
      <c r="IG9" s="75">
        <v>8</v>
      </c>
      <c r="IH9" s="75"/>
      <c r="II9" s="75">
        <v>4</v>
      </c>
      <c r="IJ9" s="75"/>
      <c r="IK9" s="75"/>
      <c r="IL9" s="75"/>
      <c r="IM9" s="75"/>
      <c r="IN9" s="75"/>
      <c r="IO9" s="75"/>
      <c r="IP9" s="75"/>
      <c r="IQ9" s="75"/>
      <c r="IR9" s="75"/>
      <c r="IS9" s="75"/>
      <c r="IT9" s="75"/>
      <c r="IU9" s="75"/>
      <c r="IV9" s="75"/>
      <c r="IW9" s="75"/>
      <c r="IX9" s="75"/>
      <c r="IY9" s="75"/>
      <c r="IZ9" s="75"/>
      <c r="JA9" s="75"/>
      <c r="JB9" s="75"/>
      <c r="JC9" s="75"/>
      <c r="JD9" s="75"/>
      <c r="JE9" s="75"/>
      <c r="JF9" s="75"/>
      <c r="JG9" s="75"/>
      <c r="JH9" s="75"/>
      <c r="JI9" s="75"/>
      <c r="JJ9" s="75"/>
      <c r="JK9" s="75"/>
      <c r="JL9" s="75"/>
      <c r="JM9" s="75"/>
      <c r="JN9" s="75"/>
      <c r="JO9" s="75"/>
      <c r="JP9" s="75"/>
      <c r="JQ9" s="75"/>
      <c r="JR9" s="75"/>
      <c r="JS9" s="75"/>
      <c r="JT9" s="75"/>
      <c r="JU9" s="75"/>
      <c r="JV9" s="75"/>
      <c r="JW9" s="75"/>
      <c r="JX9" s="75"/>
      <c r="JY9" s="75"/>
      <c r="JZ9" s="75"/>
      <c r="KA9" s="75"/>
      <c r="KB9" s="75"/>
      <c r="KC9" s="75"/>
      <c r="KD9" s="75"/>
      <c r="KE9" s="75"/>
      <c r="KF9" s="75"/>
      <c r="KG9" s="75"/>
      <c r="KH9" s="75"/>
      <c r="KI9" s="75"/>
      <c r="KJ9" s="75"/>
      <c r="KK9" s="75"/>
      <c r="KL9" s="75"/>
      <c r="KM9" s="75"/>
      <c r="KN9" s="75"/>
      <c r="KO9" s="75"/>
      <c r="KP9" s="75"/>
      <c r="KQ9" s="75"/>
      <c r="KR9" s="75"/>
      <c r="KS9" s="75"/>
      <c r="KT9" s="75"/>
      <c r="KU9" s="75"/>
      <c r="KV9" s="75"/>
      <c r="KW9" s="75"/>
      <c r="KX9" s="75"/>
      <c r="KY9" s="75"/>
      <c r="KZ9" s="75"/>
      <c r="LA9" s="75"/>
      <c r="LB9" s="75"/>
      <c r="LC9" s="75"/>
      <c r="LD9" s="75"/>
      <c r="LE9" s="75"/>
      <c r="LF9" s="75"/>
      <c r="LG9" s="75"/>
      <c r="LH9" s="75"/>
      <c r="LI9" s="75"/>
      <c r="LJ9" s="75"/>
      <c r="LK9" s="75">
        <v>20</v>
      </c>
      <c r="LL9" s="75">
        <v>20</v>
      </c>
      <c r="LM9" s="75">
        <v>20</v>
      </c>
      <c r="LN9" s="75"/>
      <c r="LO9" s="75">
        <v>20</v>
      </c>
      <c r="LP9" s="75">
        <v>20</v>
      </c>
      <c r="LQ9" s="75">
        <v>20</v>
      </c>
      <c r="LR9" s="75">
        <v>20</v>
      </c>
      <c r="LS9" s="75">
        <v>20</v>
      </c>
      <c r="LT9" s="75">
        <v>40</v>
      </c>
      <c r="LU9" s="75"/>
      <c r="LV9" s="75">
        <v>40</v>
      </c>
      <c r="LW9" s="75">
        <v>40</v>
      </c>
      <c r="LX9" s="75">
        <v>40</v>
      </c>
      <c r="LY9" s="75">
        <v>40</v>
      </c>
      <c r="LZ9" s="75">
        <v>40</v>
      </c>
      <c r="MA9" s="75">
        <v>40</v>
      </c>
      <c r="MB9" s="75"/>
      <c r="MC9" s="75">
        <v>35</v>
      </c>
      <c r="MD9" s="75">
        <v>35</v>
      </c>
      <c r="ME9" s="75">
        <v>35</v>
      </c>
      <c r="MF9" s="75">
        <v>35</v>
      </c>
      <c r="MG9" s="75"/>
      <c r="MH9" s="75"/>
      <c r="MI9" s="75"/>
      <c r="MJ9" s="75"/>
      <c r="MK9" s="75"/>
      <c r="ML9" s="75">
        <v>35</v>
      </c>
      <c r="MM9" s="75">
        <v>35</v>
      </c>
      <c r="MN9" s="75">
        <v>35</v>
      </c>
      <c r="MO9" s="75">
        <v>55</v>
      </c>
      <c r="MP9" s="75"/>
      <c r="MQ9" s="75">
        <v>75</v>
      </c>
      <c r="MR9" s="75">
        <v>70</v>
      </c>
      <c r="MS9" s="75">
        <v>70</v>
      </c>
      <c r="MT9" s="75">
        <v>70</v>
      </c>
      <c r="MU9" s="75">
        <v>70</v>
      </c>
      <c r="MV9" s="75">
        <v>70</v>
      </c>
      <c r="MW9" s="75"/>
      <c r="MX9" s="75">
        <v>70</v>
      </c>
      <c r="MY9" s="75">
        <v>70</v>
      </c>
      <c r="MZ9" s="75">
        <v>55</v>
      </c>
      <c r="NA9" s="75">
        <v>55</v>
      </c>
      <c r="NB9" s="75">
        <v>55</v>
      </c>
      <c r="NC9" s="75">
        <v>55</v>
      </c>
      <c r="ND9" s="75"/>
      <c r="NE9" s="75">
        <v>55</v>
      </c>
      <c r="NF9" s="75">
        <v>55</v>
      </c>
      <c r="NG9" s="75">
        <v>50</v>
      </c>
      <c r="NH9" s="75">
        <v>45</v>
      </c>
      <c r="NI9" s="75">
        <v>50</v>
      </c>
      <c r="NJ9" s="75">
        <v>50</v>
      </c>
      <c r="NK9" s="75"/>
      <c r="NL9" s="75">
        <v>50</v>
      </c>
      <c r="NM9" s="75">
        <v>50</v>
      </c>
      <c r="NN9" s="75">
        <v>50</v>
      </c>
      <c r="NO9" s="75">
        <v>50</v>
      </c>
      <c r="NP9" s="75">
        <v>50</v>
      </c>
      <c r="NQ9" s="75">
        <v>50</v>
      </c>
      <c r="NR9" s="75"/>
      <c r="NS9" s="75">
        <v>50</v>
      </c>
      <c r="NT9" s="75">
        <v>70</v>
      </c>
      <c r="NU9" s="75">
        <v>70</v>
      </c>
      <c r="NV9" s="75">
        <v>70</v>
      </c>
      <c r="NW9" s="75">
        <v>70</v>
      </c>
      <c r="NX9" s="75">
        <v>55</v>
      </c>
      <c r="NY9" s="75"/>
      <c r="NZ9" s="75">
        <v>40</v>
      </c>
      <c r="OA9" s="75">
        <v>35</v>
      </c>
      <c r="OB9" s="75">
        <v>36</v>
      </c>
      <c r="OC9" s="75">
        <v>59</v>
      </c>
      <c r="OD9" s="75">
        <v>59</v>
      </c>
      <c r="OE9" s="75">
        <v>59</v>
      </c>
      <c r="OF9" s="75"/>
      <c r="OG9" s="75">
        <v>59</v>
      </c>
      <c r="OH9" s="75">
        <v>59</v>
      </c>
      <c r="OI9" s="75">
        <v>58</v>
      </c>
      <c r="OJ9" s="75">
        <v>55</v>
      </c>
      <c r="OK9" s="75">
        <v>51</v>
      </c>
      <c r="OL9" s="75">
        <v>54</v>
      </c>
      <c r="OM9" s="75"/>
      <c r="ON9" s="75">
        <v>54</v>
      </c>
      <c r="OO9" s="75">
        <v>54</v>
      </c>
      <c r="OP9" s="75">
        <v>54</v>
      </c>
      <c r="OQ9" s="75">
        <v>54</v>
      </c>
      <c r="OR9" s="75">
        <v>38</v>
      </c>
      <c r="OS9" s="75">
        <v>35</v>
      </c>
      <c r="OT9" s="75"/>
      <c r="OU9" s="75">
        <v>25</v>
      </c>
      <c r="OV9" s="75">
        <v>45</v>
      </c>
      <c r="OW9" s="75">
        <v>45</v>
      </c>
      <c r="OX9" s="75">
        <v>75</v>
      </c>
      <c r="OY9" s="75">
        <v>75</v>
      </c>
      <c r="OZ9" s="75">
        <v>75</v>
      </c>
      <c r="PA9" s="75"/>
      <c r="PB9" s="75">
        <v>78</v>
      </c>
      <c r="PC9" s="75">
        <v>66</v>
      </c>
      <c r="PD9" s="75">
        <v>72</v>
      </c>
      <c r="PE9" s="75">
        <v>95</v>
      </c>
      <c r="PF9" s="75">
        <v>95</v>
      </c>
      <c r="PG9" s="75">
        <v>95</v>
      </c>
      <c r="PH9" s="75"/>
      <c r="PI9" s="75">
        <v>93</v>
      </c>
      <c r="PJ9" s="75">
        <v>89</v>
      </c>
      <c r="PK9" s="75">
        <v>97</v>
      </c>
      <c r="PL9" s="75">
        <v>89</v>
      </c>
      <c r="PM9" s="75">
        <v>79</v>
      </c>
      <c r="PN9" s="75">
        <v>79</v>
      </c>
      <c r="PO9" s="75"/>
      <c r="PP9" s="75">
        <v>69</v>
      </c>
      <c r="PQ9" s="75">
        <v>69</v>
      </c>
      <c r="PR9" s="75">
        <v>69</v>
      </c>
      <c r="PS9" s="75">
        <v>69</v>
      </c>
      <c r="PT9" s="75">
        <v>69</v>
      </c>
      <c r="PU9" s="75">
        <v>81</v>
      </c>
      <c r="PV9" s="75"/>
      <c r="PW9" s="75">
        <v>71</v>
      </c>
      <c r="PX9" s="75">
        <v>71</v>
      </c>
      <c r="PY9" s="75">
        <v>71</v>
      </c>
      <c r="PZ9" s="75">
        <v>71</v>
      </c>
      <c r="QA9" s="75">
        <v>73</v>
      </c>
      <c r="QB9" s="75">
        <v>72</v>
      </c>
      <c r="QC9" s="75"/>
      <c r="QD9" s="75">
        <v>72</v>
      </c>
      <c r="QE9" s="75">
        <v>62</v>
      </c>
      <c r="QF9" s="75">
        <v>71</v>
      </c>
      <c r="QG9" s="75">
        <v>51</v>
      </c>
      <c r="QH9" s="75">
        <v>55</v>
      </c>
      <c r="QI9" s="75">
        <v>57</v>
      </c>
      <c r="QJ9" s="75"/>
      <c r="QK9" s="75">
        <v>57</v>
      </c>
      <c r="QL9" s="75">
        <v>57</v>
      </c>
      <c r="QM9" s="75">
        <v>49</v>
      </c>
      <c r="QN9" s="75">
        <v>36</v>
      </c>
      <c r="QO9" s="75">
        <v>39</v>
      </c>
      <c r="QP9" s="75">
        <v>39</v>
      </c>
      <c r="QQ9" s="75"/>
      <c r="QR9" s="75">
        <v>39</v>
      </c>
      <c r="QS9" s="75">
        <v>39</v>
      </c>
      <c r="QT9" s="75">
        <v>31</v>
      </c>
      <c r="QU9" s="75">
        <v>29</v>
      </c>
      <c r="QV9" s="75">
        <v>25</v>
      </c>
      <c r="QW9" s="75">
        <v>24</v>
      </c>
      <c r="QX9" s="75"/>
      <c r="QY9" s="75">
        <v>24</v>
      </c>
      <c r="QZ9" s="75">
        <v>22</v>
      </c>
      <c r="RA9" s="75">
        <v>19</v>
      </c>
      <c r="RB9" s="75">
        <v>19</v>
      </c>
      <c r="RC9" s="75">
        <v>19</v>
      </c>
      <c r="RD9" s="75">
        <v>9</v>
      </c>
      <c r="RE9" s="75"/>
      <c r="RF9" s="75">
        <v>9</v>
      </c>
      <c r="RG9" s="75">
        <v>10</v>
      </c>
      <c r="RH9" s="75">
        <v>28</v>
      </c>
      <c r="RI9" s="75">
        <v>29</v>
      </c>
      <c r="RJ9" s="75">
        <v>47</v>
      </c>
      <c r="RK9" s="75">
        <v>62</v>
      </c>
      <c r="RL9" s="75"/>
      <c r="RM9" s="75">
        <v>62</v>
      </c>
      <c r="RN9" s="75">
        <v>76</v>
      </c>
      <c r="RO9" s="75">
        <v>69</v>
      </c>
      <c r="RP9" s="75">
        <v>68</v>
      </c>
      <c r="RQ9" s="75">
        <v>63</v>
      </c>
      <c r="RR9" s="75">
        <v>61</v>
      </c>
      <c r="RS9" s="75"/>
      <c r="RT9" s="75">
        <v>61</v>
      </c>
      <c r="RU9" s="75">
        <v>61</v>
      </c>
      <c r="RV9" s="75">
        <v>61</v>
      </c>
      <c r="RW9" s="75">
        <v>61</v>
      </c>
      <c r="RX9" s="75">
        <v>64</v>
      </c>
      <c r="RY9" s="75">
        <v>49</v>
      </c>
      <c r="RZ9" s="75"/>
      <c r="SA9" s="75">
        <v>49</v>
      </c>
      <c r="SB9" s="75">
        <v>64</v>
      </c>
      <c r="SC9" s="75">
        <v>79</v>
      </c>
      <c r="SD9" s="75">
        <v>79</v>
      </c>
      <c r="SE9" s="75">
        <v>64</v>
      </c>
      <c r="SF9" s="75">
        <v>64</v>
      </c>
      <c r="SG9" s="75"/>
      <c r="SH9" s="75">
        <v>79</v>
      </c>
      <c r="SI9" s="75">
        <v>79</v>
      </c>
      <c r="SJ9" s="75">
        <v>94</v>
      </c>
      <c r="SK9" s="75">
        <v>93</v>
      </c>
      <c r="SL9" s="75">
        <v>90</v>
      </c>
      <c r="SM9" s="75">
        <v>90</v>
      </c>
      <c r="SN9" s="75"/>
      <c r="SO9" s="75">
        <v>90</v>
      </c>
      <c r="SP9" s="75">
        <v>92</v>
      </c>
      <c r="SQ9" s="75">
        <v>92</v>
      </c>
      <c r="SR9" s="75">
        <v>92</v>
      </c>
      <c r="SS9" s="75">
        <v>92</v>
      </c>
      <c r="ST9" s="75">
        <v>93</v>
      </c>
      <c r="SU9" s="75"/>
      <c r="SV9" s="75">
        <v>96</v>
      </c>
      <c r="SW9" s="75">
        <v>100</v>
      </c>
      <c r="SX9" s="75">
        <v>100</v>
      </c>
      <c r="SY9" s="75">
        <v>85</v>
      </c>
      <c r="SZ9" s="75">
        <v>83</v>
      </c>
      <c r="TA9" s="75">
        <v>67</v>
      </c>
      <c r="TB9" s="75"/>
      <c r="TC9" s="75">
        <v>64</v>
      </c>
      <c r="TD9" s="75">
        <v>64</v>
      </c>
      <c r="TE9" s="75">
        <v>64</v>
      </c>
      <c r="TF9" s="75">
        <v>66</v>
      </c>
      <c r="TG9" s="75">
        <v>72</v>
      </c>
      <c r="TH9" s="75">
        <v>70</v>
      </c>
      <c r="TI9" s="75"/>
      <c r="TJ9" s="75">
        <v>70</v>
      </c>
      <c r="TK9" s="75">
        <v>70</v>
      </c>
      <c r="TL9" s="75">
        <v>55</v>
      </c>
      <c r="TM9" s="75">
        <v>55</v>
      </c>
      <c r="TN9" s="75">
        <v>55</v>
      </c>
      <c r="TO9" s="75">
        <v>55</v>
      </c>
      <c r="TP9" s="75"/>
      <c r="TQ9" s="75">
        <v>55</v>
      </c>
      <c r="TR9" s="75">
        <v>56</v>
      </c>
      <c r="TS9" s="75">
        <v>56</v>
      </c>
      <c r="TT9" s="75">
        <v>56</v>
      </c>
      <c r="TU9" s="75">
        <v>56</v>
      </c>
      <c r="TV9" s="75">
        <v>56</v>
      </c>
      <c r="TW9" s="75"/>
      <c r="TX9" s="75">
        <v>54</v>
      </c>
      <c r="TY9" s="75">
        <v>46</v>
      </c>
      <c r="TZ9" s="75">
        <v>46</v>
      </c>
      <c r="UA9" s="75">
        <v>48</v>
      </c>
      <c r="UB9" s="75">
        <v>56</v>
      </c>
      <c r="UC9" s="75">
        <v>57</v>
      </c>
      <c r="UD9" s="75"/>
      <c r="UE9" s="75">
        <v>65</v>
      </c>
      <c r="UF9" s="75">
        <v>65</v>
      </c>
      <c r="UG9" s="75">
        <v>65</v>
      </c>
      <c r="UH9" s="75">
        <v>65</v>
      </c>
      <c r="UI9" s="75">
        <v>67</v>
      </c>
      <c r="UJ9" s="75">
        <v>67</v>
      </c>
      <c r="UK9" s="75"/>
      <c r="UL9" s="75">
        <v>67</v>
      </c>
      <c r="UM9" s="75">
        <v>68</v>
      </c>
      <c r="UN9" s="75">
        <v>69</v>
      </c>
      <c r="UO9" s="75">
        <v>70</v>
      </c>
      <c r="UP9" s="75">
        <v>71</v>
      </c>
      <c r="UQ9" s="75">
        <v>73</v>
      </c>
      <c r="UR9" s="75"/>
      <c r="US9" s="75">
        <v>79</v>
      </c>
      <c r="UT9" s="75">
        <v>73</v>
      </c>
      <c r="UU9" s="75">
        <v>77</v>
      </c>
      <c r="UV9" s="75">
        <v>69</v>
      </c>
      <c r="UW9" s="75">
        <v>69</v>
      </c>
      <c r="UX9" s="75">
        <v>68</v>
      </c>
      <c r="UY9" s="75"/>
      <c r="UZ9" s="75">
        <v>67</v>
      </c>
      <c r="VA9" s="75">
        <v>66</v>
      </c>
      <c r="VB9" s="75">
        <v>65</v>
      </c>
      <c r="VC9" s="75">
        <v>65</v>
      </c>
      <c r="VD9" s="75">
        <v>66</v>
      </c>
      <c r="VE9" s="75">
        <v>66</v>
      </c>
      <c r="VF9" s="75"/>
      <c r="VG9" s="75">
        <v>66</v>
      </c>
      <c r="VH9" s="75">
        <v>68</v>
      </c>
      <c r="VI9" s="75">
        <v>74</v>
      </c>
      <c r="VJ9" s="75">
        <v>66</v>
      </c>
      <c r="VK9" s="75">
        <v>49</v>
      </c>
      <c r="VL9" s="75">
        <v>26</v>
      </c>
      <c r="VM9" s="75"/>
      <c r="VN9" s="75">
        <v>41</v>
      </c>
      <c r="VO9" s="75">
        <v>41</v>
      </c>
      <c r="VP9" s="75">
        <v>40</v>
      </c>
      <c r="VQ9" s="75">
        <v>40</v>
      </c>
      <c r="VR9" s="75">
        <v>40</v>
      </c>
      <c r="VS9" s="75">
        <v>40</v>
      </c>
      <c r="VT9" s="75"/>
      <c r="VU9" s="75">
        <v>40</v>
      </c>
      <c r="VV9" s="75">
        <v>40</v>
      </c>
      <c r="VW9" s="75">
        <v>40</v>
      </c>
      <c r="VX9" s="75">
        <v>40</v>
      </c>
      <c r="VY9" s="75">
        <v>38</v>
      </c>
      <c r="VZ9" s="75">
        <v>30</v>
      </c>
      <c r="WA9" s="75"/>
      <c r="WB9" s="75">
        <v>30</v>
      </c>
      <c r="WC9" s="75">
        <v>15</v>
      </c>
      <c r="WD9" s="75">
        <v>15</v>
      </c>
      <c r="WE9" s="75">
        <v>15</v>
      </c>
      <c r="WF9" s="75">
        <v>15</v>
      </c>
      <c r="WG9" s="75">
        <v>15</v>
      </c>
      <c r="WH9" s="75"/>
      <c r="WI9" s="75">
        <v>15</v>
      </c>
      <c r="WJ9" s="75">
        <v>15</v>
      </c>
      <c r="WK9" s="75">
        <v>15</v>
      </c>
      <c r="WL9" s="75">
        <v>15</v>
      </c>
      <c r="WM9" s="75">
        <v>15</v>
      </c>
      <c r="WN9" s="75">
        <v>15</v>
      </c>
      <c r="WO9" s="75"/>
      <c r="WP9" s="75">
        <v>15</v>
      </c>
      <c r="WQ9" s="75">
        <v>15</v>
      </c>
      <c r="WR9" s="75">
        <v>15</v>
      </c>
      <c r="WS9" s="75">
        <v>15</v>
      </c>
      <c r="WT9" s="75">
        <v>15</v>
      </c>
      <c r="WU9" s="75">
        <v>15</v>
      </c>
      <c r="WV9" s="75"/>
      <c r="WW9" s="75">
        <v>15</v>
      </c>
      <c r="WX9" s="75">
        <v>15</v>
      </c>
      <c r="WY9" s="75">
        <v>15</v>
      </c>
      <c r="WZ9" s="75">
        <v>23</v>
      </c>
      <c r="XA9" s="75">
        <v>29</v>
      </c>
      <c r="XB9" s="75">
        <v>37</v>
      </c>
      <c r="XC9" s="75"/>
      <c r="XD9" s="75">
        <v>43</v>
      </c>
      <c r="XE9" s="75">
        <v>43</v>
      </c>
      <c r="XF9" s="75">
        <v>43</v>
      </c>
      <c r="XG9" s="75">
        <v>43</v>
      </c>
      <c r="XH9" s="75">
        <v>43</v>
      </c>
      <c r="XI9" s="75"/>
      <c r="XJ9" s="75"/>
      <c r="XK9" s="75"/>
      <c r="XL9" s="75"/>
      <c r="XM9" s="75"/>
      <c r="XN9" s="75">
        <v>43</v>
      </c>
      <c r="XO9" s="75">
        <v>43</v>
      </c>
      <c r="XP9" s="75">
        <v>43</v>
      </c>
      <c r="XQ9" s="75"/>
      <c r="XR9" s="75">
        <v>43</v>
      </c>
      <c r="XS9" s="75">
        <v>43</v>
      </c>
      <c r="XT9" s="75">
        <v>43</v>
      </c>
      <c r="XU9" s="75">
        <v>43</v>
      </c>
      <c r="XV9" s="75">
        <v>35</v>
      </c>
      <c r="XW9" s="75">
        <v>29</v>
      </c>
      <c r="XX9" s="75"/>
      <c r="XY9" s="75">
        <v>21</v>
      </c>
      <c r="XZ9" s="75">
        <v>15</v>
      </c>
      <c r="YA9" s="75">
        <v>15</v>
      </c>
      <c r="YB9" s="75">
        <v>15</v>
      </c>
      <c r="YC9" s="75">
        <v>15</v>
      </c>
      <c r="YD9" s="75">
        <v>15</v>
      </c>
      <c r="YE9" s="75"/>
      <c r="YF9" s="75">
        <v>15</v>
      </c>
      <c r="YG9" s="75">
        <v>15</v>
      </c>
      <c r="YH9" s="75">
        <v>15</v>
      </c>
      <c r="YI9" s="75">
        <v>15</v>
      </c>
      <c r="YJ9" s="75">
        <v>15</v>
      </c>
      <c r="YK9" s="75">
        <v>15</v>
      </c>
      <c r="YL9" s="75"/>
      <c r="YM9" s="75">
        <v>15</v>
      </c>
      <c r="YN9" s="75">
        <v>15</v>
      </c>
      <c r="YO9" s="75">
        <v>15</v>
      </c>
      <c r="YP9" s="75">
        <v>15</v>
      </c>
      <c r="YQ9" s="75">
        <v>15</v>
      </c>
      <c r="YR9" s="75">
        <v>15</v>
      </c>
      <c r="YS9" s="75"/>
      <c r="YT9" s="75">
        <v>15</v>
      </c>
      <c r="YU9" s="75">
        <v>15</v>
      </c>
      <c r="YV9" s="75">
        <v>15</v>
      </c>
      <c r="YW9" s="75">
        <v>15</v>
      </c>
      <c r="YX9" s="75">
        <v>15</v>
      </c>
      <c r="YY9" s="75">
        <v>15</v>
      </c>
      <c r="YZ9" s="75"/>
      <c r="ZA9" s="75">
        <v>15</v>
      </c>
      <c r="ZB9" s="75">
        <v>15</v>
      </c>
      <c r="ZC9" s="75">
        <v>15</v>
      </c>
      <c r="ZD9" s="75">
        <v>15</v>
      </c>
      <c r="ZE9" s="75">
        <v>15</v>
      </c>
      <c r="ZF9" s="75">
        <v>15</v>
      </c>
      <c r="ZG9" s="75"/>
      <c r="ZH9" s="75">
        <v>15</v>
      </c>
      <c r="ZI9" s="75">
        <v>15</v>
      </c>
      <c r="ZJ9" s="75">
        <v>15</v>
      </c>
      <c r="ZK9" s="75">
        <v>15</v>
      </c>
      <c r="ZL9" s="75">
        <v>15</v>
      </c>
      <c r="ZM9" s="75">
        <v>15</v>
      </c>
      <c r="ZN9" s="75"/>
      <c r="ZO9" s="75">
        <v>15</v>
      </c>
      <c r="ZP9" s="75">
        <v>15</v>
      </c>
      <c r="ZQ9" s="75">
        <v>15</v>
      </c>
      <c r="ZR9" s="75">
        <v>15</v>
      </c>
      <c r="ZS9" s="75"/>
      <c r="ZT9" s="75"/>
      <c r="ZU9" s="75"/>
      <c r="ZV9" s="75"/>
      <c r="ZW9" s="75"/>
      <c r="ZX9" s="75"/>
      <c r="ZY9" s="75"/>
      <c r="ZZ9" s="75"/>
      <c r="AAA9" s="75"/>
      <c r="AAB9" s="75"/>
      <c r="AAC9" s="75"/>
      <c r="AAD9" s="75"/>
      <c r="AAE9" s="75"/>
      <c r="AAF9" s="75"/>
      <c r="AAG9" s="75"/>
      <c r="AAH9" s="75"/>
      <c r="AAI9" s="75"/>
      <c r="AAJ9" s="75"/>
      <c r="AAK9" s="75"/>
      <c r="AAL9" s="75"/>
      <c r="AAM9" s="75"/>
      <c r="AAN9" s="75"/>
      <c r="AAO9" s="75"/>
      <c r="AAP9" s="75"/>
      <c r="AAQ9" s="75"/>
      <c r="AAR9" s="75"/>
      <c r="AAS9" s="75"/>
      <c r="AAT9" s="75"/>
      <c r="AAU9" s="75"/>
      <c r="AAV9" s="75"/>
      <c r="AAW9" s="75"/>
      <c r="AAX9" s="75"/>
      <c r="AAY9" s="75"/>
      <c r="AAZ9" s="75"/>
      <c r="ABA9" s="75"/>
      <c r="ABB9" s="75"/>
      <c r="ABC9" s="75"/>
    </row>
    <row r="10" spans="1:731">
      <c r="A10" s="75" t="s">
        <v>48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5"/>
      <c r="BF10" s="75"/>
      <c r="BG10" s="75"/>
      <c r="BH10" s="75"/>
      <c r="BI10" s="75"/>
      <c r="BJ10" s="75"/>
      <c r="BK10" s="75"/>
      <c r="BL10" s="75"/>
      <c r="BM10" s="75"/>
      <c r="BN10" s="75"/>
      <c r="BO10" s="75"/>
      <c r="BP10" s="75"/>
      <c r="BQ10" s="75"/>
      <c r="BR10" s="75"/>
      <c r="BS10" s="75"/>
      <c r="BT10" s="75"/>
      <c r="BU10" s="75"/>
      <c r="BV10" s="75"/>
      <c r="BW10" s="75"/>
      <c r="BX10" s="75"/>
      <c r="BY10" s="75"/>
      <c r="BZ10" s="75"/>
      <c r="CA10" s="75"/>
      <c r="CB10" s="75"/>
      <c r="CC10" s="75"/>
      <c r="CD10" s="75"/>
      <c r="CE10" s="75"/>
      <c r="CF10" s="75"/>
      <c r="CG10" s="75"/>
      <c r="CH10" s="75"/>
      <c r="CI10" s="75"/>
      <c r="CJ10" s="75"/>
      <c r="CK10" s="75"/>
      <c r="CL10" s="75"/>
      <c r="CM10" s="75"/>
      <c r="CN10" s="75"/>
      <c r="CO10" s="75"/>
      <c r="CP10" s="75"/>
      <c r="CQ10" s="75"/>
      <c r="CR10" s="75"/>
      <c r="CS10" s="75"/>
      <c r="CT10" s="75"/>
      <c r="CU10" s="75"/>
      <c r="CV10" s="75"/>
      <c r="CW10" s="75"/>
      <c r="CX10" s="75"/>
      <c r="CY10" s="75"/>
      <c r="CZ10" s="75"/>
      <c r="DA10" s="75"/>
      <c r="DB10" s="75"/>
      <c r="DC10" s="75"/>
      <c r="DD10" s="75"/>
      <c r="DE10" s="75"/>
      <c r="DF10" s="75"/>
      <c r="DG10" s="75"/>
      <c r="DH10" s="75"/>
      <c r="DI10" s="75"/>
      <c r="DJ10" s="75"/>
      <c r="DK10" s="75"/>
      <c r="DL10" s="75"/>
      <c r="DM10" s="75"/>
      <c r="DN10" s="75"/>
      <c r="DO10" s="75"/>
      <c r="DP10" s="75"/>
      <c r="DQ10" s="75"/>
      <c r="DR10" s="75"/>
      <c r="DS10" s="75"/>
      <c r="DT10" s="75"/>
      <c r="DU10" s="75"/>
      <c r="DV10" s="75"/>
      <c r="DW10" s="75"/>
      <c r="DX10" s="75"/>
      <c r="DY10" s="75"/>
      <c r="DZ10" s="75"/>
      <c r="EA10" s="75"/>
      <c r="EB10" s="75"/>
      <c r="EC10" s="75"/>
      <c r="ED10" s="75"/>
      <c r="EE10" s="75"/>
      <c r="EF10" s="75"/>
      <c r="EG10" s="75"/>
      <c r="EH10" s="75"/>
      <c r="EI10" s="75"/>
      <c r="EJ10" s="75"/>
      <c r="EK10" s="75"/>
      <c r="EL10" s="75"/>
      <c r="EM10" s="75"/>
      <c r="EN10" s="75"/>
      <c r="EO10" s="75"/>
      <c r="EP10" s="75"/>
      <c r="EQ10" s="75"/>
      <c r="ER10" s="75"/>
      <c r="ES10" s="75"/>
      <c r="ET10" s="75"/>
      <c r="EU10" s="75"/>
      <c r="EV10" s="75"/>
      <c r="EW10" s="75"/>
      <c r="EX10" s="75"/>
      <c r="EY10" s="75"/>
      <c r="EZ10" s="75"/>
      <c r="FA10" s="75"/>
      <c r="FB10" s="75"/>
      <c r="FC10" s="75"/>
      <c r="FD10" s="75"/>
      <c r="FE10" s="75"/>
      <c r="FF10" s="75"/>
      <c r="FG10" s="75"/>
      <c r="FH10" s="75"/>
      <c r="FI10" s="75"/>
      <c r="FJ10" s="75"/>
      <c r="FK10" s="75"/>
      <c r="FL10" s="75"/>
      <c r="FM10" s="75"/>
      <c r="FN10" s="75"/>
      <c r="FO10" s="75"/>
      <c r="FP10" s="75"/>
      <c r="FQ10" s="75"/>
      <c r="FR10" s="75"/>
      <c r="FS10" s="75"/>
      <c r="FT10" s="75"/>
      <c r="FU10" s="75"/>
      <c r="FV10" s="75"/>
      <c r="FW10" s="75"/>
      <c r="FX10" s="75"/>
      <c r="FY10" s="75"/>
      <c r="FZ10" s="75"/>
      <c r="GA10" s="75"/>
      <c r="GB10" s="75"/>
      <c r="GC10" s="75"/>
      <c r="GD10" s="75"/>
      <c r="GE10" s="75"/>
      <c r="GF10" s="75"/>
      <c r="GG10" s="75"/>
      <c r="GH10" s="75"/>
      <c r="GI10" s="75"/>
      <c r="GJ10" s="75"/>
      <c r="GK10" s="75"/>
      <c r="GL10" s="75"/>
      <c r="GM10" s="75"/>
      <c r="GN10" s="75"/>
      <c r="GO10" s="75"/>
      <c r="GP10" s="75"/>
      <c r="GQ10" s="75"/>
      <c r="GR10" s="75"/>
      <c r="GS10" s="75"/>
      <c r="GT10" s="75"/>
      <c r="GU10" s="75"/>
      <c r="GV10" s="75"/>
      <c r="GW10" s="75"/>
      <c r="GX10" s="75"/>
      <c r="GY10" s="75"/>
      <c r="GZ10" s="75"/>
      <c r="HA10" s="75"/>
      <c r="HB10" s="75"/>
      <c r="HC10" s="75"/>
      <c r="HD10" s="75"/>
      <c r="HE10" s="75"/>
      <c r="HF10" s="75"/>
      <c r="HG10" s="75"/>
      <c r="HH10" s="75"/>
      <c r="HI10" s="75"/>
      <c r="HJ10" s="75"/>
      <c r="HK10" s="75"/>
      <c r="HL10" s="75"/>
      <c r="HM10" s="75"/>
      <c r="HN10" s="75"/>
      <c r="HO10" s="75"/>
      <c r="HP10" s="75"/>
      <c r="HQ10" s="75"/>
      <c r="HR10" s="75"/>
      <c r="HS10" s="75"/>
      <c r="HT10" s="75"/>
      <c r="HU10" s="75"/>
      <c r="HV10" s="75"/>
      <c r="HW10" s="75"/>
      <c r="HX10" s="75"/>
      <c r="HY10" s="75"/>
      <c r="HZ10" s="75"/>
      <c r="IA10" s="75"/>
      <c r="IB10" s="75"/>
      <c r="IC10" s="75"/>
      <c r="ID10" s="75"/>
      <c r="IE10" s="75"/>
      <c r="IF10" s="75"/>
      <c r="IG10" s="75"/>
      <c r="IH10" s="75"/>
      <c r="II10" s="75"/>
      <c r="IJ10" s="75"/>
      <c r="IK10" s="75"/>
      <c r="IL10" s="75"/>
      <c r="IM10" s="75"/>
      <c r="IN10" s="75"/>
      <c r="IO10" s="75"/>
      <c r="IP10" s="75"/>
      <c r="IQ10" s="75"/>
      <c r="IR10" s="75"/>
      <c r="IS10" s="75"/>
      <c r="IT10" s="75"/>
      <c r="IU10" s="75"/>
      <c r="IV10" s="75"/>
      <c r="IW10" s="75"/>
      <c r="IX10" s="75"/>
      <c r="IY10" s="75"/>
      <c r="IZ10" s="75"/>
      <c r="JA10" s="75"/>
      <c r="JB10" s="75"/>
      <c r="JC10" s="75"/>
      <c r="JD10" s="75"/>
      <c r="JE10" s="75"/>
      <c r="JF10" s="75"/>
      <c r="JG10" s="75"/>
      <c r="JH10" s="75"/>
      <c r="JI10" s="75"/>
      <c r="JJ10" s="75"/>
      <c r="JK10" s="75"/>
      <c r="JL10" s="75"/>
      <c r="JM10" s="75"/>
      <c r="JN10" s="75"/>
      <c r="JO10" s="75"/>
      <c r="JP10" s="75"/>
      <c r="JQ10" s="75"/>
      <c r="JR10" s="75"/>
      <c r="JS10" s="75"/>
      <c r="JT10" s="75"/>
      <c r="JU10" s="75"/>
      <c r="JV10" s="75"/>
      <c r="JW10" s="75"/>
      <c r="JX10" s="75"/>
      <c r="JY10" s="75"/>
      <c r="JZ10" s="75"/>
      <c r="KA10" s="75"/>
      <c r="KB10" s="75"/>
      <c r="KC10" s="75"/>
      <c r="KD10" s="75"/>
      <c r="KE10" s="75"/>
      <c r="KF10" s="75"/>
      <c r="KG10" s="75"/>
      <c r="KH10" s="75"/>
      <c r="KI10" s="75"/>
      <c r="KJ10" s="75"/>
      <c r="KK10" s="75"/>
      <c r="KL10" s="75"/>
      <c r="KM10" s="75"/>
      <c r="KN10" s="75"/>
      <c r="KO10" s="75"/>
      <c r="KP10" s="75"/>
      <c r="KQ10" s="75"/>
      <c r="KR10" s="75"/>
      <c r="KS10" s="75"/>
      <c r="KT10" s="75"/>
      <c r="KU10" s="75"/>
      <c r="KV10" s="75"/>
      <c r="KW10" s="75"/>
      <c r="KX10" s="75"/>
      <c r="KY10" s="75"/>
      <c r="KZ10" s="75"/>
      <c r="LA10" s="75"/>
      <c r="LB10" s="75"/>
      <c r="LC10" s="75"/>
      <c r="LD10" s="75"/>
      <c r="LE10" s="75"/>
      <c r="LF10" s="75"/>
      <c r="LG10" s="75"/>
      <c r="LH10" s="75"/>
      <c r="LI10" s="75"/>
      <c r="LJ10" s="75"/>
      <c r="LK10" s="75"/>
      <c r="LL10" s="75"/>
      <c r="LM10" s="75"/>
      <c r="LN10" s="75"/>
      <c r="LO10" s="75"/>
      <c r="LP10" s="75"/>
      <c r="LQ10" s="75"/>
      <c r="LR10" s="75"/>
      <c r="LS10" s="75"/>
      <c r="LT10" s="75"/>
      <c r="LU10" s="75"/>
      <c r="LV10" s="75"/>
      <c r="LW10" s="75"/>
      <c r="LX10" s="75"/>
      <c r="LY10" s="75"/>
      <c r="LZ10" s="75"/>
      <c r="MA10" s="75"/>
      <c r="MB10" s="75"/>
      <c r="MC10" s="75"/>
      <c r="MD10" s="75"/>
      <c r="ME10" s="75"/>
      <c r="MF10" s="75"/>
      <c r="MG10" s="75"/>
      <c r="MH10" s="75"/>
      <c r="MI10" s="75"/>
      <c r="MJ10" s="75"/>
      <c r="MK10" s="75"/>
      <c r="ML10" s="75">
        <v>2</v>
      </c>
      <c r="MM10" s="75">
        <v>2</v>
      </c>
      <c r="MN10" s="75">
        <v>8</v>
      </c>
      <c r="MO10" s="75">
        <v>8</v>
      </c>
      <c r="MP10" s="75"/>
      <c r="MQ10" s="75">
        <v>8</v>
      </c>
      <c r="MR10" s="75">
        <v>8</v>
      </c>
      <c r="MS10" s="75">
        <v>8</v>
      </c>
      <c r="MT10" s="75">
        <v>10</v>
      </c>
      <c r="MU10" s="75">
        <v>10</v>
      </c>
      <c r="MV10" s="75">
        <v>12</v>
      </c>
      <c r="MW10" s="75"/>
      <c r="MX10" s="75">
        <v>18</v>
      </c>
      <c r="MY10" s="75">
        <v>16</v>
      </c>
      <c r="MZ10" s="75">
        <v>10</v>
      </c>
      <c r="NA10" s="75">
        <v>10</v>
      </c>
      <c r="NB10" s="75">
        <v>10</v>
      </c>
      <c r="NC10" s="75">
        <v>12</v>
      </c>
      <c r="ND10" s="75"/>
      <c r="NE10" s="75">
        <v>13</v>
      </c>
      <c r="NF10" s="75">
        <v>18</v>
      </c>
      <c r="NG10" s="75">
        <v>18</v>
      </c>
      <c r="NH10" s="75">
        <v>16</v>
      </c>
      <c r="NI10" s="75">
        <v>10</v>
      </c>
      <c r="NJ10" s="75">
        <v>10</v>
      </c>
      <c r="NK10" s="75"/>
      <c r="NL10" s="75">
        <v>12</v>
      </c>
      <c r="NM10" s="75">
        <v>22</v>
      </c>
      <c r="NN10" s="75">
        <v>29</v>
      </c>
      <c r="NO10" s="75">
        <v>34</v>
      </c>
      <c r="NP10" s="75">
        <v>33</v>
      </c>
      <c r="NQ10" s="75">
        <v>29</v>
      </c>
      <c r="NR10" s="75"/>
      <c r="NS10" s="75">
        <v>34</v>
      </c>
      <c r="NT10" s="75">
        <v>36</v>
      </c>
      <c r="NU10" s="75">
        <v>36</v>
      </c>
      <c r="NV10" s="75">
        <v>36</v>
      </c>
      <c r="NW10" s="75">
        <v>34</v>
      </c>
      <c r="NX10" s="75">
        <v>24</v>
      </c>
      <c r="NY10" s="75"/>
      <c r="NZ10" s="75">
        <v>17</v>
      </c>
      <c r="OA10" s="75">
        <v>12</v>
      </c>
      <c r="OB10" s="75">
        <v>12</v>
      </c>
      <c r="OC10" s="75">
        <v>11</v>
      </c>
      <c r="OD10" s="75">
        <v>15</v>
      </c>
      <c r="OE10" s="75">
        <v>22</v>
      </c>
      <c r="OF10" s="75"/>
      <c r="OG10" s="75">
        <v>30</v>
      </c>
      <c r="OH10" s="75">
        <v>30</v>
      </c>
      <c r="OI10" s="75">
        <v>30</v>
      </c>
      <c r="OJ10" s="75">
        <v>32</v>
      </c>
      <c r="OK10" s="75">
        <v>33</v>
      </c>
      <c r="OL10" s="75">
        <v>36</v>
      </c>
      <c r="OM10" s="75"/>
      <c r="ON10" s="75">
        <v>36</v>
      </c>
      <c r="OO10" s="75">
        <v>34</v>
      </c>
      <c r="OP10" s="75">
        <v>29</v>
      </c>
      <c r="OQ10" s="75">
        <v>30</v>
      </c>
      <c r="OR10" s="75">
        <v>22</v>
      </c>
      <c r="OS10" s="75">
        <v>26</v>
      </c>
      <c r="OT10" s="75"/>
      <c r="OU10" s="75">
        <v>34</v>
      </c>
      <c r="OV10" s="75">
        <v>35</v>
      </c>
      <c r="OW10" s="75">
        <v>41</v>
      </c>
      <c r="OX10" s="75">
        <v>44</v>
      </c>
      <c r="OY10" s="75">
        <v>42</v>
      </c>
      <c r="OZ10" s="75">
        <v>41</v>
      </c>
      <c r="PA10" s="75"/>
      <c r="PB10" s="75">
        <v>36</v>
      </c>
      <c r="PC10" s="75">
        <v>26</v>
      </c>
      <c r="PD10" s="75">
        <v>26</v>
      </c>
      <c r="PE10" s="75">
        <v>28</v>
      </c>
      <c r="PF10" s="75">
        <v>35</v>
      </c>
      <c r="PG10" s="75">
        <v>35</v>
      </c>
      <c r="PH10" s="75"/>
      <c r="PI10" s="75">
        <v>38</v>
      </c>
      <c r="PJ10" s="75">
        <v>34</v>
      </c>
      <c r="PK10" s="75">
        <v>28</v>
      </c>
      <c r="PL10" s="75">
        <v>22</v>
      </c>
      <c r="PM10" s="75">
        <v>30</v>
      </c>
      <c r="PN10" s="75">
        <v>32</v>
      </c>
      <c r="PO10" s="75"/>
      <c r="PP10" s="75">
        <v>38</v>
      </c>
      <c r="PQ10" s="75">
        <v>39</v>
      </c>
      <c r="PR10" s="75">
        <v>44</v>
      </c>
      <c r="PS10" s="75">
        <v>43</v>
      </c>
      <c r="PT10" s="75">
        <v>39</v>
      </c>
      <c r="PU10" s="75">
        <v>44</v>
      </c>
      <c r="PV10" s="75"/>
      <c r="PW10" s="75">
        <v>44</v>
      </c>
      <c r="PX10" s="75">
        <v>45</v>
      </c>
      <c r="PY10" s="75">
        <v>49</v>
      </c>
      <c r="PZ10" s="75">
        <v>53</v>
      </c>
      <c r="QA10" s="75">
        <v>65</v>
      </c>
      <c r="QB10" s="75">
        <v>73</v>
      </c>
      <c r="QC10" s="75"/>
      <c r="QD10" s="75">
        <v>64</v>
      </c>
      <c r="QE10" s="75">
        <v>51</v>
      </c>
      <c r="QF10" s="75">
        <v>48</v>
      </c>
      <c r="QG10" s="75">
        <v>46</v>
      </c>
      <c r="QH10" s="75">
        <v>54</v>
      </c>
      <c r="QI10" s="75">
        <v>56</v>
      </c>
      <c r="QJ10" s="75"/>
      <c r="QK10" s="75">
        <v>65</v>
      </c>
      <c r="QL10" s="75">
        <v>64</v>
      </c>
      <c r="QM10" s="75">
        <v>65</v>
      </c>
      <c r="QN10" s="75">
        <v>72</v>
      </c>
      <c r="QO10" s="75">
        <v>67</v>
      </c>
      <c r="QP10" s="75">
        <v>67</v>
      </c>
      <c r="QQ10" s="75"/>
      <c r="QR10" s="75">
        <v>69</v>
      </c>
      <c r="QS10" s="75">
        <v>75</v>
      </c>
      <c r="QT10" s="75">
        <v>70</v>
      </c>
      <c r="QU10" s="75">
        <v>69</v>
      </c>
      <c r="QV10" s="75">
        <v>63</v>
      </c>
      <c r="QW10" s="75">
        <v>61</v>
      </c>
      <c r="QX10" s="75"/>
      <c r="QY10" s="75">
        <v>52</v>
      </c>
      <c r="QZ10" s="75">
        <v>49</v>
      </c>
      <c r="RA10" s="75">
        <v>49</v>
      </c>
      <c r="RB10" s="75">
        <v>49</v>
      </c>
      <c r="RC10" s="75">
        <v>51</v>
      </c>
      <c r="RD10" s="75">
        <v>61</v>
      </c>
      <c r="RE10" s="75"/>
      <c r="RF10" s="75">
        <v>58</v>
      </c>
      <c r="RG10" s="75">
        <v>56</v>
      </c>
      <c r="RH10" s="75">
        <v>54</v>
      </c>
      <c r="RI10" s="75">
        <v>50</v>
      </c>
      <c r="RJ10" s="75">
        <v>35</v>
      </c>
      <c r="RK10" s="75">
        <v>54</v>
      </c>
      <c r="RL10" s="75"/>
      <c r="RM10" s="75">
        <v>55</v>
      </c>
      <c r="RN10" s="75">
        <v>50</v>
      </c>
      <c r="RO10" s="75">
        <v>49</v>
      </c>
      <c r="RP10" s="75">
        <v>50</v>
      </c>
      <c r="RQ10" s="75">
        <v>49</v>
      </c>
      <c r="RR10" s="75">
        <v>63</v>
      </c>
      <c r="RS10" s="75"/>
      <c r="RT10" s="75">
        <v>65</v>
      </c>
      <c r="RU10" s="75">
        <v>60</v>
      </c>
      <c r="RV10" s="75">
        <v>60</v>
      </c>
      <c r="RW10" s="75">
        <v>59</v>
      </c>
      <c r="RX10" s="75">
        <v>57</v>
      </c>
      <c r="RY10" s="75">
        <v>68</v>
      </c>
      <c r="RZ10" s="75"/>
      <c r="SA10" s="75">
        <v>68</v>
      </c>
      <c r="SB10" s="75">
        <v>66</v>
      </c>
      <c r="SC10" s="75">
        <v>51</v>
      </c>
      <c r="SD10" s="75">
        <v>50</v>
      </c>
      <c r="SE10" s="75">
        <v>48</v>
      </c>
      <c r="SF10" s="75">
        <v>47</v>
      </c>
      <c r="SG10" s="75"/>
      <c r="SH10" s="75">
        <v>41</v>
      </c>
      <c r="SI10" s="75">
        <v>39</v>
      </c>
      <c r="SJ10" s="75">
        <v>28</v>
      </c>
      <c r="SK10" s="75">
        <v>25</v>
      </c>
      <c r="SL10" s="75">
        <v>25</v>
      </c>
      <c r="SM10" s="75">
        <v>25</v>
      </c>
      <c r="SN10" s="75"/>
      <c r="SO10" s="75">
        <v>46</v>
      </c>
      <c r="SP10" s="75">
        <v>46</v>
      </c>
      <c r="SQ10" s="75">
        <v>32</v>
      </c>
      <c r="SR10" s="75">
        <v>32</v>
      </c>
      <c r="SS10" s="75">
        <v>32</v>
      </c>
      <c r="ST10" s="75">
        <v>31</v>
      </c>
      <c r="SU10" s="75"/>
      <c r="SV10" s="75">
        <v>30</v>
      </c>
      <c r="SW10" s="75">
        <v>30</v>
      </c>
      <c r="SX10" s="75">
        <v>27</v>
      </c>
      <c r="SY10" s="75">
        <v>27</v>
      </c>
      <c r="SZ10" s="75">
        <v>32</v>
      </c>
      <c r="TA10" s="75">
        <v>36</v>
      </c>
      <c r="TB10" s="75"/>
      <c r="TC10" s="75">
        <v>36</v>
      </c>
      <c r="TD10" s="75">
        <v>37</v>
      </c>
      <c r="TE10" s="75">
        <v>33</v>
      </c>
      <c r="TF10" s="75">
        <v>13</v>
      </c>
      <c r="TG10" s="75">
        <v>18</v>
      </c>
      <c r="TH10" s="75">
        <v>16</v>
      </c>
      <c r="TI10" s="75"/>
      <c r="TJ10" s="75">
        <v>25</v>
      </c>
      <c r="TK10" s="75">
        <v>24</v>
      </c>
      <c r="TL10" s="75">
        <v>22</v>
      </c>
      <c r="TM10" s="75">
        <v>22</v>
      </c>
      <c r="TN10" s="75">
        <v>26</v>
      </c>
      <c r="TO10" s="75">
        <v>26</v>
      </c>
      <c r="TP10" s="75"/>
      <c r="TQ10" s="75">
        <v>26</v>
      </c>
      <c r="TR10" s="75">
        <v>23</v>
      </c>
      <c r="TS10" s="75">
        <v>22</v>
      </c>
      <c r="TT10" s="75">
        <v>18</v>
      </c>
      <c r="TU10" s="75">
        <v>19</v>
      </c>
      <c r="TV10" s="75">
        <v>19</v>
      </c>
      <c r="TW10" s="75"/>
      <c r="TX10" s="75">
        <v>20</v>
      </c>
      <c r="TY10" s="75">
        <v>19</v>
      </c>
      <c r="TZ10" s="75">
        <v>20</v>
      </c>
      <c r="UA10" s="75">
        <v>10</v>
      </c>
      <c r="UB10" s="75">
        <v>10</v>
      </c>
      <c r="UC10" s="75">
        <v>9</v>
      </c>
      <c r="UD10" s="75"/>
      <c r="UE10" s="75">
        <v>9</v>
      </c>
      <c r="UF10" s="75">
        <v>9</v>
      </c>
      <c r="UG10" s="75">
        <v>9</v>
      </c>
      <c r="UH10" s="75">
        <v>9</v>
      </c>
      <c r="UI10" s="75">
        <v>11</v>
      </c>
      <c r="UJ10" s="75">
        <v>11</v>
      </c>
      <c r="UK10" s="75"/>
      <c r="UL10" s="75">
        <v>11</v>
      </c>
      <c r="UM10" s="75">
        <v>8</v>
      </c>
      <c r="UN10" s="75">
        <v>6</v>
      </c>
      <c r="UO10" s="75">
        <v>3</v>
      </c>
      <c r="UP10" s="75">
        <v>2</v>
      </c>
      <c r="UQ10" s="75">
        <v>2</v>
      </c>
      <c r="UR10" s="75"/>
      <c r="US10" s="75">
        <v>2</v>
      </c>
      <c r="UT10" s="75">
        <v>10</v>
      </c>
      <c r="UU10" s="75">
        <v>16</v>
      </c>
      <c r="UV10" s="75">
        <v>24</v>
      </c>
      <c r="UW10" s="75">
        <v>30</v>
      </c>
      <c r="UX10" s="75">
        <v>30</v>
      </c>
      <c r="UY10" s="75"/>
      <c r="UZ10" s="75">
        <v>30</v>
      </c>
      <c r="VA10" s="75">
        <v>30</v>
      </c>
      <c r="VB10" s="75">
        <v>30</v>
      </c>
      <c r="VC10" s="75">
        <v>30</v>
      </c>
      <c r="VD10" s="75">
        <v>29</v>
      </c>
      <c r="VE10" s="75">
        <v>27</v>
      </c>
      <c r="VF10" s="75"/>
      <c r="VG10" s="75">
        <v>24</v>
      </c>
      <c r="VH10" s="75">
        <v>22</v>
      </c>
      <c r="VI10" s="75">
        <v>20</v>
      </c>
      <c r="VJ10" s="75">
        <v>20</v>
      </c>
      <c r="VK10" s="75">
        <v>14</v>
      </c>
      <c r="VL10" s="75">
        <v>10</v>
      </c>
      <c r="VM10" s="75"/>
      <c r="VN10" s="75">
        <v>4</v>
      </c>
      <c r="VO10" s="75"/>
      <c r="VP10" s="75"/>
      <c r="VQ10" s="75"/>
      <c r="VR10" s="75"/>
      <c r="VS10" s="75"/>
      <c r="VT10" s="75"/>
      <c r="VU10" s="75"/>
      <c r="VV10" s="75"/>
      <c r="VW10" s="75"/>
      <c r="VX10" s="75"/>
      <c r="VY10" s="75"/>
      <c r="VZ10" s="75"/>
      <c r="WA10" s="75"/>
      <c r="WB10" s="75"/>
      <c r="WC10" s="75"/>
      <c r="WD10" s="75"/>
      <c r="WE10" s="75"/>
      <c r="WF10" s="75"/>
      <c r="WG10" s="75"/>
      <c r="WH10" s="75"/>
      <c r="WI10" s="75"/>
      <c r="WJ10" s="75"/>
      <c r="WK10" s="75"/>
      <c r="WL10" s="75"/>
      <c r="WM10" s="75"/>
      <c r="WN10" s="75"/>
      <c r="WO10" s="75"/>
      <c r="WP10" s="75"/>
      <c r="WQ10" s="75"/>
      <c r="WR10" s="75"/>
      <c r="WS10" s="75"/>
      <c r="WT10" s="75"/>
      <c r="WU10" s="75"/>
      <c r="WV10" s="75"/>
      <c r="WW10" s="75"/>
      <c r="WX10" s="75"/>
      <c r="WY10" s="75"/>
      <c r="WZ10" s="75"/>
      <c r="XA10" s="75"/>
      <c r="XB10" s="75"/>
      <c r="XC10" s="75"/>
      <c r="XD10" s="75"/>
      <c r="XE10" s="75"/>
      <c r="XF10" s="75"/>
      <c r="XG10" s="75"/>
      <c r="XH10" s="75"/>
      <c r="XI10" s="75"/>
      <c r="XJ10" s="75"/>
      <c r="XK10" s="75"/>
      <c r="XL10" s="75"/>
      <c r="XM10" s="75"/>
      <c r="XN10" s="75"/>
      <c r="XO10" s="75"/>
      <c r="XP10" s="75">
        <v>5</v>
      </c>
      <c r="XQ10" s="75"/>
      <c r="XR10" s="75">
        <v>5</v>
      </c>
      <c r="XS10" s="75">
        <v>5</v>
      </c>
      <c r="XT10" s="75">
        <v>5</v>
      </c>
      <c r="XU10" s="75">
        <v>5</v>
      </c>
      <c r="XV10" s="75">
        <v>5</v>
      </c>
      <c r="XW10" s="75">
        <v>5</v>
      </c>
      <c r="XX10" s="75"/>
      <c r="XY10" s="75">
        <v>5</v>
      </c>
      <c r="XZ10" s="75">
        <v>5</v>
      </c>
      <c r="YA10" s="75">
        <v>5</v>
      </c>
      <c r="YB10" s="75">
        <v>5</v>
      </c>
      <c r="YC10" s="75">
        <v>5</v>
      </c>
      <c r="YD10" s="75">
        <v>7</v>
      </c>
      <c r="YE10" s="75"/>
      <c r="YF10" s="75">
        <v>7</v>
      </c>
      <c r="YG10" s="75">
        <v>7</v>
      </c>
      <c r="YH10" s="75">
        <v>7</v>
      </c>
      <c r="YI10" s="75">
        <v>7</v>
      </c>
      <c r="YJ10" s="75">
        <v>7</v>
      </c>
      <c r="YK10" s="75">
        <v>7</v>
      </c>
      <c r="YL10" s="75"/>
      <c r="YM10" s="75">
        <v>7</v>
      </c>
      <c r="YN10" s="75">
        <v>7</v>
      </c>
      <c r="YO10" s="75">
        <v>7</v>
      </c>
      <c r="YP10" s="75">
        <v>7</v>
      </c>
      <c r="YQ10" s="75">
        <v>7</v>
      </c>
      <c r="YR10" s="75">
        <v>7</v>
      </c>
      <c r="YS10" s="75"/>
      <c r="YT10" s="75">
        <v>7</v>
      </c>
      <c r="YU10" s="75">
        <v>7</v>
      </c>
      <c r="YV10" s="75"/>
      <c r="YW10" s="75"/>
      <c r="YX10" s="75"/>
      <c r="YY10" s="75"/>
      <c r="YZ10" s="75"/>
      <c r="ZA10" s="75"/>
      <c r="ZB10" s="75"/>
      <c r="ZC10" s="75"/>
      <c r="ZD10" s="75"/>
      <c r="ZE10" s="75"/>
      <c r="ZF10" s="75"/>
      <c r="ZG10" s="75"/>
      <c r="ZH10" s="75"/>
      <c r="ZI10" s="75"/>
      <c r="ZJ10" s="75"/>
      <c r="ZK10" s="75"/>
      <c r="ZL10" s="75"/>
      <c r="ZM10" s="75"/>
      <c r="ZN10" s="75"/>
      <c r="ZO10" s="75"/>
      <c r="ZP10" s="75"/>
      <c r="ZQ10" s="75"/>
      <c r="ZR10" s="75"/>
      <c r="ZS10" s="75"/>
      <c r="ZT10" s="75"/>
      <c r="ZU10" s="75"/>
      <c r="ZV10" s="75"/>
      <c r="ZW10" s="75"/>
      <c r="ZX10" s="75"/>
      <c r="ZY10" s="75"/>
      <c r="ZZ10" s="75"/>
      <c r="AAA10" s="75"/>
      <c r="AAB10" s="75"/>
      <c r="AAC10" s="75"/>
      <c r="AAD10" s="75"/>
      <c r="AAE10" s="75"/>
      <c r="AAF10" s="75"/>
      <c r="AAG10" s="75"/>
      <c r="AAH10" s="75"/>
      <c r="AAI10" s="75"/>
      <c r="AAJ10" s="75"/>
      <c r="AAK10" s="75"/>
      <c r="AAL10" s="75"/>
      <c r="AAM10" s="75"/>
      <c r="AAN10" s="75"/>
      <c r="AAO10" s="75"/>
      <c r="AAP10" s="75"/>
      <c r="AAQ10" s="75"/>
      <c r="AAR10" s="75"/>
      <c r="AAS10" s="75"/>
      <c r="AAT10" s="75"/>
      <c r="AAU10" s="75"/>
      <c r="AAV10" s="75"/>
      <c r="AAW10" s="75"/>
      <c r="AAX10" s="75"/>
      <c r="AAY10" s="75"/>
      <c r="AAZ10" s="75"/>
      <c r="ABA10" s="75"/>
      <c r="ABB10" s="75"/>
      <c r="ABC10" s="75"/>
    </row>
    <row r="11" spans="1:731">
      <c r="A11" s="75" t="s">
        <v>49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>
        <v>7</v>
      </c>
      <c r="AQ11" s="75">
        <v>7</v>
      </c>
      <c r="AR11" s="75">
        <v>7</v>
      </c>
      <c r="AS11" s="75">
        <v>7</v>
      </c>
      <c r="AT11" s="75"/>
      <c r="AU11" s="75">
        <v>7</v>
      </c>
      <c r="AV11" s="75">
        <v>7</v>
      </c>
      <c r="AW11" s="75">
        <v>7</v>
      </c>
      <c r="AX11" s="75">
        <v>7</v>
      </c>
      <c r="AY11" s="75">
        <v>7</v>
      </c>
      <c r="AZ11" s="75">
        <v>7</v>
      </c>
      <c r="BA11" s="75"/>
      <c r="BB11" s="75">
        <v>7</v>
      </c>
      <c r="BC11" s="75">
        <v>7</v>
      </c>
      <c r="BD11" s="75">
        <v>7</v>
      </c>
      <c r="BE11" s="75">
        <v>7</v>
      </c>
      <c r="BF11" s="75">
        <v>7</v>
      </c>
      <c r="BG11" s="75">
        <v>12</v>
      </c>
      <c r="BH11" s="75"/>
      <c r="BI11" s="75">
        <v>12</v>
      </c>
      <c r="BJ11" s="75">
        <v>12</v>
      </c>
      <c r="BK11" s="75">
        <v>12</v>
      </c>
      <c r="BL11" s="75">
        <v>12</v>
      </c>
      <c r="BM11" s="75">
        <v>12</v>
      </c>
      <c r="BN11" s="75"/>
      <c r="BO11" s="75"/>
      <c r="BP11" s="75">
        <v>12</v>
      </c>
      <c r="BQ11" s="75">
        <v>12</v>
      </c>
      <c r="BR11" s="75">
        <v>12</v>
      </c>
      <c r="BS11" s="75">
        <v>12</v>
      </c>
      <c r="BT11" s="75">
        <v>12</v>
      </c>
      <c r="BU11" s="75">
        <v>12</v>
      </c>
      <c r="BV11" s="75"/>
      <c r="BW11" s="75">
        <v>20</v>
      </c>
      <c r="BX11" s="75">
        <v>20</v>
      </c>
      <c r="BY11" s="75">
        <v>20</v>
      </c>
      <c r="BZ11" s="75">
        <v>14</v>
      </c>
      <c r="CA11" s="75">
        <v>14</v>
      </c>
      <c r="CB11" s="75">
        <v>19</v>
      </c>
      <c r="CC11" s="75"/>
      <c r="CD11" s="75">
        <v>23</v>
      </c>
      <c r="CE11" s="75">
        <v>18</v>
      </c>
      <c r="CF11" s="75">
        <v>18</v>
      </c>
      <c r="CG11" s="75">
        <v>18</v>
      </c>
      <c r="CH11" s="75">
        <v>18</v>
      </c>
      <c r="CI11" s="75">
        <v>18</v>
      </c>
      <c r="CJ11" s="75"/>
      <c r="CK11" s="75">
        <v>15</v>
      </c>
      <c r="CL11" s="75">
        <v>15</v>
      </c>
      <c r="CM11" s="75">
        <v>20</v>
      </c>
      <c r="CN11" s="75">
        <v>19</v>
      </c>
      <c r="CO11" s="75">
        <v>14</v>
      </c>
      <c r="CP11" s="75">
        <v>14</v>
      </c>
      <c r="CQ11" s="75"/>
      <c r="CR11" s="75">
        <v>14</v>
      </c>
      <c r="CS11" s="75">
        <v>14</v>
      </c>
      <c r="CT11" s="75">
        <v>14</v>
      </c>
      <c r="CU11" s="75">
        <v>14</v>
      </c>
      <c r="CV11" s="75">
        <v>14</v>
      </c>
      <c r="CW11" s="75">
        <v>14</v>
      </c>
      <c r="CX11" s="75"/>
      <c r="CY11" s="75">
        <v>14</v>
      </c>
      <c r="CZ11" s="75">
        <v>14</v>
      </c>
      <c r="DA11" s="75">
        <v>14</v>
      </c>
      <c r="DB11" s="75">
        <v>14</v>
      </c>
      <c r="DC11" s="75">
        <v>14</v>
      </c>
      <c r="DD11" s="75">
        <v>14</v>
      </c>
      <c r="DE11" s="75"/>
      <c r="DF11" s="75">
        <v>6</v>
      </c>
      <c r="DG11" s="75">
        <v>6</v>
      </c>
      <c r="DH11" s="75">
        <v>11</v>
      </c>
      <c r="DI11" s="75">
        <v>11</v>
      </c>
      <c r="DJ11" s="75">
        <v>6</v>
      </c>
      <c r="DK11" s="75">
        <v>6</v>
      </c>
      <c r="DL11" s="75"/>
      <c r="DM11" s="75">
        <v>2</v>
      </c>
      <c r="DN11" s="75">
        <v>2</v>
      </c>
      <c r="DO11" s="75">
        <v>7</v>
      </c>
      <c r="DP11" s="75">
        <v>2</v>
      </c>
      <c r="DQ11" s="75">
        <v>2</v>
      </c>
      <c r="DR11" s="75">
        <v>2</v>
      </c>
      <c r="DS11" s="75"/>
      <c r="DT11" s="75"/>
      <c r="DU11" s="75">
        <v>6</v>
      </c>
      <c r="DV11" s="75">
        <v>17</v>
      </c>
      <c r="DW11" s="75">
        <v>18</v>
      </c>
      <c r="DX11" s="75">
        <v>18</v>
      </c>
      <c r="DY11" s="75">
        <v>23</v>
      </c>
      <c r="DZ11" s="75"/>
      <c r="EA11" s="75">
        <v>18</v>
      </c>
      <c r="EB11" s="75">
        <v>24</v>
      </c>
      <c r="EC11" s="75">
        <v>35</v>
      </c>
      <c r="ED11" s="75">
        <v>35</v>
      </c>
      <c r="EE11" s="75">
        <v>24</v>
      </c>
      <c r="EF11" s="75">
        <v>23</v>
      </c>
      <c r="EG11" s="75"/>
      <c r="EH11" s="75">
        <v>23</v>
      </c>
      <c r="EI11" s="75">
        <v>17</v>
      </c>
      <c r="EJ11" s="75">
        <v>17</v>
      </c>
      <c r="EK11" s="75">
        <v>23</v>
      </c>
      <c r="EL11" s="75">
        <v>17</v>
      </c>
      <c r="EM11" s="75">
        <v>17</v>
      </c>
      <c r="EN11" s="75"/>
      <c r="EO11" s="75">
        <v>12</v>
      </c>
      <c r="EP11" s="75">
        <v>12</v>
      </c>
      <c r="EQ11" s="75">
        <v>12</v>
      </c>
      <c r="ER11" s="75"/>
      <c r="ES11" s="75">
        <v>9</v>
      </c>
      <c r="ET11" s="75">
        <v>5</v>
      </c>
      <c r="EU11" s="75"/>
      <c r="EV11" s="75">
        <v>5</v>
      </c>
      <c r="EW11" s="75">
        <v>11</v>
      </c>
      <c r="EX11" s="75">
        <v>6</v>
      </c>
      <c r="EY11" s="75">
        <v>15</v>
      </c>
      <c r="EZ11" s="75">
        <v>15</v>
      </c>
      <c r="FA11" s="75">
        <v>8</v>
      </c>
      <c r="FB11" s="75"/>
      <c r="FC11" s="75">
        <v>8</v>
      </c>
      <c r="FD11" s="75">
        <v>8</v>
      </c>
      <c r="FE11" s="75">
        <v>8</v>
      </c>
      <c r="FF11" s="75">
        <v>8</v>
      </c>
      <c r="FG11" s="75">
        <v>8</v>
      </c>
      <c r="FH11" s="75">
        <v>38</v>
      </c>
      <c r="FI11" s="75"/>
      <c r="FJ11" s="75">
        <v>23</v>
      </c>
      <c r="FK11" s="75">
        <v>17</v>
      </c>
      <c r="FL11" s="75">
        <v>17</v>
      </c>
      <c r="FM11" s="75">
        <v>32</v>
      </c>
      <c r="FN11" s="75">
        <v>21</v>
      </c>
      <c r="FO11" s="75">
        <v>21</v>
      </c>
      <c r="FP11" s="75"/>
      <c r="FQ11" s="75">
        <v>16</v>
      </c>
      <c r="FR11" s="75">
        <v>16</v>
      </c>
      <c r="FS11" s="75">
        <v>16</v>
      </c>
      <c r="FT11" s="75"/>
      <c r="FU11" s="75">
        <v>17</v>
      </c>
      <c r="FV11" s="75">
        <v>22</v>
      </c>
      <c r="FW11" s="75"/>
      <c r="FX11" s="75">
        <v>31</v>
      </c>
      <c r="FY11" s="75">
        <v>17</v>
      </c>
      <c r="FZ11" s="75">
        <v>17</v>
      </c>
      <c r="GA11" s="75">
        <v>17</v>
      </c>
      <c r="GB11" s="75"/>
      <c r="GC11" s="75"/>
      <c r="GD11" s="75"/>
      <c r="GE11" s="75">
        <v>5</v>
      </c>
      <c r="GF11" s="75">
        <v>5</v>
      </c>
      <c r="GG11" s="75">
        <v>1</v>
      </c>
      <c r="GH11" s="75">
        <v>1</v>
      </c>
      <c r="GI11" s="75">
        <v>1</v>
      </c>
      <c r="GJ11" s="75">
        <v>6</v>
      </c>
      <c r="GK11" s="75"/>
      <c r="GL11" s="75">
        <v>6</v>
      </c>
      <c r="GM11" s="75">
        <v>11</v>
      </c>
      <c r="GN11" s="75">
        <v>26</v>
      </c>
      <c r="GO11" s="75">
        <v>21</v>
      </c>
      <c r="GP11" s="75">
        <v>21</v>
      </c>
      <c r="GQ11" s="75">
        <v>21</v>
      </c>
      <c r="GR11" s="75"/>
      <c r="GS11" s="75">
        <v>16</v>
      </c>
      <c r="GT11" s="75">
        <v>18</v>
      </c>
      <c r="GU11" s="75">
        <v>21</v>
      </c>
      <c r="GV11" s="75">
        <v>16</v>
      </c>
      <c r="GW11" s="75">
        <v>18</v>
      </c>
      <c r="GX11" s="75">
        <v>16</v>
      </c>
      <c r="GY11" s="75"/>
      <c r="GZ11" s="75">
        <v>7</v>
      </c>
      <c r="HA11" s="75">
        <v>7</v>
      </c>
      <c r="HB11" s="75">
        <v>12</v>
      </c>
      <c r="HC11" s="75">
        <v>12</v>
      </c>
      <c r="HD11" s="75">
        <v>9</v>
      </c>
      <c r="HE11" s="75"/>
      <c r="HF11" s="75"/>
      <c r="HG11" s="75">
        <v>16</v>
      </c>
      <c r="HH11" s="75">
        <v>7</v>
      </c>
      <c r="HI11" s="75">
        <v>7</v>
      </c>
      <c r="HJ11" s="75"/>
      <c r="HK11" s="75"/>
      <c r="HL11" s="75"/>
      <c r="HM11" s="75"/>
      <c r="HN11" s="75"/>
      <c r="HO11" s="75"/>
      <c r="HP11" s="75">
        <v>9</v>
      </c>
      <c r="HQ11" s="75"/>
      <c r="HR11" s="75">
        <v>5</v>
      </c>
      <c r="HS11" s="75"/>
      <c r="HT11" s="75"/>
      <c r="HU11" s="75">
        <v>2</v>
      </c>
      <c r="HV11" s="75">
        <v>9</v>
      </c>
      <c r="HW11" s="75">
        <v>10</v>
      </c>
      <c r="HX11" s="75">
        <v>25</v>
      </c>
      <c r="HY11" s="75">
        <v>25</v>
      </c>
      <c r="HZ11" s="75">
        <v>32</v>
      </c>
      <c r="IA11" s="75"/>
      <c r="IB11" s="75">
        <v>24</v>
      </c>
      <c r="IC11" s="75">
        <v>7</v>
      </c>
      <c r="ID11" s="75">
        <v>7</v>
      </c>
      <c r="IE11" s="75">
        <v>5</v>
      </c>
      <c r="IF11" s="75">
        <v>5</v>
      </c>
      <c r="IG11" s="75">
        <v>7</v>
      </c>
      <c r="IH11" s="75"/>
      <c r="II11" s="75"/>
      <c r="IJ11" s="75"/>
      <c r="IK11" s="75"/>
      <c r="IL11" s="75"/>
      <c r="IM11" s="75"/>
      <c r="IN11" s="75">
        <v>9</v>
      </c>
      <c r="IO11" s="75"/>
      <c r="IP11" s="75"/>
      <c r="IQ11" s="75">
        <v>9</v>
      </c>
      <c r="IR11" s="75"/>
      <c r="IS11" s="75">
        <v>9</v>
      </c>
      <c r="IT11" s="75">
        <v>18</v>
      </c>
      <c r="IU11" s="75"/>
      <c r="IV11" s="75"/>
      <c r="IW11" s="75">
        <v>5</v>
      </c>
      <c r="IX11" s="75">
        <v>10</v>
      </c>
      <c r="IY11" s="75">
        <v>10</v>
      </c>
      <c r="IZ11" s="75">
        <v>10</v>
      </c>
      <c r="JA11" s="75">
        <v>5</v>
      </c>
      <c r="JB11" s="75">
        <v>2</v>
      </c>
      <c r="JC11" s="75"/>
      <c r="JD11" s="75">
        <v>10</v>
      </c>
      <c r="JE11" s="75">
        <v>23</v>
      </c>
      <c r="JF11" s="75">
        <v>23</v>
      </c>
      <c r="JG11" s="75">
        <v>18</v>
      </c>
      <c r="JH11" s="75">
        <v>18</v>
      </c>
      <c r="JI11" s="75">
        <v>18</v>
      </c>
      <c r="JJ11" s="75"/>
      <c r="JK11" s="75">
        <v>18</v>
      </c>
      <c r="JL11" s="75">
        <v>18</v>
      </c>
      <c r="JM11" s="75">
        <v>31</v>
      </c>
      <c r="JN11" s="75"/>
      <c r="JO11" s="75"/>
      <c r="JP11" s="75"/>
      <c r="JQ11" s="75"/>
      <c r="JR11" s="75"/>
      <c r="JS11" s="75"/>
      <c r="JT11" s="75"/>
      <c r="JU11" s="75"/>
      <c r="JV11" s="75"/>
      <c r="JW11" s="75">
        <v>11</v>
      </c>
      <c r="JX11" s="75"/>
      <c r="JY11" s="75"/>
      <c r="JZ11" s="75">
        <v>10</v>
      </c>
      <c r="KA11" s="75">
        <v>10</v>
      </c>
      <c r="KB11" s="75">
        <v>10</v>
      </c>
      <c r="KC11" s="75">
        <v>12</v>
      </c>
      <c r="KD11" s="75"/>
      <c r="KE11" s="75"/>
      <c r="KF11" s="75"/>
      <c r="KG11" s="75">
        <v>5</v>
      </c>
      <c r="KH11" s="75">
        <v>5</v>
      </c>
      <c r="KI11" s="75">
        <v>5</v>
      </c>
      <c r="KJ11" s="75">
        <v>7</v>
      </c>
      <c r="KK11" s="75">
        <v>4</v>
      </c>
      <c r="KL11" s="75"/>
      <c r="KM11" s="75">
        <v>4</v>
      </c>
      <c r="KN11" s="75">
        <v>7</v>
      </c>
      <c r="KO11" s="75"/>
      <c r="KP11" s="75">
        <v>18</v>
      </c>
      <c r="KQ11" s="75"/>
      <c r="KR11" s="75"/>
      <c r="KS11" s="75"/>
      <c r="KT11" s="75"/>
      <c r="KU11" s="75">
        <v>9</v>
      </c>
      <c r="KV11" s="75">
        <v>24</v>
      </c>
      <c r="KW11" s="75">
        <v>18</v>
      </c>
      <c r="KX11" s="75">
        <v>27</v>
      </c>
      <c r="KY11" s="75">
        <v>18</v>
      </c>
      <c r="KZ11" s="75"/>
      <c r="LA11" s="75">
        <v>22</v>
      </c>
      <c r="LB11" s="75">
        <v>10</v>
      </c>
      <c r="LC11" s="75">
        <v>3</v>
      </c>
      <c r="LD11" s="75">
        <v>5</v>
      </c>
      <c r="LE11" s="75">
        <v>3</v>
      </c>
      <c r="LF11" s="75">
        <v>5</v>
      </c>
      <c r="LG11" s="75"/>
      <c r="LH11" s="75">
        <v>6</v>
      </c>
      <c r="LI11" s="75">
        <v>3</v>
      </c>
      <c r="LJ11" s="75">
        <v>3</v>
      </c>
      <c r="LK11" s="75">
        <v>3</v>
      </c>
      <c r="LL11" s="75"/>
      <c r="LM11" s="75">
        <v>10</v>
      </c>
      <c r="LN11" s="75"/>
      <c r="LO11" s="75">
        <v>1</v>
      </c>
      <c r="LP11" s="75"/>
      <c r="LQ11" s="75"/>
      <c r="LR11" s="75"/>
      <c r="LS11" s="75"/>
      <c r="LT11" s="75">
        <v>2</v>
      </c>
      <c r="LU11" s="75"/>
      <c r="LV11" s="75">
        <v>5</v>
      </c>
      <c r="LW11" s="75">
        <v>5</v>
      </c>
      <c r="LX11" s="75">
        <v>5</v>
      </c>
      <c r="LY11" s="75">
        <v>5</v>
      </c>
      <c r="LZ11" s="75"/>
      <c r="MA11" s="75"/>
      <c r="MB11" s="75"/>
      <c r="MC11" s="75"/>
      <c r="MD11" s="75"/>
      <c r="ME11" s="75"/>
      <c r="MF11" s="75"/>
      <c r="MG11" s="75"/>
      <c r="MH11" s="75"/>
      <c r="MI11" s="75"/>
      <c r="MJ11" s="75"/>
      <c r="MK11" s="75"/>
      <c r="ML11" s="75"/>
      <c r="MM11" s="75"/>
      <c r="MN11" s="75"/>
      <c r="MO11" s="75"/>
      <c r="MP11" s="75"/>
      <c r="MQ11" s="75">
        <v>9</v>
      </c>
      <c r="MR11" s="75"/>
      <c r="MS11" s="75"/>
      <c r="MT11" s="75"/>
      <c r="MU11" s="75">
        <v>2</v>
      </c>
      <c r="MV11" s="75"/>
      <c r="MW11" s="75"/>
      <c r="MX11" s="75"/>
      <c r="MY11" s="75"/>
      <c r="MZ11" s="75"/>
      <c r="NA11" s="75"/>
      <c r="NB11" s="75"/>
      <c r="NC11" s="75"/>
      <c r="ND11" s="75"/>
      <c r="NE11" s="75">
        <v>9</v>
      </c>
      <c r="NF11" s="75"/>
      <c r="NG11" s="75">
        <v>5</v>
      </c>
      <c r="NH11" s="75">
        <v>4</v>
      </c>
      <c r="NI11" s="75"/>
      <c r="NJ11" s="75"/>
      <c r="NK11" s="75"/>
      <c r="NL11" s="75"/>
      <c r="NM11" s="75"/>
      <c r="NN11" s="75"/>
      <c r="NO11" s="75"/>
      <c r="NP11" s="75"/>
      <c r="NQ11" s="75"/>
      <c r="NR11" s="75"/>
      <c r="NS11" s="75"/>
      <c r="NT11" s="75"/>
      <c r="NU11" s="75"/>
      <c r="NV11" s="75"/>
      <c r="NW11" s="75"/>
      <c r="NX11" s="75"/>
      <c r="NY11" s="75"/>
      <c r="NZ11" s="75"/>
      <c r="OA11" s="75"/>
      <c r="OB11" s="75"/>
      <c r="OC11" s="75"/>
      <c r="OD11" s="75"/>
      <c r="OE11" s="75"/>
      <c r="OF11" s="75"/>
      <c r="OG11" s="75"/>
      <c r="OH11" s="75"/>
      <c r="OI11" s="75"/>
      <c r="OJ11" s="75"/>
      <c r="OK11" s="75"/>
      <c r="OL11" s="75"/>
      <c r="OM11" s="75"/>
      <c r="ON11" s="75"/>
      <c r="OO11" s="75"/>
      <c r="OP11" s="75"/>
      <c r="OQ11" s="75"/>
      <c r="OR11" s="75"/>
      <c r="OS11" s="75"/>
      <c r="OT11" s="75"/>
      <c r="OU11" s="75"/>
      <c r="OV11" s="75"/>
      <c r="OW11" s="75"/>
      <c r="OX11" s="75"/>
      <c r="OY11" s="75"/>
      <c r="OZ11" s="75"/>
      <c r="PA11" s="75"/>
      <c r="PB11" s="75"/>
      <c r="PC11" s="75"/>
      <c r="PD11" s="75"/>
      <c r="PE11" s="75"/>
      <c r="PF11" s="75"/>
      <c r="PG11" s="75"/>
      <c r="PH11" s="75"/>
      <c r="PI11" s="75"/>
      <c r="PJ11" s="75"/>
      <c r="PK11" s="75"/>
      <c r="PL11" s="75"/>
      <c r="PM11" s="75"/>
      <c r="PN11" s="75"/>
      <c r="PO11" s="75"/>
      <c r="PP11" s="75"/>
      <c r="PQ11" s="75"/>
      <c r="PR11" s="75"/>
      <c r="PS11" s="75"/>
      <c r="PT11" s="75"/>
      <c r="PU11" s="75"/>
      <c r="PV11" s="75"/>
      <c r="PW11" s="75"/>
      <c r="PX11" s="75"/>
      <c r="PY11" s="75"/>
      <c r="PZ11" s="75"/>
      <c r="QA11" s="75"/>
      <c r="QB11" s="75"/>
      <c r="QC11" s="75"/>
      <c r="QD11" s="75"/>
      <c r="QE11" s="75"/>
      <c r="QF11" s="75"/>
      <c r="QG11" s="75"/>
      <c r="QH11" s="75"/>
      <c r="QI11" s="75"/>
      <c r="QJ11" s="75"/>
      <c r="QK11" s="75"/>
      <c r="QL11" s="75"/>
      <c r="QM11" s="75"/>
      <c r="QN11" s="75"/>
      <c r="QO11" s="75"/>
      <c r="QP11" s="75"/>
      <c r="QQ11" s="75"/>
      <c r="QR11" s="75"/>
      <c r="QS11" s="75"/>
      <c r="QT11" s="75"/>
      <c r="QU11" s="75"/>
      <c r="QV11" s="75"/>
      <c r="QW11" s="75"/>
      <c r="QX11" s="75"/>
      <c r="QY11" s="75"/>
      <c r="QZ11" s="75"/>
      <c r="RA11" s="75"/>
      <c r="RB11" s="75"/>
      <c r="RC11" s="75"/>
      <c r="RD11" s="75"/>
      <c r="RE11" s="75"/>
      <c r="RF11" s="75"/>
      <c r="RG11" s="75"/>
      <c r="RH11" s="75"/>
      <c r="RI11" s="75"/>
      <c r="RJ11" s="75"/>
      <c r="RK11" s="75"/>
      <c r="RL11" s="75"/>
      <c r="RM11" s="75"/>
      <c r="RN11" s="75"/>
      <c r="RO11" s="75"/>
      <c r="RP11" s="75"/>
      <c r="RQ11" s="75"/>
      <c r="RR11" s="75"/>
      <c r="RS11" s="75"/>
      <c r="RT11" s="75"/>
      <c r="RU11" s="75"/>
      <c r="RV11" s="75"/>
      <c r="RW11" s="75"/>
      <c r="RX11" s="75"/>
      <c r="RY11" s="75"/>
      <c r="RZ11" s="75"/>
      <c r="SA11" s="75"/>
      <c r="SB11" s="75"/>
      <c r="SC11" s="75"/>
      <c r="SD11" s="75"/>
      <c r="SE11" s="75"/>
      <c r="SF11" s="75"/>
      <c r="SG11" s="75"/>
      <c r="SH11" s="75"/>
      <c r="SI11" s="75"/>
      <c r="SJ11" s="75"/>
      <c r="SK11" s="75"/>
      <c r="SL11" s="75"/>
      <c r="SM11" s="75"/>
      <c r="SN11" s="75"/>
      <c r="SO11" s="75"/>
      <c r="SP11" s="75"/>
      <c r="SQ11" s="75"/>
      <c r="SR11" s="75"/>
      <c r="SS11" s="75"/>
      <c r="ST11" s="75"/>
      <c r="SU11" s="75"/>
      <c r="SV11" s="75"/>
      <c r="SW11" s="75"/>
      <c r="SX11" s="75"/>
      <c r="SY11" s="75"/>
      <c r="SZ11" s="75"/>
      <c r="TA11" s="75"/>
      <c r="TB11" s="75"/>
      <c r="TC11" s="75"/>
      <c r="TD11" s="75"/>
      <c r="TE11" s="75"/>
      <c r="TF11" s="75"/>
      <c r="TG11" s="75"/>
      <c r="TH11" s="75"/>
      <c r="TI11" s="75"/>
      <c r="TJ11" s="75"/>
      <c r="TK11" s="75"/>
      <c r="TL11" s="75"/>
      <c r="TM11" s="75"/>
      <c r="TN11" s="75"/>
      <c r="TO11" s="75"/>
      <c r="TP11" s="75"/>
      <c r="TQ11" s="75"/>
      <c r="TR11" s="75"/>
      <c r="TS11" s="75"/>
      <c r="TT11" s="75"/>
      <c r="TU11" s="75"/>
      <c r="TV11" s="75"/>
      <c r="TW11" s="75"/>
      <c r="TX11" s="75"/>
      <c r="TY11" s="75"/>
      <c r="TZ11" s="75"/>
      <c r="UA11" s="75"/>
      <c r="UB11" s="75"/>
      <c r="UC11" s="75"/>
      <c r="UD11" s="75"/>
      <c r="UE11" s="75"/>
      <c r="UF11" s="75"/>
      <c r="UG11" s="75"/>
      <c r="UH11" s="75"/>
      <c r="UI11" s="75"/>
      <c r="UJ11" s="75"/>
      <c r="UK11" s="75"/>
      <c r="UL11" s="75"/>
      <c r="UM11" s="75"/>
      <c r="UN11" s="75"/>
      <c r="UO11" s="75"/>
      <c r="UP11" s="75"/>
      <c r="UQ11" s="75"/>
      <c r="UR11" s="75"/>
      <c r="US11" s="75"/>
      <c r="UT11" s="75"/>
      <c r="UU11" s="75"/>
      <c r="UV11" s="75"/>
      <c r="UW11" s="75"/>
      <c r="UX11" s="75"/>
      <c r="UY11" s="75"/>
      <c r="UZ11" s="75"/>
      <c r="VA11" s="75"/>
      <c r="VB11" s="75"/>
      <c r="VC11" s="75"/>
      <c r="VD11" s="75"/>
      <c r="VE11" s="75"/>
      <c r="VF11" s="75"/>
      <c r="VG11" s="75"/>
      <c r="VH11" s="75"/>
      <c r="VI11" s="75"/>
      <c r="VJ11" s="75"/>
      <c r="VK11" s="75"/>
      <c r="VL11" s="75"/>
      <c r="VM11" s="75"/>
      <c r="VN11" s="75"/>
      <c r="VO11" s="75"/>
      <c r="VP11" s="75"/>
      <c r="VQ11" s="75"/>
      <c r="VR11" s="75"/>
      <c r="VS11" s="75"/>
      <c r="VT11" s="75"/>
      <c r="VU11" s="75"/>
      <c r="VV11" s="75"/>
      <c r="VW11" s="75"/>
      <c r="VX11" s="75"/>
      <c r="VY11" s="75"/>
      <c r="VZ11" s="75"/>
      <c r="WA11" s="75"/>
      <c r="WB11" s="75"/>
      <c r="WC11" s="75"/>
      <c r="WD11" s="75"/>
      <c r="WE11" s="75"/>
      <c r="WF11" s="75"/>
      <c r="WG11" s="75"/>
      <c r="WH11" s="75"/>
      <c r="WI11" s="75"/>
      <c r="WJ11" s="75"/>
      <c r="WK11" s="75"/>
      <c r="WL11" s="75"/>
      <c r="WM11" s="75"/>
      <c r="WN11" s="75"/>
      <c r="WO11" s="75"/>
      <c r="WP11" s="75"/>
      <c r="WQ11" s="75"/>
      <c r="WR11" s="75"/>
      <c r="WS11" s="75"/>
      <c r="WT11" s="75"/>
      <c r="WU11" s="75"/>
      <c r="WV11" s="75"/>
      <c r="WW11" s="75"/>
      <c r="WX11" s="75"/>
      <c r="WY11" s="75"/>
      <c r="WZ11" s="75"/>
      <c r="XA11" s="75"/>
      <c r="XB11" s="75"/>
      <c r="XC11" s="75"/>
      <c r="XD11" s="75"/>
      <c r="XE11" s="75"/>
      <c r="XF11" s="75"/>
      <c r="XG11" s="75"/>
      <c r="XH11" s="75"/>
      <c r="XI11" s="75"/>
      <c r="XJ11" s="75"/>
      <c r="XK11" s="75"/>
      <c r="XL11" s="75"/>
      <c r="XM11" s="75"/>
      <c r="XN11" s="75"/>
      <c r="XO11" s="75"/>
      <c r="XP11" s="75"/>
      <c r="XQ11" s="75"/>
      <c r="XR11" s="75"/>
      <c r="XS11" s="75"/>
      <c r="XT11" s="75"/>
      <c r="XU11" s="75"/>
      <c r="XV11" s="75"/>
      <c r="XW11" s="75"/>
      <c r="XX11" s="75"/>
      <c r="XY11" s="75"/>
      <c r="XZ11" s="75"/>
      <c r="YA11" s="75"/>
      <c r="YB11" s="75"/>
      <c r="YC11" s="75"/>
      <c r="YD11" s="75"/>
      <c r="YE11" s="75"/>
      <c r="YF11" s="75"/>
      <c r="YG11" s="75"/>
      <c r="YH11" s="75"/>
      <c r="YI11" s="75"/>
      <c r="YJ11" s="75"/>
      <c r="YK11" s="75"/>
      <c r="YL11" s="75"/>
      <c r="YM11" s="75"/>
      <c r="YN11" s="75"/>
      <c r="YO11" s="75"/>
      <c r="YP11" s="75"/>
      <c r="YQ11" s="75"/>
      <c r="YR11" s="75"/>
      <c r="YS11" s="75"/>
      <c r="YT11" s="75"/>
      <c r="YU11" s="75"/>
      <c r="YV11" s="75"/>
      <c r="YW11" s="75"/>
      <c r="YX11" s="75"/>
      <c r="YY11" s="75"/>
      <c r="YZ11" s="75"/>
      <c r="ZA11" s="75"/>
      <c r="ZB11" s="75"/>
      <c r="ZC11" s="75"/>
      <c r="ZD11" s="75"/>
      <c r="ZE11" s="75"/>
      <c r="ZF11" s="75"/>
      <c r="ZG11" s="75"/>
      <c r="ZH11" s="75"/>
      <c r="ZI11" s="75"/>
      <c r="ZJ11" s="75"/>
      <c r="ZK11" s="75"/>
      <c r="ZL11" s="75"/>
      <c r="ZM11" s="75"/>
      <c r="ZN11" s="75"/>
      <c r="ZO11" s="75"/>
      <c r="ZP11" s="75"/>
      <c r="ZQ11" s="75"/>
      <c r="ZR11" s="75"/>
      <c r="ZS11" s="75"/>
      <c r="ZT11" s="75"/>
      <c r="ZU11" s="75"/>
      <c r="ZV11" s="75"/>
      <c r="ZW11" s="75"/>
      <c r="ZX11" s="75"/>
      <c r="ZY11" s="75"/>
      <c r="ZZ11" s="75"/>
      <c r="AAA11" s="75"/>
      <c r="AAB11" s="75"/>
      <c r="AAC11" s="75"/>
      <c r="AAD11" s="75"/>
      <c r="AAE11" s="75"/>
      <c r="AAF11" s="75"/>
      <c r="AAG11" s="75"/>
      <c r="AAH11" s="75"/>
      <c r="AAI11" s="75"/>
      <c r="AAJ11" s="75"/>
      <c r="AAK11" s="75"/>
      <c r="AAL11" s="75"/>
      <c r="AAM11" s="75"/>
      <c r="AAN11" s="75"/>
      <c r="AAO11" s="75"/>
      <c r="AAP11" s="75"/>
      <c r="AAQ11" s="75"/>
      <c r="AAR11" s="75"/>
      <c r="AAS11" s="75"/>
      <c r="AAT11" s="75"/>
      <c r="AAU11" s="75"/>
      <c r="AAV11" s="75"/>
      <c r="AAW11" s="75"/>
      <c r="AAX11" s="75"/>
      <c r="AAY11" s="75"/>
      <c r="AAZ11" s="75"/>
      <c r="ABA11" s="75"/>
      <c r="ABB11" s="75"/>
      <c r="ABC11" s="75"/>
    </row>
    <row r="12" spans="1:731">
      <c r="A12" s="75" t="s">
        <v>50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>
        <v>4</v>
      </c>
      <c r="AQ12" s="75">
        <v>4</v>
      </c>
      <c r="AR12" s="75">
        <v>4</v>
      </c>
      <c r="AS12" s="75">
        <v>4</v>
      </c>
      <c r="AT12" s="75"/>
      <c r="AU12" s="75">
        <v>4</v>
      </c>
      <c r="AV12" s="75">
        <v>4</v>
      </c>
      <c r="AW12" s="75">
        <v>4</v>
      </c>
      <c r="AX12" s="75">
        <v>4</v>
      </c>
      <c r="AY12" s="75">
        <v>4</v>
      </c>
      <c r="AZ12" s="75">
        <v>4</v>
      </c>
      <c r="BA12" s="75"/>
      <c r="BB12" s="75">
        <v>4</v>
      </c>
      <c r="BC12" s="75">
        <v>4</v>
      </c>
      <c r="BD12" s="75">
        <v>4</v>
      </c>
      <c r="BE12" s="75">
        <v>4</v>
      </c>
      <c r="BF12" s="75">
        <v>4</v>
      </c>
      <c r="BG12" s="75">
        <v>5</v>
      </c>
      <c r="BH12" s="75"/>
      <c r="BI12" s="75">
        <v>5</v>
      </c>
      <c r="BJ12" s="75">
        <v>5</v>
      </c>
      <c r="BK12" s="75">
        <v>5</v>
      </c>
      <c r="BL12" s="75">
        <v>5</v>
      </c>
      <c r="BM12" s="75">
        <v>5</v>
      </c>
      <c r="BN12" s="75"/>
      <c r="BO12" s="75"/>
      <c r="BP12" s="75">
        <v>5</v>
      </c>
      <c r="BQ12" s="75">
        <v>5</v>
      </c>
      <c r="BR12" s="75">
        <v>5</v>
      </c>
      <c r="BS12" s="75">
        <v>5</v>
      </c>
      <c r="BT12" s="75">
        <v>5</v>
      </c>
      <c r="BU12" s="75">
        <v>5</v>
      </c>
      <c r="BV12" s="75"/>
      <c r="BW12" s="75">
        <v>14</v>
      </c>
      <c r="BX12" s="75">
        <v>14</v>
      </c>
      <c r="BY12" s="75">
        <v>14</v>
      </c>
      <c r="BZ12" s="75">
        <v>14</v>
      </c>
      <c r="CA12" s="75">
        <v>14</v>
      </c>
      <c r="CB12" s="75">
        <v>14</v>
      </c>
      <c r="CC12" s="75"/>
      <c r="CD12" s="75">
        <v>34</v>
      </c>
      <c r="CE12" s="75">
        <v>34</v>
      </c>
      <c r="CF12" s="75">
        <v>34</v>
      </c>
      <c r="CG12" s="75">
        <v>34</v>
      </c>
      <c r="CH12" s="75">
        <v>34</v>
      </c>
      <c r="CI12" s="75">
        <v>34</v>
      </c>
      <c r="CJ12" s="75"/>
      <c r="CK12" s="75">
        <v>44</v>
      </c>
      <c r="CL12" s="75">
        <v>44</v>
      </c>
      <c r="CM12" s="75">
        <v>44</v>
      </c>
      <c r="CN12" s="75">
        <v>40</v>
      </c>
      <c r="CO12" s="75">
        <v>40</v>
      </c>
      <c r="CP12" s="75">
        <v>40</v>
      </c>
      <c r="CQ12" s="75"/>
      <c r="CR12" s="75">
        <v>40</v>
      </c>
      <c r="CS12" s="75">
        <v>40</v>
      </c>
      <c r="CT12" s="75">
        <v>40</v>
      </c>
      <c r="CU12" s="75">
        <v>40</v>
      </c>
      <c r="CV12" s="75">
        <v>40</v>
      </c>
      <c r="CW12" s="75">
        <v>40</v>
      </c>
      <c r="CX12" s="75"/>
      <c r="CY12" s="75">
        <v>40</v>
      </c>
      <c r="CZ12" s="75">
        <v>40</v>
      </c>
      <c r="DA12" s="75">
        <v>40</v>
      </c>
      <c r="DB12" s="75">
        <v>40</v>
      </c>
      <c r="DC12" s="75">
        <v>40</v>
      </c>
      <c r="DD12" s="75">
        <v>40</v>
      </c>
      <c r="DE12" s="75"/>
      <c r="DF12" s="75">
        <v>30</v>
      </c>
      <c r="DG12" s="75">
        <v>30</v>
      </c>
      <c r="DH12" s="75">
        <v>30</v>
      </c>
      <c r="DI12" s="75">
        <v>30</v>
      </c>
      <c r="DJ12" s="75">
        <v>30</v>
      </c>
      <c r="DK12" s="75">
        <v>30</v>
      </c>
      <c r="DL12" s="75"/>
      <c r="DM12" s="75">
        <v>10</v>
      </c>
      <c r="DN12" s="75">
        <v>10</v>
      </c>
      <c r="DO12" s="75">
        <v>10</v>
      </c>
      <c r="DP12" s="75">
        <v>10</v>
      </c>
      <c r="DQ12" s="75">
        <v>10</v>
      </c>
      <c r="DR12" s="75">
        <v>10</v>
      </c>
      <c r="DS12" s="75"/>
      <c r="DT12" s="75"/>
      <c r="DU12" s="75"/>
      <c r="DV12" s="75"/>
      <c r="DW12" s="75"/>
      <c r="DX12" s="75"/>
      <c r="DY12" s="75"/>
      <c r="DZ12" s="75"/>
      <c r="EA12" s="75"/>
      <c r="EB12" s="75"/>
      <c r="EC12" s="75"/>
      <c r="ED12" s="75"/>
      <c r="EE12" s="75"/>
      <c r="EF12" s="75"/>
      <c r="EG12" s="75"/>
      <c r="EH12" s="75"/>
      <c r="EI12" s="75"/>
      <c r="EJ12" s="75"/>
      <c r="EK12" s="75"/>
      <c r="EL12" s="75"/>
      <c r="EM12" s="75"/>
      <c r="EN12" s="75"/>
      <c r="EO12" s="75"/>
      <c r="EP12" s="75"/>
      <c r="EQ12" s="75"/>
      <c r="ER12" s="75"/>
      <c r="ES12" s="75"/>
      <c r="ET12" s="75"/>
      <c r="EU12" s="75"/>
      <c r="EV12" s="75"/>
      <c r="EW12" s="75"/>
      <c r="EX12" s="75"/>
      <c r="EY12" s="75"/>
      <c r="EZ12" s="75"/>
      <c r="FA12" s="75"/>
      <c r="FB12" s="75"/>
      <c r="FC12" s="75"/>
      <c r="FD12" s="75"/>
      <c r="FE12" s="75"/>
      <c r="FF12" s="75"/>
      <c r="FG12" s="75"/>
      <c r="FH12" s="75"/>
      <c r="FI12" s="75"/>
      <c r="FJ12" s="75"/>
      <c r="FK12" s="75"/>
      <c r="FL12" s="75"/>
      <c r="FM12" s="75"/>
      <c r="FN12" s="75"/>
      <c r="FO12" s="75"/>
      <c r="FP12" s="75"/>
      <c r="FQ12" s="75"/>
      <c r="FR12" s="75"/>
      <c r="FS12" s="75"/>
      <c r="FT12" s="75"/>
      <c r="FU12" s="75"/>
      <c r="FV12" s="75"/>
      <c r="FW12" s="75"/>
      <c r="FX12" s="75"/>
      <c r="FY12" s="75"/>
      <c r="FZ12" s="75"/>
      <c r="GA12" s="75"/>
      <c r="GB12" s="75"/>
      <c r="GC12" s="75"/>
      <c r="GD12" s="75"/>
      <c r="GE12" s="75"/>
      <c r="GF12" s="75"/>
      <c r="GG12" s="75"/>
      <c r="GH12" s="75"/>
      <c r="GI12" s="75"/>
      <c r="GJ12" s="75"/>
      <c r="GK12" s="75"/>
      <c r="GL12" s="75"/>
      <c r="GM12" s="75"/>
      <c r="GN12" s="75"/>
      <c r="GO12" s="75"/>
      <c r="GP12" s="75"/>
      <c r="GQ12" s="75"/>
      <c r="GR12" s="75"/>
      <c r="GS12" s="75"/>
      <c r="GT12" s="75"/>
      <c r="GU12" s="75"/>
      <c r="GV12" s="75"/>
      <c r="GW12" s="75"/>
      <c r="GX12" s="75"/>
      <c r="GY12" s="75"/>
      <c r="GZ12" s="75"/>
      <c r="HA12" s="75"/>
      <c r="HB12" s="75"/>
      <c r="HC12" s="75"/>
      <c r="HD12" s="75"/>
      <c r="HE12" s="75"/>
      <c r="HF12" s="75"/>
      <c r="HG12" s="75"/>
      <c r="HH12" s="75"/>
      <c r="HI12" s="75"/>
      <c r="HJ12" s="75"/>
      <c r="HK12" s="75"/>
      <c r="HL12" s="75"/>
      <c r="HM12" s="75"/>
      <c r="HN12" s="75"/>
      <c r="HO12" s="75"/>
      <c r="HP12" s="75"/>
      <c r="HQ12" s="75"/>
      <c r="HR12" s="75"/>
      <c r="HS12" s="75"/>
      <c r="HT12" s="75"/>
      <c r="HU12" s="75"/>
      <c r="HV12" s="75"/>
      <c r="HW12" s="75"/>
      <c r="HX12" s="75"/>
      <c r="HY12" s="75"/>
      <c r="HZ12" s="75"/>
      <c r="IA12" s="75"/>
      <c r="IB12" s="75"/>
      <c r="IC12" s="75"/>
      <c r="ID12" s="75"/>
      <c r="IE12" s="75"/>
      <c r="IF12" s="75"/>
      <c r="IG12" s="75"/>
      <c r="IH12" s="75"/>
      <c r="II12" s="75"/>
      <c r="IJ12" s="75"/>
      <c r="IK12" s="75"/>
      <c r="IL12" s="75"/>
      <c r="IM12" s="75"/>
      <c r="IN12" s="75"/>
      <c r="IO12" s="75"/>
      <c r="IP12" s="75"/>
      <c r="IQ12" s="75"/>
      <c r="IR12" s="75"/>
      <c r="IS12" s="75"/>
      <c r="IT12" s="75"/>
      <c r="IU12" s="75"/>
      <c r="IV12" s="75"/>
      <c r="IW12" s="75"/>
      <c r="IX12" s="75"/>
      <c r="IY12" s="75"/>
      <c r="IZ12" s="75"/>
      <c r="JA12" s="75"/>
      <c r="JB12" s="75"/>
      <c r="JC12" s="75"/>
      <c r="JD12" s="75"/>
      <c r="JE12" s="75"/>
      <c r="JF12" s="75"/>
      <c r="JG12" s="75"/>
      <c r="JH12" s="75"/>
      <c r="JI12" s="75"/>
      <c r="JJ12" s="75"/>
      <c r="JK12" s="75"/>
      <c r="JL12" s="75"/>
      <c r="JM12" s="75"/>
      <c r="JN12" s="75"/>
      <c r="JO12" s="75"/>
      <c r="JP12" s="75"/>
      <c r="JQ12" s="75"/>
      <c r="JR12" s="75"/>
      <c r="JS12" s="75"/>
      <c r="JT12" s="75"/>
      <c r="JU12" s="75"/>
      <c r="JV12" s="75"/>
      <c r="JW12" s="75"/>
      <c r="JX12" s="75"/>
      <c r="JY12" s="75"/>
      <c r="JZ12" s="75"/>
      <c r="KA12" s="75"/>
      <c r="KB12" s="75"/>
      <c r="KC12" s="75"/>
      <c r="KD12" s="75"/>
      <c r="KE12" s="75"/>
      <c r="KF12" s="75"/>
      <c r="KG12" s="75"/>
      <c r="KH12" s="75"/>
      <c r="KI12" s="75"/>
      <c r="KJ12" s="75"/>
      <c r="KK12" s="75"/>
      <c r="KL12" s="75"/>
      <c r="KM12" s="75"/>
      <c r="KN12" s="75"/>
      <c r="KO12" s="75"/>
      <c r="KP12" s="75"/>
      <c r="KQ12" s="75"/>
      <c r="KR12" s="75"/>
      <c r="KS12" s="75"/>
      <c r="KT12" s="75"/>
      <c r="KU12" s="75"/>
      <c r="KV12" s="75"/>
      <c r="KW12" s="75"/>
      <c r="KX12" s="75"/>
      <c r="KY12" s="75"/>
      <c r="KZ12" s="75"/>
      <c r="LA12" s="75"/>
      <c r="LB12" s="75"/>
      <c r="LC12" s="75"/>
      <c r="LD12" s="75"/>
      <c r="LE12" s="75"/>
      <c r="LF12" s="75"/>
      <c r="LG12" s="75"/>
      <c r="LH12" s="75"/>
      <c r="LI12" s="75"/>
      <c r="LJ12" s="75"/>
      <c r="LK12" s="75"/>
      <c r="LL12" s="75"/>
      <c r="LM12" s="75"/>
      <c r="LN12" s="75"/>
      <c r="LO12" s="75"/>
      <c r="LP12" s="75"/>
      <c r="LQ12" s="75"/>
      <c r="LR12" s="75"/>
      <c r="LS12" s="75"/>
      <c r="LT12" s="75"/>
      <c r="LU12" s="75"/>
      <c r="LV12" s="75"/>
      <c r="LW12" s="75"/>
      <c r="LX12" s="75"/>
      <c r="LY12" s="75"/>
      <c r="LZ12" s="75"/>
      <c r="MA12" s="75"/>
      <c r="MB12" s="75"/>
      <c r="MC12" s="75"/>
      <c r="MD12" s="75"/>
      <c r="ME12" s="75"/>
      <c r="MF12" s="75"/>
      <c r="MG12" s="75"/>
      <c r="MH12" s="75"/>
      <c r="MI12" s="75"/>
      <c r="MJ12" s="75"/>
      <c r="MK12" s="75"/>
      <c r="ML12" s="75"/>
      <c r="MM12" s="75"/>
      <c r="MN12" s="75"/>
      <c r="MO12" s="75"/>
      <c r="MP12" s="75"/>
      <c r="MQ12" s="75"/>
      <c r="MR12" s="75"/>
      <c r="MS12" s="75"/>
      <c r="MT12" s="75"/>
      <c r="MU12" s="75"/>
      <c r="MV12" s="75"/>
      <c r="MW12" s="75"/>
      <c r="MX12" s="75"/>
      <c r="MY12" s="75"/>
      <c r="MZ12" s="75"/>
      <c r="NA12" s="75"/>
      <c r="NB12" s="75"/>
      <c r="NC12" s="75"/>
      <c r="ND12" s="75"/>
      <c r="NE12" s="75"/>
      <c r="NF12" s="75"/>
      <c r="NG12" s="75"/>
      <c r="NH12" s="75"/>
      <c r="NI12" s="75"/>
      <c r="NJ12" s="75"/>
      <c r="NK12" s="75"/>
      <c r="NL12" s="75"/>
      <c r="NM12" s="75"/>
      <c r="NN12" s="75"/>
      <c r="NO12" s="75"/>
      <c r="NP12" s="75"/>
      <c r="NQ12" s="75"/>
      <c r="NR12" s="75"/>
      <c r="NS12" s="75"/>
      <c r="NT12" s="75"/>
      <c r="NU12" s="75"/>
      <c r="NV12" s="75"/>
      <c r="NW12" s="75"/>
      <c r="NX12" s="75"/>
      <c r="NY12" s="75"/>
      <c r="NZ12" s="75"/>
      <c r="OA12" s="75"/>
      <c r="OB12" s="75"/>
      <c r="OC12" s="75"/>
      <c r="OD12" s="75"/>
      <c r="OE12" s="75"/>
      <c r="OF12" s="75"/>
      <c r="OG12" s="75"/>
      <c r="OH12" s="75"/>
      <c r="OI12" s="75"/>
      <c r="OJ12" s="75"/>
      <c r="OK12" s="75"/>
      <c r="OL12" s="75"/>
      <c r="OM12" s="75"/>
      <c r="ON12" s="75"/>
      <c r="OO12" s="75"/>
      <c r="OP12" s="75"/>
      <c r="OQ12" s="75"/>
      <c r="OR12" s="75"/>
      <c r="OS12" s="75"/>
      <c r="OT12" s="75"/>
      <c r="OU12" s="75"/>
      <c r="OV12" s="75"/>
      <c r="OW12" s="75"/>
      <c r="OX12" s="75"/>
      <c r="OY12" s="75"/>
      <c r="OZ12" s="75"/>
      <c r="PA12" s="75"/>
      <c r="PB12" s="75"/>
      <c r="PC12" s="75"/>
      <c r="PD12" s="75"/>
      <c r="PE12" s="75"/>
      <c r="PF12" s="75"/>
      <c r="PG12" s="75"/>
      <c r="PH12" s="75"/>
      <c r="PI12" s="75"/>
      <c r="PJ12" s="75"/>
      <c r="PK12" s="75"/>
      <c r="PL12" s="75"/>
      <c r="PM12" s="75"/>
      <c r="PN12" s="75"/>
      <c r="PO12" s="75"/>
      <c r="PP12" s="75"/>
      <c r="PQ12" s="75"/>
      <c r="PR12" s="75"/>
      <c r="PS12" s="75"/>
      <c r="PT12" s="75"/>
      <c r="PU12" s="75"/>
      <c r="PV12" s="75"/>
      <c r="PW12" s="75"/>
      <c r="PX12" s="75"/>
      <c r="PY12" s="75"/>
      <c r="PZ12" s="75"/>
      <c r="QA12" s="75"/>
      <c r="QB12" s="75"/>
      <c r="QC12" s="75"/>
      <c r="QD12" s="75"/>
      <c r="QE12" s="75"/>
      <c r="QF12" s="75"/>
      <c r="QG12" s="75"/>
      <c r="QH12" s="75"/>
      <c r="QI12" s="75"/>
      <c r="QJ12" s="75"/>
      <c r="QK12" s="75"/>
      <c r="QL12" s="75"/>
      <c r="QM12" s="75"/>
      <c r="QN12" s="75"/>
      <c r="QO12" s="75"/>
      <c r="QP12" s="75"/>
      <c r="QQ12" s="75"/>
      <c r="QR12" s="75"/>
      <c r="QS12" s="75"/>
      <c r="QT12" s="75"/>
      <c r="QU12" s="75"/>
      <c r="QV12" s="75"/>
      <c r="QW12" s="75"/>
      <c r="QX12" s="75"/>
      <c r="QY12" s="75"/>
      <c r="QZ12" s="75"/>
      <c r="RA12" s="75"/>
      <c r="RB12" s="75"/>
      <c r="RC12" s="75"/>
      <c r="RD12" s="75"/>
      <c r="RE12" s="75"/>
      <c r="RF12" s="75"/>
      <c r="RG12" s="75"/>
      <c r="RH12" s="75"/>
      <c r="RI12" s="75"/>
      <c r="RJ12" s="75"/>
      <c r="RK12" s="75"/>
      <c r="RL12" s="75"/>
      <c r="RM12" s="75"/>
      <c r="RN12" s="75"/>
      <c r="RO12" s="75"/>
      <c r="RP12" s="75"/>
      <c r="RQ12" s="75"/>
      <c r="RR12" s="75"/>
      <c r="RS12" s="75"/>
      <c r="RT12" s="75"/>
      <c r="RU12" s="75"/>
      <c r="RV12" s="75"/>
      <c r="RW12" s="75"/>
      <c r="RX12" s="75"/>
      <c r="RY12" s="75"/>
      <c r="RZ12" s="75"/>
      <c r="SA12" s="75"/>
      <c r="SB12" s="75"/>
      <c r="SC12" s="75"/>
      <c r="SD12" s="75"/>
      <c r="SE12" s="75"/>
      <c r="SF12" s="75"/>
      <c r="SG12" s="75"/>
      <c r="SH12" s="75"/>
      <c r="SI12" s="75"/>
      <c r="SJ12" s="75"/>
      <c r="SK12" s="75"/>
      <c r="SL12" s="75"/>
      <c r="SM12" s="75"/>
      <c r="SN12" s="75"/>
      <c r="SO12" s="75"/>
      <c r="SP12" s="75"/>
      <c r="SQ12" s="75"/>
      <c r="SR12" s="75"/>
      <c r="SS12" s="75"/>
      <c r="ST12" s="75"/>
      <c r="SU12" s="75"/>
      <c r="SV12" s="75"/>
      <c r="SW12" s="75"/>
      <c r="SX12" s="75"/>
      <c r="SY12" s="75"/>
      <c r="SZ12" s="75"/>
      <c r="TA12" s="75"/>
      <c r="TB12" s="75"/>
      <c r="TC12" s="75"/>
      <c r="TD12" s="75"/>
      <c r="TE12" s="75"/>
      <c r="TF12" s="75"/>
      <c r="TG12" s="75"/>
      <c r="TH12" s="75"/>
      <c r="TI12" s="75"/>
      <c r="TJ12" s="75"/>
      <c r="TK12" s="75"/>
      <c r="TL12" s="75"/>
      <c r="TM12" s="75"/>
      <c r="TN12" s="75"/>
      <c r="TO12" s="75"/>
      <c r="TP12" s="75"/>
      <c r="TQ12" s="75"/>
      <c r="TR12" s="75"/>
      <c r="TS12" s="75"/>
      <c r="TT12" s="75"/>
      <c r="TU12" s="75"/>
      <c r="TV12" s="75"/>
      <c r="TW12" s="75"/>
      <c r="TX12" s="75"/>
      <c r="TY12" s="75"/>
      <c r="TZ12" s="75"/>
      <c r="UA12" s="75"/>
      <c r="UB12" s="75"/>
      <c r="UC12" s="75"/>
      <c r="UD12" s="75"/>
      <c r="UE12" s="75"/>
      <c r="UF12" s="75"/>
      <c r="UG12" s="75"/>
      <c r="UH12" s="75"/>
      <c r="UI12" s="75"/>
      <c r="UJ12" s="75"/>
      <c r="UK12" s="75"/>
      <c r="UL12" s="75"/>
      <c r="UM12" s="75"/>
      <c r="UN12" s="75"/>
      <c r="UO12" s="75"/>
      <c r="UP12" s="75"/>
      <c r="UQ12" s="75"/>
      <c r="UR12" s="75"/>
      <c r="US12" s="75"/>
      <c r="UT12" s="75"/>
      <c r="UU12" s="75"/>
      <c r="UV12" s="75"/>
      <c r="UW12" s="75"/>
      <c r="UX12" s="75"/>
      <c r="UY12" s="75"/>
      <c r="UZ12" s="75"/>
      <c r="VA12" s="75"/>
      <c r="VB12" s="75"/>
      <c r="VC12" s="75"/>
      <c r="VD12" s="75"/>
      <c r="VE12" s="75"/>
      <c r="VF12" s="75"/>
      <c r="VG12" s="75"/>
      <c r="VH12" s="75"/>
      <c r="VI12" s="75"/>
      <c r="VJ12" s="75"/>
      <c r="VK12" s="75"/>
      <c r="VL12" s="75"/>
      <c r="VM12" s="75"/>
      <c r="VN12" s="75"/>
      <c r="VO12" s="75"/>
      <c r="VP12" s="75"/>
      <c r="VQ12" s="75"/>
      <c r="VR12" s="75"/>
      <c r="VS12" s="75"/>
      <c r="VT12" s="75"/>
      <c r="VU12" s="75"/>
      <c r="VV12" s="75"/>
      <c r="VW12" s="75"/>
      <c r="VX12" s="75"/>
      <c r="VY12" s="75"/>
      <c r="VZ12" s="75"/>
      <c r="WA12" s="75"/>
      <c r="WB12" s="75"/>
      <c r="WC12" s="75"/>
      <c r="WD12" s="75"/>
      <c r="WE12" s="75"/>
      <c r="WF12" s="75"/>
      <c r="WG12" s="75"/>
      <c r="WH12" s="75"/>
      <c r="WI12" s="75"/>
      <c r="WJ12" s="75"/>
      <c r="WK12" s="75"/>
      <c r="WL12" s="75"/>
      <c r="WM12" s="75"/>
      <c r="WN12" s="75"/>
      <c r="WO12" s="75"/>
      <c r="WP12" s="75"/>
      <c r="WQ12" s="75"/>
      <c r="WR12" s="75"/>
      <c r="WS12" s="75"/>
      <c r="WT12" s="75"/>
      <c r="WU12" s="75"/>
      <c r="WV12" s="75"/>
      <c r="WW12" s="75"/>
      <c r="WX12" s="75"/>
      <c r="WY12" s="75"/>
      <c r="WZ12" s="75"/>
      <c r="XA12" s="75"/>
      <c r="XB12" s="75"/>
      <c r="XC12" s="75"/>
      <c r="XD12" s="75"/>
      <c r="XE12" s="75"/>
      <c r="XF12" s="75"/>
      <c r="XG12" s="75"/>
      <c r="XH12" s="75"/>
      <c r="XI12" s="75"/>
      <c r="XJ12" s="75"/>
      <c r="XK12" s="75"/>
      <c r="XL12" s="75"/>
      <c r="XM12" s="75"/>
      <c r="XN12" s="75"/>
      <c r="XO12" s="75"/>
      <c r="XP12" s="75"/>
      <c r="XQ12" s="75"/>
      <c r="XR12" s="75"/>
      <c r="XS12" s="75"/>
      <c r="XT12" s="75"/>
      <c r="XU12" s="75"/>
      <c r="XV12" s="75"/>
      <c r="XW12" s="75"/>
      <c r="XX12" s="75"/>
      <c r="XY12" s="75"/>
      <c r="XZ12" s="75"/>
      <c r="YA12" s="75"/>
      <c r="YB12" s="75"/>
      <c r="YC12" s="75"/>
      <c r="YD12" s="75"/>
      <c r="YE12" s="75"/>
      <c r="YF12" s="75"/>
      <c r="YG12" s="75"/>
      <c r="YH12" s="75"/>
      <c r="YI12" s="75"/>
      <c r="YJ12" s="75"/>
      <c r="YK12" s="75"/>
      <c r="YL12" s="75"/>
      <c r="YM12" s="75"/>
      <c r="YN12" s="75"/>
      <c r="YO12" s="75"/>
      <c r="YP12" s="75"/>
      <c r="YQ12" s="75"/>
      <c r="YR12" s="75"/>
      <c r="YS12" s="75"/>
      <c r="YT12" s="75"/>
      <c r="YU12" s="75"/>
      <c r="YV12" s="75"/>
      <c r="YW12" s="75"/>
      <c r="YX12" s="75"/>
      <c r="YY12" s="75"/>
      <c r="YZ12" s="75"/>
      <c r="ZA12" s="75"/>
      <c r="ZB12" s="75"/>
      <c r="ZC12" s="75"/>
      <c r="ZD12" s="75"/>
      <c r="ZE12" s="75"/>
      <c r="ZF12" s="75"/>
      <c r="ZG12" s="75"/>
      <c r="ZH12" s="75"/>
      <c r="ZI12" s="75"/>
      <c r="ZJ12" s="75"/>
      <c r="ZK12" s="75"/>
      <c r="ZL12" s="75"/>
      <c r="ZM12" s="75"/>
      <c r="ZN12" s="75"/>
      <c r="ZO12" s="75"/>
      <c r="ZP12" s="75"/>
      <c r="ZQ12" s="75"/>
      <c r="ZR12" s="75"/>
      <c r="ZS12" s="75"/>
      <c r="ZT12" s="75"/>
      <c r="ZU12" s="75"/>
      <c r="ZV12" s="75"/>
      <c r="ZW12" s="75"/>
      <c r="ZX12" s="75"/>
      <c r="ZY12" s="75"/>
      <c r="ZZ12" s="75"/>
      <c r="AAA12" s="75"/>
      <c r="AAB12" s="75"/>
      <c r="AAC12" s="75"/>
      <c r="AAD12" s="75"/>
      <c r="AAE12" s="75"/>
      <c r="AAF12" s="75"/>
      <c r="AAG12" s="75"/>
      <c r="AAH12" s="75"/>
      <c r="AAI12" s="75"/>
      <c r="AAJ12" s="75"/>
      <c r="AAK12" s="75"/>
      <c r="AAL12" s="75"/>
      <c r="AAM12" s="75"/>
      <c r="AAN12" s="75"/>
      <c r="AAO12" s="75"/>
      <c r="AAP12" s="75"/>
      <c r="AAQ12" s="75"/>
      <c r="AAR12" s="75"/>
      <c r="AAS12" s="75"/>
      <c r="AAT12" s="75"/>
      <c r="AAU12" s="75"/>
      <c r="AAV12" s="75"/>
      <c r="AAW12" s="75"/>
      <c r="AAX12" s="75"/>
      <c r="AAY12" s="75"/>
      <c r="AAZ12" s="75"/>
      <c r="ABA12" s="75"/>
      <c r="ABB12" s="75"/>
      <c r="ABC12" s="75"/>
    </row>
    <row r="13" spans="1:731">
      <c r="A13" s="75" t="s">
        <v>51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5"/>
      <c r="BF13" s="75"/>
      <c r="BG13" s="75"/>
      <c r="BH13" s="75"/>
      <c r="BI13" s="75"/>
      <c r="BJ13" s="75"/>
      <c r="BK13" s="75"/>
      <c r="BL13" s="75"/>
      <c r="BM13" s="75"/>
      <c r="BN13" s="75"/>
      <c r="BO13" s="75"/>
      <c r="BP13" s="75"/>
      <c r="BQ13" s="75"/>
      <c r="BR13" s="75"/>
      <c r="BS13" s="75"/>
      <c r="BT13" s="75"/>
      <c r="BU13" s="75"/>
      <c r="BV13" s="75"/>
      <c r="BW13" s="75"/>
      <c r="BX13" s="75"/>
      <c r="BY13" s="75"/>
      <c r="BZ13" s="75"/>
      <c r="CA13" s="75"/>
      <c r="CB13" s="75"/>
      <c r="CC13" s="75"/>
      <c r="CD13" s="75"/>
      <c r="CE13" s="75"/>
      <c r="CF13" s="75"/>
      <c r="CG13" s="75"/>
      <c r="CH13" s="75"/>
      <c r="CI13" s="75"/>
      <c r="CJ13" s="75"/>
      <c r="CK13" s="75"/>
      <c r="CL13" s="75"/>
      <c r="CM13" s="75"/>
      <c r="CN13" s="75"/>
      <c r="CO13" s="75"/>
      <c r="CP13" s="75"/>
      <c r="CQ13" s="75"/>
      <c r="CR13" s="75"/>
      <c r="CS13" s="75"/>
      <c r="CT13" s="75"/>
      <c r="CU13" s="75"/>
      <c r="CV13" s="75"/>
      <c r="CW13" s="75"/>
      <c r="CX13" s="75"/>
      <c r="CY13" s="75"/>
      <c r="CZ13" s="75"/>
      <c r="DA13" s="75"/>
      <c r="DB13" s="75"/>
      <c r="DC13" s="75"/>
      <c r="DD13" s="75"/>
      <c r="DE13" s="75"/>
      <c r="DF13" s="75"/>
      <c r="DG13" s="75"/>
      <c r="DH13" s="75"/>
      <c r="DI13" s="75"/>
      <c r="DJ13" s="75"/>
      <c r="DK13" s="75"/>
      <c r="DL13" s="75"/>
      <c r="DM13" s="75"/>
      <c r="DN13" s="75"/>
      <c r="DO13" s="75"/>
      <c r="DP13" s="75"/>
      <c r="DQ13" s="75"/>
      <c r="DR13" s="75"/>
      <c r="DS13" s="75"/>
      <c r="DT13" s="75"/>
      <c r="DU13" s="75">
        <v>10</v>
      </c>
      <c r="DV13" s="75">
        <v>10</v>
      </c>
      <c r="DW13" s="75">
        <v>10</v>
      </c>
      <c r="DX13" s="75">
        <v>10</v>
      </c>
      <c r="DY13" s="75">
        <v>10</v>
      </c>
      <c r="DZ13" s="75"/>
      <c r="EA13" s="75">
        <v>10</v>
      </c>
      <c r="EB13" s="75">
        <v>10</v>
      </c>
      <c r="EC13" s="75">
        <v>10</v>
      </c>
      <c r="ED13" s="75">
        <v>10</v>
      </c>
      <c r="EE13" s="75">
        <v>10</v>
      </c>
      <c r="EF13" s="75">
        <v>10</v>
      </c>
      <c r="EG13" s="75"/>
      <c r="EH13" s="75">
        <v>10</v>
      </c>
      <c r="EI13" s="75">
        <v>10</v>
      </c>
      <c r="EJ13" s="75">
        <v>10</v>
      </c>
      <c r="EK13" s="75">
        <v>10</v>
      </c>
      <c r="EL13" s="75">
        <v>10</v>
      </c>
      <c r="EM13" s="75">
        <v>10</v>
      </c>
      <c r="EN13" s="75"/>
      <c r="EO13" s="75">
        <v>10</v>
      </c>
      <c r="EP13" s="75">
        <v>10</v>
      </c>
      <c r="EQ13" s="75">
        <v>10</v>
      </c>
      <c r="ER13" s="75"/>
      <c r="ES13" s="75"/>
      <c r="ET13" s="75"/>
      <c r="EU13" s="75"/>
      <c r="EV13" s="75"/>
      <c r="EW13" s="75">
        <v>10</v>
      </c>
      <c r="EX13" s="75">
        <v>10</v>
      </c>
      <c r="EY13" s="75">
        <v>10</v>
      </c>
      <c r="EZ13" s="75">
        <v>10</v>
      </c>
      <c r="FA13" s="75">
        <v>10</v>
      </c>
      <c r="FB13" s="75"/>
      <c r="FC13" s="75">
        <v>10</v>
      </c>
      <c r="FD13" s="75">
        <v>10</v>
      </c>
      <c r="FE13" s="75">
        <v>10</v>
      </c>
      <c r="FF13" s="75">
        <v>10</v>
      </c>
      <c r="FG13" s="75">
        <v>10</v>
      </c>
      <c r="FH13" s="75">
        <v>22</v>
      </c>
      <c r="FI13" s="75"/>
      <c r="FJ13" s="75">
        <v>22</v>
      </c>
      <c r="FK13" s="75">
        <v>12</v>
      </c>
      <c r="FL13" s="75">
        <v>12</v>
      </c>
      <c r="FM13" s="75">
        <v>12</v>
      </c>
      <c r="FN13" s="75">
        <v>12</v>
      </c>
      <c r="FO13" s="75">
        <v>12</v>
      </c>
      <c r="FP13" s="75"/>
      <c r="FQ13" s="75">
        <v>12</v>
      </c>
      <c r="FR13" s="75">
        <v>12</v>
      </c>
      <c r="FS13" s="75">
        <v>12</v>
      </c>
      <c r="FT13" s="75"/>
      <c r="FU13" s="75">
        <v>13</v>
      </c>
      <c r="FV13" s="75">
        <v>13</v>
      </c>
      <c r="FW13" s="75"/>
      <c r="FX13" s="75">
        <v>13</v>
      </c>
      <c r="FY13" s="75">
        <v>23</v>
      </c>
      <c r="FZ13" s="75">
        <v>23</v>
      </c>
      <c r="GA13" s="75">
        <v>33</v>
      </c>
      <c r="GB13" s="75">
        <v>20</v>
      </c>
      <c r="GC13" s="75">
        <v>20</v>
      </c>
      <c r="GD13" s="75"/>
      <c r="GE13" s="75">
        <v>20</v>
      </c>
      <c r="GF13" s="75">
        <v>20</v>
      </c>
      <c r="GG13" s="75">
        <v>20</v>
      </c>
      <c r="GH13" s="75">
        <v>10</v>
      </c>
      <c r="GI13" s="75">
        <v>10</v>
      </c>
      <c r="GJ13" s="75"/>
      <c r="GK13" s="75"/>
      <c r="GL13" s="75"/>
      <c r="GM13" s="75"/>
      <c r="GN13" s="75">
        <v>12</v>
      </c>
      <c r="GO13" s="75">
        <v>12</v>
      </c>
      <c r="GP13" s="75">
        <v>12</v>
      </c>
      <c r="GQ13" s="75">
        <v>12</v>
      </c>
      <c r="GR13" s="75"/>
      <c r="GS13" s="75">
        <v>12</v>
      </c>
      <c r="GT13" s="75">
        <v>12</v>
      </c>
      <c r="GU13" s="75">
        <v>12</v>
      </c>
      <c r="GV13" s="75">
        <v>12</v>
      </c>
      <c r="GW13" s="75">
        <v>12</v>
      </c>
      <c r="GX13" s="75">
        <v>12</v>
      </c>
      <c r="GY13" s="75"/>
      <c r="GZ13" s="75"/>
      <c r="HA13" s="75"/>
      <c r="HB13" s="75"/>
      <c r="HC13" s="75"/>
      <c r="HD13" s="75"/>
      <c r="HE13" s="75"/>
      <c r="HF13" s="75"/>
      <c r="HG13" s="75"/>
      <c r="HH13" s="75"/>
      <c r="HI13" s="75"/>
      <c r="HJ13" s="75"/>
      <c r="HK13" s="75"/>
      <c r="HL13" s="75">
        <v>10</v>
      </c>
      <c r="HM13" s="75"/>
      <c r="HN13" s="75">
        <v>10</v>
      </c>
      <c r="HO13" s="75">
        <v>20</v>
      </c>
      <c r="HP13" s="75">
        <v>20</v>
      </c>
      <c r="HQ13" s="75">
        <v>20</v>
      </c>
      <c r="HR13" s="75">
        <v>20</v>
      </c>
      <c r="HS13" s="75">
        <v>20</v>
      </c>
      <c r="HT13" s="75"/>
      <c r="HU13" s="75">
        <v>20</v>
      </c>
      <c r="HV13" s="75">
        <v>10</v>
      </c>
      <c r="HW13" s="75">
        <v>10</v>
      </c>
      <c r="HX13" s="75"/>
      <c r="HY13" s="75"/>
      <c r="HZ13" s="75"/>
      <c r="IA13" s="75"/>
      <c r="IB13" s="75"/>
      <c r="IC13" s="75"/>
      <c r="ID13" s="75"/>
      <c r="IE13" s="75"/>
      <c r="IF13" s="75"/>
      <c r="IG13" s="75"/>
      <c r="IH13" s="75"/>
      <c r="II13" s="75"/>
      <c r="IJ13" s="75"/>
      <c r="IK13" s="75"/>
      <c r="IL13" s="75"/>
      <c r="IM13" s="75"/>
      <c r="IN13" s="75"/>
      <c r="IO13" s="75"/>
      <c r="IP13" s="75"/>
      <c r="IQ13" s="75"/>
      <c r="IR13" s="75"/>
      <c r="IS13" s="75"/>
      <c r="IT13" s="75"/>
      <c r="IU13" s="75"/>
      <c r="IV13" s="75"/>
      <c r="IW13" s="75"/>
      <c r="IX13" s="75"/>
      <c r="IY13" s="75"/>
      <c r="IZ13" s="75"/>
      <c r="JA13" s="75"/>
      <c r="JB13" s="75"/>
      <c r="JC13" s="75"/>
      <c r="JD13" s="75"/>
      <c r="JE13" s="75"/>
      <c r="JF13" s="75"/>
      <c r="JG13" s="75"/>
      <c r="JH13" s="75"/>
      <c r="JI13" s="75"/>
      <c r="JJ13" s="75"/>
      <c r="JK13" s="75"/>
      <c r="JL13" s="75"/>
      <c r="JM13" s="75"/>
      <c r="JN13" s="75"/>
      <c r="JO13" s="75"/>
      <c r="JP13" s="75"/>
      <c r="JQ13" s="75"/>
      <c r="JR13" s="75"/>
      <c r="JS13" s="75"/>
      <c r="JT13" s="75"/>
      <c r="JU13" s="75"/>
      <c r="JV13" s="75"/>
      <c r="JW13" s="75"/>
      <c r="JX13" s="75"/>
      <c r="JY13" s="75"/>
      <c r="JZ13" s="75"/>
      <c r="KA13" s="75"/>
      <c r="KB13" s="75"/>
      <c r="KC13" s="75"/>
      <c r="KD13" s="75"/>
      <c r="KE13" s="75"/>
      <c r="KF13" s="75"/>
      <c r="KG13" s="75"/>
      <c r="KH13" s="75"/>
      <c r="KI13" s="75"/>
      <c r="KJ13" s="75"/>
      <c r="KK13" s="75"/>
      <c r="KL13" s="75"/>
      <c r="KM13" s="75"/>
      <c r="KN13" s="75"/>
      <c r="KO13" s="75"/>
      <c r="KP13" s="75"/>
      <c r="KQ13" s="75"/>
      <c r="KR13" s="75"/>
      <c r="KS13" s="75"/>
      <c r="KT13" s="75"/>
      <c r="KU13" s="75"/>
      <c r="KV13" s="75"/>
      <c r="KW13" s="75"/>
      <c r="KX13" s="75"/>
      <c r="KY13" s="75"/>
      <c r="KZ13" s="75"/>
      <c r="LA13" s="75"/>
      <c r="LB13" s="75"/>
      <c r="LC13" s="75"/>
      <c r="LD13" s="75"/>
      <c r="LE13" s="75"/>
      <c r="LF13" s="75"/>
      <c r="LG13" s="75"/>
      <c r="LH13" s="75"/>
      <c r="LI13" s="75"/>
      <c r="LJ13" s="75"/>
      <c r="LK13" s="75"/>
      <c r="LL13" s="75"/>
      <c r="LM13" s="75"/>
      <c r="LN13" s="75"/>
      <c r="LO13" s="75"/>
      <c r="LP13" s="75"/>
      <c r="LQ13" s="75"/>
      <c r="LR13" s="75"/>
      <c r="LS13" s="75"/>
      <c r="LT13" s="75"/>
      <c r="LU13" s="75"/>
      <c r="LV13" s="75"/>
      <c r="LW13" s="75"/>
      <c r="LX13" s="75"/>
      <c r="LY13" s="75"/>
      <c r="LZ13" s="75"/>
      <c r="MA13" s="75"/>
      <c r="MB13" s="75"/>
      <c r="MC13" s="75"/>
      <c r="MD13" s="75"/>
      <c r="ME13" s="75"/>
      <c r="MF13" s="75"/>
      <c r="MG13" s="75"/>
      <c r="MH13" s="75"/>
      <c r="MI13" s="75"/>
      <c r="MJ13" s="75"/>
      <c r="MK13" s="75"/>
      <c r="ML13" s="75"/>
      <c r="MM13" s="75"/>
      <c r="MN13" s="75"/>
      <c r="MO13" s="75"/>
      <c r="MP13" s="75"/>
      <c r="MQ13" s="75"/>
      <c r="MR13" s="75"/>
      <c r="MS13" s="75"/>
      <c r="MT13" s="75"/>
      <c r="MU13" s="75"/>
      <c r="MV13" s="75"/>
      <c r="MW13" s="75"/>
      <c r="MX13" s="75"/>
      <c r="MY13" s="75"/>
      <c r="MZ13" s="75"/>
      <c r="NA13" s="75"/>
      <c r="NB13" s="75"/>
      <c r="NC13" s="75"/>
      <c r="ND13" s="75"/>
      <c r="NE13" s="75"/>
      <c r="NF13" s="75"/>
      <c r="NG13" s="75"/>
      <c r="NH13" s="75"/>
      <c r="NI13" s="75"/>
      <c r="NJ13" s="75"/>
      <c r="NK13" s="75"/>
      <c r="NL13" s="75"/>
      <c r="NM13" s="75"/>
      <c r="NN13" s="75"/>
      <c r="NO13" s="75"/>
      <c r="NP13" s="75"/>
      <c r="NQ13" s="75"/>
      <c r="NR13" s="75"/>
      <c r="NS13" s="75"/>
      <c r="NT13" s="75"/>
      <c r="NU13" s="75"/>
      <c r="NV13" s="75"/>
      <c r="NW13" s="75"/>
      <c r="NX13" s="75"/>
      <c r="NY13" s="75"/>
      <c r="NZ13" s="75"/>
      <c r="OA13" s="75"/>
      <c r="OB13" s="75"/>
      <c r="OC13" s="75"/>
      <c r="OD13" s="75"/>
      <c r="OE13" s="75"/>
      <c r="OF13" s="75"/>
      <c r="OG13" s="75"/>
      <c r="OH13" s="75"/>
      <c r="OI13" s="75"/>
      <c r="OJ13" s="75"/>
      <c r="OK13" s="75"/>
      <c r="OL13" s="75"/>
      <c r="OM13" s="75"/>
      <c r="ON13" s="75"/>
      <c r="OO13" s="75"/>
      <c r="OP13" s="75"/>
      <c r="OQ13" s="75"/>
      <c r="OR13" s="75"/>
      <c r="OS13" s="75"/>
      <c r="OT13" s="75"/>
      <c r="OU13" s="75"/>
      <c r="OV13" s="75"/>
      <c r="OW13" s="75"/>
      <c r="OX13" s="75"/>
      <c r="OY13" s="75"/>
      <c r="OZ13" s="75"/>
      <c r="PA13" s="75"/>
      <c r="PB13" s="75"/>
      <c r="PC13" s="75"/>
      <c r="PD13" s="75"/>
      <c r="PE13" s="75"/>
      <c r="PF13" s="75"/>
      <c r="PG13" s="75"/>
      <c r="PH13" s="75"/>
      <c r="PI13" s="75"/>
      <c r="PJ13" s="75"/>
      <c r="PK13" s="75"/>
      <c r="PL13" s="75"/>
      <c r="PM13" s="75"/>
      <c r="PN13" s="75"/>
      <c r="PO13" s="75"/>
      <c r="PP13" s="75"/>
      <c r="PQ13" s="75"/>
      <c r="PR13" s="75"/>
      <c r="PS13" s="75"/>
      <c r="PT13" s="75"/>
      <c r="PU13" s="75"/>
      <c r="PV13" s="75"/>
      <c r="PW13" s="75"/>
      <c r="PX13" s="75"/>
      <c r="PY13" s="75"/>
      <c r="PZ13" s="75"/>
      <c r="QA13" s="75"/>
      <c r="QB13" s="75"/>
      <c r="QC13" s="75"/>
      <c r="QD13" s="75"/>
      <c r="QE13" s="75"/>
      <c r="QF13" s="75"/>
      <c r="QG13" s="75"/>
      <c r="QH13" s="75"/>
      <c r="QI13" s="75"/>
      <c r="QJ13" s="75"/>
      <c r="QK13" s="75"/>
      <c r="QL13" s="75"/>
      <c r="QM13" s="75"/>
      <c r="QN13" s="75"/>
      <c r="QO13" s="75"/>
      <c r="QP13" s="75"/>
      <c r="QQ13" s="75"/>
      <c r="QR13" s="75"/>
      <c r="QS13" s="75"/>
      <c r="QT13" s="75"/>
      <c r="QU13" s="75"/>
      <c r="QV13" s="75"/>
      <c r="QW13" s="75"/>
      <c r="QX13" s="75"/>
      <c r="QY13" s="75"/>
      <c r="QZ13" s="75"/>
      <c r="RA13" s="75"/>
      <c r="RB13" s="75"/>
      <c r="RC13" s="75"/>
      <c r="RD13" s="75"/>
      <c r="RE13" s="75"/>
      <c r="RF13" s="75"/>
      <c r="RG13" s="75"/>
      <c r="RH13" s="75"/>
      <c r="RI13" s="75"/>
      <c r="RJ13" s="75"/>
      <c r="RK13" s="75"/>
      <c r="RL13" s="75"/>
      <c r="RM13" s="75"/>
      <c r="RN13" s="75"/>
      <c r="RO13" s="75"/>
      <c r="RP13" s="75"/>
      <c r="RQ13" s="75"/>
      <c r="RR13" s="75"/>
      <c r="RS13" s="75"/>
      <c r="RT13" s="75"/>
      <c r="RU13" s="75"/>
      <c r="RV13" s="75"/>
      <c r="RW13" s="75"/>
      <c r="RX13" s="75"/>
      <c r="RY13" s="75"/>
      <c r="RZ13" s="75"/>
      <c r="SA13" s="75"/>
      <c r="SB13" s="75"/>
      <c r="SC13" s="75"/>
      <c r="SD13" s="75"/>
      <c r="SE13" s="75"/>
      <c r="SF13" s="75"/>
      <c r="SG13" s="75"/>
      <c r="SH13" s="75"/>
      <c r="SI13" s="75"/>
      <c r="SJ13" s="75"/>
      <c r="SK13" s="75"/>
      <c r="SL13" s="75"/>
      <c r="SM13" s="75"/>
      <c r="SN13" s="75"/>
      <c r="SO13" s="75"/>
      <c r="SP13" s="75"/>
      <c r="SQ13" s="75"/>
      <c r="SR13" s="75"/>
      <c r="SS13" s="75"/>
      <c r="ST13" s="75"/>
      <c r="SU13" s="75"/>
      <c r="SV13" s="75"/>
      <c r="SW13" s="75"/>
      <c r="SX13" s="75"/>
      <c r="SY13" s="75"/>
      <c r="SZ13" s="75"/>
      <c r="TA13" s="75"/>
      <c r="TB13" s="75"/>
      <c r="TC13" s="75"/>
      <c r="TD13" s="75"/>
      <c r="TE13" s="75"/>
      <c r="TF13" s="75"/>
      <c r="TG13" s="75"/>
      <c r="TH13" s="75"/>
      <c r="TI13" s="75"/>
      <c r="TJ13" s="75"/>
      <c r="TK13" s="75"/>
      <c r="TL13" s="75"/>
      <c r="TM13" s="75"/>
      <c r="TN13" s="75"/>
      <c r="TO13" s="75"/>
      <c r="TP13" s="75"/>
      <c r="TQ13" s="75"/>
      <c r="TR13" s="75"/>
      <c r="TS13" s="75"/>
      <c r="TT13" s="75"/>
      <c r="TU13" s="75"/>
      <c r="TV13" s="75"/>
      <c r="TW13" s="75"/>
      <c r="TX13" s="75"/>
      <c r="TY13" s="75"/>
      <c r="TZ13" s="75"/>
      <c r="UA13" s="75"/>
      <c r="UB13" s="75"/>
      <c r="UC13" s="75"/>
      <c r="UD13" s="75"/>
      <c r="UE13" s="75"/>
      <c r="UF13" s="75"/>
      <c r="UG13" s="75"/>
      <c r="UH13" s="75"/>
      <c r="UI13" s="75"/>
      <c r="UJ13" s="75"/>
      <c r="UK13" s="75"/>
      <c r="UL13" s="75"/>
      <c r="UM13" s="75"/>
      <c r="UN13" s="75"/>
      <c r="UO13" s="75"/>
      <c r="UP13" s="75"/>
      <c r="UQ13" s="75"/>
      <c r="UR13" s="75"/>
      <c r="US13" s="75"/>
      <c r="UT13" s="75"/>
      <c r="UU13" s="75"/>
      <c r="UV13" s="75"/>
      <c r="UW13" s="75"/>
      <c r="UX13" s="75"/>
      <c r="UY13" s="75"/>
      <c r="UZ13" s="75"/>
      <c r="VA13" s="75"/>
      <c r="VB13" s="75"/>
      <c r="VC13" s="75"/>
      <c r="VD13" s="75"/>
      <c r="VE13" s="75"/>
      <c r="VF13" s="75"/>
      <c r="VG13" s="75"/>
      <c r="VH13" s="75"/>
      <c r="VI13" s="75"/>
      <c r="VJ13" s="75"/>
      <c r="VK13" s="75"/>
      <c r="VL13" s="75"/>
      <c r="VM13" s="75"/>
      <c r="VN13" s="75"/>
      <c r="VO13" s="75"/>
      <c r="VP13" s="75"/>
      <c r="VQ13" s="75"/>
      <c r="VR13" s="75"/>
      <c r="VS13" s="75"/>
      <c r="VT13" s="75"/>
      <c r="VU13" s="75"/>
      <c r="VV13" s="75"/>
      <c r="VW13" s="75"/>
      <c r="VX13" s="75"/>
      <c r="VY13" s="75"/>
      <c r="VZ13" s="75"/>
      <c r="WA13" s="75"/>
      <c r="WB13" s="75"/>
      <c r="WC13" s="75"/>
      <c r="WD13" s="75"/>
      <c r="WE13" s="75"/>
      <c r="WF13" s="75"/>
      <c r="WG13" s="75"/>
      <c r="WH13" s="75"/>
      <c r="WI13" s="75"/>
      <c r="WJ13" s="75"/>
      <c r="WK13" s="75"/>
      <c r="WL13" s="75"/>
      <c r="WM13" s="75"/>
      <c r="WN13" s="75"/>
      <c r="WO13" s="75"/>
      <c r="WP13" s="75"/>
      <c r="WQ13" s="75"/>
      <c r="WR13" s="75"/>
      <c r="WS13" s="75"/>
      <c r="WT13" s="75"/>
      <c r="WU13" s="75"/>
      <c r="WV13" s="75"/>
      <c r="WW13" s="75"/>
      <c r="WX13" s="75"/>
      <c r="WY13" s="75"/>
      <c r="WZ13" s="75"/>
      <c r="XA13" s="75"/>
      <c r="XB13" s="75"/>
      <c r="XC13" s="75"/>
      <c r="XD13" s="75"/>
      <c r="XE13" s="75"/>
      <c r="XF13" s="75"/>
      <c r="XG13" s="75"/>
      <c r="XH13" s="75"/>
      <c r="XI13" s="75"/>
      <c r="XJ13" s="75"/>
      <c r="XK13" s="75"/>
      <c r="XL13" s="75"/>
      <c r="XM13" s="75"/>
      <c r="XN13" s="75"/>
      <c r="XO13" s="75"/>
      <c r="XP13" s="75"/>
      <c r="XQ13" s="75"/>
      <c r="XR13" s="75"/>
      <c r="XS13" s="75"/>
      <c r="XT13" s="75"/>
      <c r="XU13" s="75"/>
      <c r="XV13" s="75"/>
      <c r="XW13" s="75"/>
      <c r="XX13" s="75"/>
      <c r="XY13" s="75"/>
      <c r="XZ13" s="75"/>
      <c r="YA13" s="75"/>
      <c r="YB13" s="75"/>
      <c r="YC13" s="75"/>
      <c r="YD13" s="75"/>
      <c r="YE13" s="75"/>
      <c r="YF13" s="75"/>
      <c r="YG13" s="75"/>
      <c r="YH13" s="75"/>
      <c r="YI13" s="75"/>
      <c r="YJ13" s="75"/>
      <c r="YK13" s="75"/>
      <c r="YL13" s="75"/>
      <c r="YM13" s="75"/>
      <c r="YN13" s="75"/>
      <c r="YO13" s="75"/>
      <c r="YP13" s="75"/>
      <c r="YQ13" s="75"/>
      <c r="YR13" s="75"/>
      <c r="YS13" s="75"/>
      <c r="YT13" s="75"/>
      <c r="YU13" s="75"/>
      <c r="YV13" s="75"/>
      <c r="YW13" s="75"/>
      <c r="YX13" s="75"/>
      <c r="YY13" s="75"/>
      <c r="YZ13" s="75"/>
      <c r="ZA13" s="75"/>
      <c r="ZB13" s="75"/>
      <c r="ZC13" s="75"/>
      <c r="ZD13" s="75"/>
      <c r="ZE13" s="75"/>
      <c r="ZF13" s="75"/>
      <c r="ZG13" s="75"/>
      <c r="ZH13" s="75"/>
      <c r="ZI13" s="75"/>
      <c r="ZJ13" s="75"/>
      <c r="ZK13" s="75"/>
      <c r="ZL13" s="75"/>
      <c r="ZM13" s="75"/>
      <c r="ZN13" s="75"/>
      <c r="ZO13" s="75"/>
      <c r="ZP13" s="75"/>
      <c r="ZQ13" s="75"/>
      <c r="ZR13" s="75"/>
      <c r="ZS13" s="75"/>
      <c r="ZT13" s="75"/>
      <c r="ZU13" s="75"/>
      <c r="ZV13" s="75"/>
      <c r="ZW13" s="75"/>
      <c r="ZX13" s="75"/>
      <c r="ZY13" s="75"/>
      <c r="ZZ13" s="75"/>
      <c r="AAA13" s="75"/>
      <c r="AAB13" s="75"/>
      <c r="AAC13" s="75"/>
      <c r="AAD13" s="75"/>
      <c r="AAE13" s="75"/>
      <c r="AAF13" s="75"/>
      <c r="AAG13" s="75"/>
      <c r="AAH13" s="75"/>
      <c r="AAI13" s="75"/>
      <c r="AAJ13" s="75"/>
      <c r="AAK13" s="75"/>
      <c r="AAL13" s="75"/>
      <c r="AAM13" s="75"/>
      <c r="AAN13" s="75"/>
      <c r="AAO13" s="75"/>
      <c r="AAP13" s="75"/>
      <c r="AAQ13" s="75"/>
      <c r="AAR13" s="75"/>
      <c r="AAS13" s="75"/>
      <c r="AAT13" s="75"/>
      <c r="AAU13" s="75"/>
      <c r="AAV13" s="75"/>
      <c r="AAW13" s="75"/>
      <c r="AAX13" s="75"/>
      <c r="AAY13" s="75"/>
      <c r="AAZ13" s="75"/>
      <c r="ABA13" s="75"/>
      <c r="ABB13" s="75"/>
      <c r="ABC13" s="75"/>
    </row>
    <row r="14" spans="1:731">
      <c r="A14" s="75" t="s">
        <v>52</v>
      </c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5"/>
      <c r="BF14" s="75"/>
      <c r="BG14" s="75"/>
      <c r="BH14" s="75"/>
      <c r="BI14" s="75"/>
      <c r="BJ14" s="75"/>
      <c r="BK14" s="75"/>
      <c r="BL14" s="75"/>
      <c r="BM14" s="75"/>
      <c r="BN14" s="75"/>
      <c r="BO14" s="75"/>
      <c r="BP14" s="75"/>
      <c r="BQ14" s="75"/>
      <c r="BR14" s="75"/>
      <c r="BS14" s="75"/>
      <c r="BT14" s="75"/>
      <c r="BU14" s="75"/>
      <c r="BV14" s="75"/>
      <c r="BW14" s="75"/>
      <c r="BX14" s="75"/>
      <c r="BY14" s="75"/>
      <c r="BZ14" s="75"/>
      <c r="CA14" s="75"/>
      <c r="CB14" s="75"/>
      <c r="CC14" s="75"/>
      <c r="CD14" s="75"/>
      <c r="CE14" s="75"/>
      <c r="CF14" s="75"/>
      <c r="CG14" s="75"/>
      <c r="CH14" s="75"/>
      <c r="CI14" s="75"/>
      <c r="CJ14" s="75"/>
      <c r="CK14" s="75"/>
      <c r="CL14" s="75"/>
      <c r="CM14" s="75"/>
      <c r="CN14" s="75"/>
      <c r="CO14" s="75"/>
      <c r="CP14" s="75"/>
      <c r="CQ14" s="75"/>
      <c r="CR14" s="75"/>
      <c r="CS14" s="75"/>
      <c r="CT14" s="75"/>
      <c r="CU14" s="75"/>
      <c r="CV14" s="75"/>
      <c r="CW14" s="75"/>
      <c r="CX14" s="75"/>
      <c r="CY14" s="75"/>
      <c r="CZ14" s="75"/>
      <c r="DA14" s="75"/>
      <c r="DB14" s="75"/>
      <c r="DC14" s="75"/>
      <c r="DD14" s="75"/>
      <c r="DE14" s="75"/>
      <c r="DF14" s="75"/>
      <c r="DG14" s="75"/>
      <c r="DH14" s="75"/>
      <c r="DI14" s="75"/>
      <c r="DJ14" s="75"/>
      <c r="DK14" s="75"/>
      <c r="DL14" s="75"/>
      <c r="DM14" s="75"/>
      <c r="DN14" s="75"/>
      <c r="DO14" s="75"/>
      <c r="DP14" s="75"/>
      <c r="DQ14" s="75"/>
      <c r="DR14" s="75"/>
      <c r="DS14" s="75"/>
      <c r="DT14" s="75"/>
      <c r="DU14" s="75"/>
      <c r="DV14" s="75"/>
      <c r="DW14" s="75"/>
      <c r="DX14" s="75"/>
      <c r="DY14" s="75"/>
      <c r="DZ14" s="75"/>
      <c r="EA14" s="75"/>
      <c r="EB14" s="75"/>
      <c r="EC14" s="75"/>
      <c r="ED14" s="75"/>
      <c r="EE14" s="75"/>
      <c r="EF14" s="75"/>
      <c r="EG14" s="75"/>
      <c r="EH14" s="75"/>
      <c r="EI14" s="75"/>
      <c r="EJ14" s="75"/>
      <c r="EK14" s="75"/>
      <c r="EL14" s="75"/>
      <c r="EM14" s="75"/>
      <c r="EN14" s="75"/>
      <c r="EO14" s="75"/>
      <c r="EP14" s="75"/>
      <c r="EQ14" s="75"/>
      <c r="ER14" s="75"/>
      <c r="ES14" s="75"/>
      <c r="ET14" s="75"/>
      <c r="EU14" s="75"/>
      <c r="EV14" s="75"/>
      <c r="EW14" s="75"/>
      <c r="EX14" s="75"/>
      <c r="EY14" s="75"/>
      <c r="EZ14" s="75"/>
      <c r="FA14" s="75"/>
      <c r="FB14" s="75"/>
      <c r="FC14" s="75"/>
      <c r="FD14" s="75"/>
      <c r="FE14" s="75"/>
      <c r="FF14" s="75"/>
      <c r="FG14" s="75"/>
      <c r="FH14" s="75"/>
      <c r="FI14" s="75"/>
      <c r="FJ14" s="75"/>
      <c r="FK14" s="75"/>
      <c r="FL14" s="75"/>
      <c r="FM14" s="75"/>
      <c r="FN14" s="75"/>
      <c r="FO14" s="75"/>
      <c r="FP14" s="75"/>
      <c r="FQ14" s="75"/>
      <c r="FR14" s="75"/>
      <c r="FS14" s="75"/>
      <c r="FT14" s="75"/>
      <c r="FU14" s="75"/>
      <c r="FV14" s="75"/>
      <c r="FW14" s="75"/>
      <c r="FX14" s="75"/>
      <c r="FY14" s="75"/>
      <c r="FZ14" s="75"/>
      <c r="GA14" s="75"/>
      <c r="GB14" s="75"/>
      <c r="GC14" s="75"/>
      <c r="GD14" s="75"/>
      <c r="GE14" s="75"/>
      <c r="GF14" s="75"/>
      <c r="GG14" s="75"/>
      <c r="GH14" s="75"/>
      <c r="GI14" s="75"/>
      <c r="GJ14" s="75"/>
      <c r="GK14" s="75"/>
      <c r="GL14" s="75"/>
      <c r="GM14" s="75"/>
      <c r="GN14" s="75"/>
      <c r="GO14" s="75"/>
      <c r="GP14" s="75"/>
      <c r="GQ14" s="75"/>
      <c r="GR14" s="75"/>
      <c r="GS14" s="75"/>
      <c r="GT14" s="75"/>
      <c r="GU14" s="75"/>
      <c r="GV14" s="75"/>
      <c r="GW14" s="75"/>
      <c r="GX14" s="75"/>
      <c r="GY14" s="75"/>
      <c r="GZ14" s="75"/>
      <c r="HA14" s="75"/>
      <c r="HB14" s="75"/>
      <c r="HC14" s="75"/>
      <c r="HD14" s="75"/>
      <c r="HE14" s="75"/>
      <c r="HF14" s="75"/>
      <c r="HG14" s="75"/>
      <c r="HH14" s="75"/>
      <c r="HI14" s="75"/>
      <c r="HJ14" s="75"/>
      <c r="HK14" s="75"/>
      <c r="HL14" s="75"/>
      <c r="HM14" s="75"/>
      <c r="HN14" s="75"/>
      <c r="HO14" s="75"/>
      <c r="HP14" s="75"/>
      <c r="HQ14" s="75"/>
      <c r="HR14" s="75"/>
      <c r="HS14" s="75"/>
      <c r="HT14" s="75"/>
      <c r="HU14" s="75"/>
      <c r="HV14" s="75"/>
      <c r="HW14" s="75"/>
      <c r="HX14" s="75"/>
      <c r="HY14" s="75"/>
      <c r="HZ14" s="75"/>
      <c r="IA14" s="75"/>
      <c r="IB14" s="75"/>
      <c r="IC14" s="75"/>
      <c r="ID14" s="75"/>
      <c r="IE14" s="75"/>
      <c r="IF14" s="75"/>
      <c r="IG14" s="75"/>
      <c r="IH14" s="75"/>
      <c r="II14" s="75"/>
      <c r="IJ14" s="75"/>
      <c r="IK14" s="75"/>
      <c r="IL14" s="75"/>
      <c r="IM14" s="75"/>
      <c r="IN14" s="75"/>
      <c r="IO14" s="75"/>
      <c r="IP14" s="75"/>
      <c r="IQ14" s="75"/>
      <c r="IR14" s="75"/>
      <c r="IS14" s="75"/>
      <c r="IT14" s="75"/>
      <c r="IU14" s="75"/>
      <c r="IV14" s="75"/>
      <c r="IW14" s="75"/>
      <c r="IX14" s="75"/>
      <c r="IY14" s="75"/>
      <c r="IZ14" s="75"/>
      <c r="JA14" s="75"/>
      <c r="JB14" s="75"/>
      <c r="JC14" s="75"/>
      <c r="JD14" s="75"/>
      <c r="JE14" s="75"/>
      <c r="JF14" s="75"/>
      <c r="JG14" s="75"/>
      <c r="JH14" s="75"/>
      <c r="JI14" s="75"/>
      <c r="JJ14" s="75"/>
      <c r="JK14" s="75"/>
      <c r="JL14" s="75"/>
      <c r="JM14" s="75"/>
      <c r="JN14" s="75"/>
      <c r="JO14" s="75"/>
      <c r="JP14" s="75"/>
      <c r="JQ14" s="75"/>
      <c r="JR14" s="75"/>
      <c r="JS14" s="75"/>
      <c r="JT14" s="75"/>
      <c r="JU14" s="75"/>
      <c r="JV14" s="75"/>
      <c r="JW14" s="75"/>
      <c r="JX14" s="75"/>
      <c r="JY14" s="75"/>
      <c r="JZ14" s="75"/>
      <c r="KA14" s="75"/>
      <c r="KB14" s="75"/>
      <c r="KC14" s="75"/>
      <c r="KD14" s="75"/>
      <c r="KE14" s="75"/>
      <c r="KF14" s="75"/>
      <c r="KG14" s="75"/>
      <c r="KH14" s="75"/>
      <c r="KI14" s="75"/>
      <c r="KJ14" s="75"/>
      <c r="KK14" s="75"/>
      <c r="KL14" s="75"/>
      <c r="KM14" s="75"/>
      <c r="KN14" s="75"/>
      <c r="KO14" s="75"/>
      <c r="KP14" s="75"/>
      <c r="KQ14" s="75"/>
      <c r="KR14" s="75"/>
      <c r="KS14" s="75"/>
      <c r="KT14" s="75"/>
      <c r="KU14" s="75"/>
      <c r="KV14" s="75"/>
      <c r="KW14" s="75"/>
      <c r="KX14" s="75"/>
      <c r="KY14" s="75"/>
      <c r="KZ14" s="75"/>
      <c r="LA14" s="75"/>
      <c r="LB14" s="75"/>
      <c r="LC14" s="75"/>
      <c r="LD14" s="75"/>
      <c r="LE14" s="75"/>
      <c r="LF14" s="75"/>
      <c r="LG14" s="75"/>
      <c r="LH14" s="75"/>
      <c r="LI14" s="75"/>
      <c r="LJ14" s="75"/>
      <c r="LK14" s="75"/>
      <c r="LL14" s="75"/>
      <c r="LM14" s="75"/>
      <c r="LN14" s="75"/>
      <c r="LO14" s="75"/>
      <c r="LP14" s="75"/>
      <c r="LQ14" s="75"/>
      <c r="LR14" s="75"/>
      <c r="LS14" s="75"/>
      <c r="LT14" s="75"/>
      <c r="LU14" s="75"/>
      <c r="LV14" s="75"/>
      <c r="LW14" s="75"/>
      <c r="LX14" s="75"/>
      <c r="LY14" s="75"/>
      <c r="LZ14" s="75"/>
      <c r="MA14" s="75"/>
      <c r="MB14" s="75"/>
      <c r="MC14" s="75"/>
      <c r="MD14" s="75"/>
      <c r="ME14" s="75"/>
      <c r="MF14" s="75"/>
      <c r="MG14" s="75"/>
      <c r="MH14" s="75"/>
      <c r="MI14" s="75"/>
      <c r="MJ14" s="75"/>
      <c r="MK14" s="75"/>
      <c r="ML14" s="75"/>
      <c r="MM14" s="75"/>
      <c r="MN14" s="75"/>
      <c r="MO14" s="75"/>
      <c r="MP14" s="75"/>
      <c r="MQ14" s="75"/>
      <c r="MR14" s="75"/>
      <c r="MS14" s="75"/>
      <c r="MT14" s="75"/>
      <c r="MU14" s="75"/>
      <c r="MV14" s="75"/>
      <c r="MW14" s="75"/>
      <c r="MX14" s="75"/>
      <c r="MY14" s="75"/>
      <c r="MZ14" s="75"/>
      <c r="NA14" s="75"/>
      <c r="NB14" s="75"/>
      <c r="NC14" s="75"/>
      <c r="ND14" s="75"/>
      <c r="NE14" s="75"/>
      <c r="NF14" s="75"/>
      <c r="NG14" s="75"/>
      <c r="NH14" s="75"/>
      <c r="NI14" s="75"/>
      <c r="NJ14" s="75"/>
      <c r="NK14" s="75"/>
      <c r="NL14" s="75"/>
      <c r="NM14" s="75"/>
      <c r="NN14" s="75"/>
      <c r="NO14" s="75"/>
      <c r="NP14" s="75"/>
      <c r="NQ14" s="75"/>
      <c r="NR14" s="75"/>
      <c r="NS14" s="75"/>
      <c r="NT14" s="75"/>
      <c r="NU14" s="75"/>
      <c r="NV14" s="75"/>
      <c r="NW14" s="75"/>
      <c r="NX14" s="75"/>
      <c r="NY14" s="75"/>
      <c r="NZ14" s="75"/>
      <c r="OA14" s="75"/>
      <c r="OB14" s="75"/>
      <c r="OC14" s="75"/>
      <c r="OD14" s="75"/>
      <c r="OE14" s="75"/>
      <c r="OF14" s="75"/>
      <c r="OG14" s="75"/>
      <c r="OH14" s="75"/>
      <c r="OI14" s="75"/>
      <c r="OJ14" s="75"/>
      <c r="OK14" s="75"/>
      <c r="OL14" s="75"/>
      <c r="OM14" s="75"/>
      <c r="ON14" s="75"/>
      <c r="OO14" s="75"/>
      <c r="OP14" s="75">
        <v>4</v>
      </c>
      <c r="OQ14" s="75">
        <v>20</v>
      </c>
      <c r="OR14" s="75">
        <v>20</v>
      </c>
      <c r="OS14" s="75">
        <v>20</v>
      </c>
      <c r="OT14" s="75"/>
      <c r="OU14" s="75">
        <v>20</v>
      </c>
      <c r="OV14" s="75">
        <v>24</v>
      </c>
      <c r="OW14" s="75">
        <v>40</v>
      </c>
      <c r="OX14" s="75">
        <v>40</v>
      </c>
      <c r="OY14" s="75">
        <v>40</v>
      </c>
      <c r="OZ14" s="75">
        <v>40</v>
      </c>
      <c r="PA14" s="75"/>
      <c r="PB14" s="75">
        <v>40</v>
      </c>
      <c r="PC14" s="75">
        <v>40</v>
      </c>
      <c r="PD14" s="75">
        <v>40</v>
      </c>
      <c r="PE14" s="75">
        <v>40</v>
      </c>
      <c r="PF14" s="75">
        <v>40</v>
      </c>
      <c r="PG14" s="75">
        <v>40</v>
      </c>
      <c r="PH14" s="75"/>
      <c r="PI14" s="75">
        <v>44</v>
      </c>
      <c r="PJ14" s="75">
        <v>61</v>
      </c>
      <c r="PK14" s="75">
        <v>70</v>
      </c>
      <c r="PL14" s="75">
        <v>86</v>
      </c>
      <c r="PM14" s="75">
        <v>86</v>
      </c>
      <c r="PN14" s="75">
        <v>86</v>
      </c>
      <c r="PO14" s="75"/>
      <c r="PP14" s="75">
        <v>86</v>
      </c>
      <c r="PQ14" s="75">
        <v>86</v>
      </c>
      <c r="PR14" s="75">
        <v>87</v>
      </c>
      <c r="PS14" s="75">
        <v>92</v>
      </c>
      <c r="PT14" s="75">
        <v>92</v>
      </c>
      <c r="PU14" s="75">
        <v>87</v>
      </c>
      <c r="PV14" s="75"/>
      <c r="PW14" s="75">
        <v>66</v>
      </c>
      <c r="PX14" s="75">
        <v>66</v>
      </c>
      <c r="PY14" s="75">
        <v>66</v>
      </c>
      <c r="PZ14" s="75">
        <v>66</v>
      </c>
      <c r="QA14" s="75">
        <v>62</v>
      </c>
      <c r="QB14" s="75">
        <v>50</v>
      </c>
      <c r="QC14" s="75"/>
      <c r="QD14" s="75">
        <v>65</v>
      </c>
      <c r="QE14" s="75">
        <v>61</v>
      </c>
      <c r="QF14" s="75">
        <v>66</v>
      </c>
      <c r="QG14" s="75">
        <v>66</v>
      </c>
      <c r="QH14" s="75">
        <v>66</v>
      </c>
      <c r="QI14" s="75">
        <v>66</v>
      </c>
      <c r="QJ14" s="75"/>
      <c r="QK14" s="75">
        <v>66</v>
      </c>
      <c r="QL14" s="75">
        <v>66</v>
      </c>
      <c r="QM14" s="75">
        <v>66</v>
      </c>
      <c r="QN14" s="75">
        <v>64</v>
      </c>
      <c r="QO14" s="75">
        <v>48</v>
      </c>
      <c r="QP14" s="75">
        <v>43</v>
      </c>
      <c r="QQ14" s="75"/>
      <c r="QR14" s="75">
        <v>22</v>
      </c>
      <c r="QS14" s="75">
        <v>22</v>
      </c>
      <c r="QT14" s="75">
        <v>22</v>
      </c>
      <c r="QU14" s="75">
        <v>22</v>
      </c>
      <c r="QV14" s="75">
        <v>22</v>
      </c>
      <c r="QW14" s="75">
        <v>22</v>
      </c>
      <c r="QX14" s="75"/>
      <c r="QY14" s="75">
        <v>22</v>
      </c>
      <c r="QZ14" s="75">
        <v>22</v>
      </c>
      <c r="RA14" s="75">
        <v>22</v>
      </c>
      <c r="RB14" s="75">
        <v>26</v>
      </c>
      <c r="RC14" s="75">
        <v>42</v>
      </c>
      <c r="RD14" s="75">
        <v>46</v>
      </c>
      <c r="RE14" s="75"/>
      <c r="RF14" s="75">
        <v>60</v>
      </c>
      <c r="RG14" s="75">
        <v>60</v>
      </c>
      <c r="RH14" s="75">
        <v>56</v>
      </c>
      <c r="RI14" s="75">
        <v>40</v>
      </c>
      <c r="RJ14" s="75">
        <v>40</v>
      </c>
      <c r="RK14" s="75">
        <v>40</v>
      </c>
      <c r="RL14" s="75"/>
      <c r="RM14" s="75">
        <v>40</v>
      </c>
      <c r="RN14" s="75">
        <v>40</v>
      </c>
      <c r="RO14" s="75">
        <v>40</v>
      </c>
      <c r="RP14" s="75">
        <v>40</v>
      </c>
      <c r="RQ14" s="75">
        <v>40</v>
      </c>
      <c r="RR14" s="75">
        <v>36</v>
      </c>
      <c r="RS14" s="75"/>
      <c r="RT14" s="75">
        <v>20</v>
      </c>
      <c r="RU14" s="75">
        <v>24</v>
      </c>
      <c r="RV14" s="75">
        <v>43</v>
      </c>
      <c r="RW14" s="75">
        <v>60</v>
      </c>
      <c r="RX14" s="75">
        <v>76</v>
      </c>
      <c r="RY14" s="75">
        <v>79</v>
      </c>
      <c r="RZ14" s="75"/>
      <c r="SA14" s="75">
        <v>92</v>
      </c>
      <c r="SB14" s="75">
        <v>92</v>
      </c>
      <c r="SC14" s="75">
        <v>92</v>
      </c>
      <c r="SD14" s="75">
        <v>92</v>
      </c>
      <c r="SE14" s="75">
        <v>96</v>
      </c>
      <c r="SF14" s="75">
        <v>112</v>
      </c>
      <c r="SG14" s="75"/>
      <c r="SH14" s="75">
        <v>108</v>
      </c>
      <c r="SI14" s="75">
        <v>92</v>
      </c>
      <c r="SJ14" s="75">
        <v>92</v>
      </c>
      <c r="SK14" s="75">
        <v>92</v>
      </c>
      <c r="SL14" s="75">
        <v>96</v>
      </c>
      <c r="SM14" s="75">
        <v>109</v>
      </c>
      <c r="SN14" s="75"/>
      <c r="SO14" s="75">
        <v>99</v>
      </c>
      <c r="SP14" s="75">
        <v>112</v>
      </c>
      <c r="SQ14" s="75">
        <v>109</v>
      </c>
      <c r="SR14" s="75">
        <v>96</v>
      </c>
      <c r="SS14" s="75">
        <v>96</v>
      </c>
      <c r="ST14" s="75">
        <v>96</v>
      </c>
      <c r="SU14" s="75"/>
      <c r="SV14" s="75">
        <v>96</v>
      </c>
      <c r="SW14" s="75">
        <v>96</v>
      </c>
      <c r="SX14" s="75">
        <v>98</v>
      </c>
      <c r="SY14" s="75">
        <v>102</v>
      </c>
      <c r="SZ14" s="75">
        <v>99</v>
      </c>
      <c r="TA14" s="75">
        <v>88</v>
      </c>
      <c r="TB14" s="75"/>
      <c r="TC14" s="75">
        <v>102</v>
      </c>
      <c r="TD14" s="75">
        <v>102</v>
      </c>
      <c r="TE14" s="75">
        <v>101</v>
      </c>
      <c r="TF14" s="75">
        <v>97</v>
      </c>
      <c r="TG14" s="75">
        <v>84</v>
      </c>
      <c r="TH14" s="75">
        <v>84</v>
      </c>
      <c r="TI14" s="75"/>
      <c r="TJ14" s="75">
        <v>100</v>
      </c>
      <c r="TK14" s="75">
        <v>96</v>
      </c>
      <c r="TL14" s="75">
        <v>80</v>
      </c>
      <c r="TM14" s="75">
        <v>76</v>
      </c>
      <c r="TN14" s="75">
        <v>60</v>
      </c>
      <c r="TO14" s="75">
        <v>60</v>
      </c>
      <c r="TP14" s="75"/>
      <c r="TQ14" s="75">
        <v>60</v>
      </c>
      <c r="TR14" s="75">
        <v>56</v>
      </c>
      <c r="TS14" s="75">
        <v>52</v>
      </c>
      <c r="TT14" s="75">
        <v>62</v>
      </c>
      <c r="TU14" s="75">
        <v>46</v>
      </c>
      <c r="TV14" s="75">
        <v>46</v>
      </c>
      <c r="TW14" s="75"/>
      <c r="TX14" s="75">
        <v>42</v>
      </c>
      <c r="TY14" s="75">
        <v>42</v>
      </c>
      <c r="TZ14" s="75">
        <v>58</v>
      </c>
      <c r="UA14" s="75">
        <v>62</v>
      </c>
      <c r="UB14" s="75">
        <v>62</v>
      </c>
      <c r="UC14" s="75">
        <v>60</v>
      </c>
      <c r="UD14" s="75"/>
      <c r="UE14" s="75">
        <v>60</v>
      </c>
      <c r="UF14" s="75">
        <v>60</v>
      </c>
      <c r="UG14" s="75">
        <v>60</v>
      </c>
      <c r="UH14" s="75">
        <v>56</v>
      </c>
      <c r="UI14" s="75">
        <v>40</v>
      </c>
      <c r="UJ14" s="75">
        <v>40</v>
      </c>
      <c r="UK14" s="75"/>
      <c r="UL14" s="75">
        <v>40</v>
      </c>
      <c r="UM14" s="75">
        <v>44</v>
      </c>
      <c r="UN14" s="75">
        <v>60</v>
      </c>
      <c r="UO14" s="75">
        <v>62</v>
      </c>
      <c r="UP14" s="75">
        <v>62</v>
      </c>
      <c r="UQ14" s="75">
        <v>62</v>
      </c>
      <c r="UR14" s="75"/>
      <c r="US14" s="75">
        <v>60</v>
      </c>
      <c r="UT14" s="75">
        <v>60</v>
      </c>
      <c r="UU14" s="75">
        <v>60</v>
      </c>
      <c r="UV14" s="75">
        <v>60</v>
      </c>
      <c r="UW14" s="75">
        <v>60</v>
      </c>
      <c r="UX14" s="75">
        <v>56</v>
      </c>
      <c r="UY14" s="75"/>
      <c r="UZ14" s="75">
        <v>40</v>
      </c>
      <c r="VA14" s="75">
        <v>40</v>
      </c>
      <c r="VB14" s="75">
        <v>28</v>
      </c>
      <c r="VC14" s="75">
        <v>20</v>
      </c>
      <c r="VD14" s="75">
        <v>20</v>
      </c>
      <c r="VE14" s="75">
        <v>20</v>
      </c>
      <c r="VF14" s="75"/>
      <c r="VG14" s="75">
        <v>20</v>
      </c>
      <c r="VH14" s="75">
        <v>20</v>
      </c>
      <c r="VI14" s="75">
        <v>4</v>
      </c>
      <c r="VJ14" s="75"/>
      <c r="VK14" s="75"/>
      <c r="VL14" s="75"/>
      <c r="VM14" s="75"/>
      <c r="VN14" s="75"/>
      <c r="VO14" s="75"/>
      <c r="VP14" s="75"/>
      <c r="VQ14" s="75"/>
      <c r="VR14" s="75"/>
      <c r="VS14" s="75"/>
      <c r="VT14" s="75"/>
      <c r="VU14" s="75"/>
      <c r="VV14" s="75"/>
      <c r="VW14" s="75"/>
      <c r="VX14" s="75"/>
      <c r="VY14" s="75"/>
      <c r="VZ14" s="75"/>
      <c r="WA14" s="75"/>
      <c r="WB14" s="75"/>
      <c r="WC14" s="75"/>
      <c r="WD14" s="75"/>
      <c r="WE14" s="75"/>
      <c r="WF14" s="75"/>
      <c r="WG14" s="75"/>
      <c r="WH14" s="75"/>
      <c r="WI14" s="75"/>
      <c r="WJ14" s="75"/>
      <c r="WK14" s="75"/>
      <c r="WL14" s="75"/>
      <c r="WM14" s="75"/>
      <c r="WN14" s="75"/>
      <c r="WO14" s="75"/>
      <c r="WP14" s="75"/>
      <c r="WQ14" s="75"/>
      <c r="WR14" s="75"/>
      <c r="WS14" s="75"/>
      <c r="WT14" s="75"/>
      <c r="WU14" s="75"/>
      <c r="WV14" s="75"/>
      <c r="WW14" s="75"/>
      <c r="WX14" s="75"/>
      <c r="WY14" s="75"/>
      <c r="WZ14" s="75"/>
      <c r="XA14" s="75"/>
      <c r="XB14" s="75"/>
      <c r="XC14" s="75"/>
      <c r="XD14" s="75"/>
      <c r="XE14" s="75"/>
      <c r="XF14" s="75"/>
      <c r="XG14" s="75"/>
      <c r="XH14" s="75"/>
      <c r="XI14" s="75"/>
      <c r="XJ14" s="75"/>
      <c r="XK14" s="75"/>
      <c r="XL14" s="75"/>
      <c r="XM14" s="75"/>
      <c r="XN14" s="75"/>
      <c r="XO14" s="75"/>
      <c r="XP14" s="75"/>
      <c r="XQ14" s="75"/>
      <c r="XR14" s="75"/>
      <c r="XS14" s="75"/>
      <c r="XT14" s="75"/>
      <c r="XU14" s="75"/>
      <c r="XV14" s="75"/>
      <c r="XW14" s="75"/>
      <c r="XX14" s="75"/>
      <c r="XY14" s="75"/>
      <c r="XZ14" s="75"/>
      <c r="YA14" s="75"/>
      <c r="YB14" s="75"/>
      <c r="YC14" s="75"/>
      <c r="YD14" s="75"/>
      <c r="YE14" s="75"/>
      <c r="YF14" s="75"/>
      <c r="YG14" s="75"/>
      <c r="YH14" s="75"/>
      <c r="YI14" s="75"/>
      <c r="YJ14" s="75"/>
      <c r="YK14" s="75"/>
      <c r="YL14" s="75"/>
      <c r="YM14" s="75"/>
      <c r="YN14" s="75"/>
      <c r="YO14" s="75"/>
      <c r="YP14" s="75"/>
      <c r="YQ14" s="75"/>
      <c r="YR14" s="75"/>
      <c r="YS14" s="75"/>
      <c r="YT14" s="75"/>
      <c r="YU14" s="75"/>
      <c r="YV14" s="75"/>
      <c r="YW14" s="75"/>
      <c r="YX14" s="75"/>
      <c r="YY14" s="75"/>
      <c r="YZ14" s="75"/>
      <c r="ZA14" s="75"/>
      <c r="ZB14" s="75"/>
      <c r="ZC14" s="75"/>
      <c r="ZD14" s="75"/>
      <c r="ZE14" s="75"/>
      <c r="ZF14" s="75"/>
      <c r="ZG14" s="75"/>
      <c r="ZH14" s="75"/>
      <c r="ZI14" s="75"/>
      <c r="ZJ14" s="75"/>
      <c r="ZK14" s="75"/>
      <c r="ZL14" s="75"/>
      <c r="ZM14" s="75"/>
      <c r="ZN14" s="75"/>
      <c r="ZO14" s="75"/>
      <c r="ZP14" s="75"/>
      <c r="ZQ14" s="75"/>
      <c r="ZR14" s="75"/>
      <c r="ZS14" s="75"/>
      <c r="ZT14" s="75"/>
      <c r="ZU14" s="75"/>
      <c r="ZV14" s="75"/>
      <c r="ZW14" s="75"/>
      <c r="ZX14" s="75"/>
      <c r="ZY14" s="75"/>
      <c r="ZZ14" s="75"/>
      <c r="AAA14" s="75"/>
      <c r="AAB14" s="75"/>
      <c r="AAC14" s="75"/>
      <c r="AAD14" s="75"/>
      <c r="AAE14" s="75"/>
      <c r="AAF14" s="75"/>
      <c r="AAG14" s="75"/>
      <c r="AAH14" s="75"/>
      <c r="AAI14" s="75"/>
      <c r="AAJ14" s="75"/>
      <c r="AAK14" s="75"/>
      <c r="AAL14" s="75"/>
      <c r="AAM14" s="75"/>
      <c r="AAN14" s="75"/>
      <c r="AAO14" s="75"/>
      <c r="AAP14" s="75"/>
      <c r="AAQ14" s="75"/>
      <c r="AAR14" s="75"/>
      <c r="AAS14" s="75"/>
      <c r="AAT14" s="75"/>
      <c r="AAU14" s="75"/>
      <c r="AAV14" s="75"/>
      <c r="AAW14" s="75"/>
      <c r="AAX14" s="75"/>
      <c r="AAY14" s="75"/>
      <c r="AAZ14" s="75"/>
      <c r="ABA14" s="75"/>
      <c r="ABB14" s="75"/>
      <c r="ABC14" s="75"/>
    </row>
    <row r="15" spans="1:731">
      <c r="A15" s="75" t="s">
        <v>53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5"/>
      <c r="BF15" s="75"/>
      <c r="BG15" s="75"/>
      <c r="BH15" s="75"/>
      <c r="BI15" s="75"/>
      <c r="BJ15" s="75"/>
      <c r="BK15" s="75"/>
      <c r="BL15" s="75"/>
      <c r="BM15" s="75"/>
      <c r="BN15" s="75"/>
      <c r="BO15" s="75"/>
      <c r="BP15" s="75"/>
      <c r="BQ15" s="75"/>
      <c r="BR15" s="75"/>
      <c r="BS15" s="75"/>
      <c r="BT15" s="75"/>
      <c r="BU15" s="75"/>
      <c r="BV15" s="75"/>
      <c r="BW15" s="75"/>
      <c r="BX15" s="75"/>
      <c r="BY15" s="75"/>
      <c r="BZ15" s="75"/>
      <c r="CA15" s="75"/>
      <c r="CB15" s="75"/>
      <c r="CC15" s="75"/>
      <c r="CD15" s="75"/>
      <c r="CE15" s="75"/>
      <c r="CF15" s="75"/>
      <c r="CG15" s="75"/>
      <c r="CH15" s="75"/>
      <c r="CI15" s="75"/>
      <c r="CJ15" s="75"/>
      <c r="CK15" s="75"/>
      <c r="CL15" s="75"/>
      <c r="CM15" s="75"/>
      <c r="CN15" s="75"/>
      <c r="CO15" s="75"/>
      <c r="CP15" s="75"/>
      <c r="CQ15" s="75"/>
      <c r="CR15" s="75"/>
      <c r="CS15" s="75"/>
      <c r="CT15" s="75"/>
      <c r="CU15" s="75"/>
      <c r="CV15" s="75"/>
      <c r="CW15" s="75"/>
      <c r="CX15" s="75"/>
      <c r="CY15" s="75"/>
      <c r="CZ15" s="75"/>
      <c r="DA15" s="75"/>
      <c r="DB15" s="75"/>
      <c r="DC15" s="75"/>
      <c r="DD15" s="75"/>
      <c r="DE15" s="75"/>
      <c r="DF15" s="75"/>
      <c r="DG15" s="75"/>
      <c r="DH15" s="75"/>
      <c r="DI15" s="75"/>
      <c r="DJ15" s="75"/>
      <c r="DK15" s="75"/>
      <c r="DL15" s="75"/>
      <c r="DM15" s="75"/>
      <c r="DN15" s="75"/>
      <c r="DO15" s="75"/>
      <c r="DP15" s="75"/>
      <c r="DQ15" s="75"/>
      <c r="DR15" s="75"/>
      <c r="DS15" s="75"/>
      <c r="DT15" s="75"/>
      <c r="DU15" s="75"/>
      <c r="DV15" s="75"/>
      <c r="DW15" s="75"/>
      <c r="DX15" s="75"/>
      <c r="DY15" s="75"/>
      <c r="DZ15" s="75"/>
      <c r="EA15" s="75"/>
      <c r="EB15" s="75"/>
      <c r="EC15" s="75"/>
      <c r="ED15" s="75"/>
      <c r="EE15" s="75"/>
      <c r="EF15" s="75"/>
      <c r="EG15" s="75"/>
      <c r="EH15" s="75"/>
      <c r="EI15" s="75"/>
      <c r="EJ15" s="75"/>
      <c r="EK15" s="75"/>
      <c r="EL15" s="75"/>
      <c r="EM15" s="75"/>
      <c r="EN15" s="75"/>
      <c r="EO15" s="75"/>
      <c r="EP15" s="75"/>
      <c r="EQ15" s="75"/>
      <c r="ER15" s="75"/>
      <c r="ES15" s="75"/>
      <c r="ET15" s="75"/>
      <c r="EU15" s="75"/>
      <c r="EV15" s="75"/>
      <c r="EW15" s="75"/>
      <c r="EX15" s="75"/>
      <c r="EY15" s="75"/>
      <c r="EZ15" s="75"/>
      <c r="FA15" s="75"/>
      <c r="FB15" s="75"/>
      <c r="FC15" s="75"/>
      <c r="FD15" s="75"/>
      <c r="FE15" s="75"/>
      <c r="FF15" s="75"/>
      <c r="FG15" s="75"/>
      <c r="FH15" s="75"/>
      <c r="FI15" s="75"/>
      <c r="FJ15" s="75"/>
      <c r="FK15" s="75"/>
      <c r="FL15" s="75"/>
      <c r="FM15" s="75"/>
      <c r="FN15" s="75"/>
      <c r="FO15" s="75"/>
      <c r="FP15" s="75"/>
      <c r="FQ15" s="75"/>
      <c r="FR15" s="75"/>
      <c r="FS15" s="75"/>
      <c r="FT15" s="75"/>
      <c r="FU15" s="75"/>
      <c r="FV15" s="75"/>
      <c r="FW15" s="75"/>
      <c r="FX15" s="75"/>
      <c r="FY15" s="75"/>
      <c r="FZ15" s="75"/>
      <c r="GA15" s="75"/>
      <c r="GB15" s="75"/>
      <c r="GC15" s="75"/>
      <c r="GD15" s="75"/>
      <c r="GE15" s="75"/>
      <c r="GF15" s="75"/>
      <c r="GG15" s="75"/>
      <c r="GH15" s="75"/>
      <c r="GI15" s="75"/>
      <c r="GJ15" s="75"/>
      <c r="GK15" s="75"/>
      <c r="GL15" s="75"/>
      <c r="GM15" s="75"/>
      <c r="GN15" s="75"/>
      <c r="GO15" s="75"/>
      <c r="GP15" s="75"/>
      <c r="GQ15" s="75"/>
      <c r="GR15" s="75"/>
      <c r="GS15" s="75"/>
      <c r="GT15" s="75"/>
      <c r="GU15" s="75"/>
      <c r="GV15" s="75"/>
      <c r="GW15" s="75"/>
      <c r="GX15" s="75"/>
      <c r="GY15" s="75"/>
      <c r="GZ15" s="75"/>
      <c r="HA15" s="75"/>
      <c r="HB15" s="75"/>
      <c r="HC15" s="75"/>
      <c r="HD15" s="75"/>
      <c r="HE15" s="75"/>
      <c r="HF15" s="75"/>
      <c r="HG15" s="75"/>
      <c r="HH15" s="75"/>
      <c r="HI15" s="75"/>
      <c r="HJ15" s="75"/>
      <c r="HK15" s="75"/>
      <c r="HL15" s="75"/>
      <c r="HM15" s="75"/>
      <c r="HN15" s="75"/>
      <c r="HO15" s="75"/>
      <c r="HP15" s="75"/>
      <c r="HQ15" s="75"/>
      <c r="HR15" s="75"/>
      <c r="HS15" s="75"/>
      <c r="HT15" s="75"/>
      <c r="HU15" s="75"/>
      <c r="HV15" s="75"/>
      <c r="HW15" s="75"/>
      <c r="HX15" s="75"/>
      <c r="HY15" s="75"/>
      <c r="HZ15" s="75"/>
      <c r="IA15" s="75"/>
      <c r="IB15" s="75"/>
      <c r="IC15" s="75"/>
      <c r="ID15" s="75"/>
      <c r="IE15" s="75"/>
      <c r="IF15" s="75"/>
      <c r="IG15" s="75"/>
      <c r="IH15" s="75"/>
      <c r="II15" s="75"/>
      <c r="IJ15" s="75"/>
      <c r="IK15" s="75"/>
      <c r="IL15" s="75"/>
      <c r="IM15" s="75"/>
      <c r="IN15" s="75"/>
      <c r="IO15" s="75"/>
      <c r="IP15" s="75"/>
      <c r="IQ15" s="75"/>
      <c r="IR15" s="75"/>
      <c r="IS15" s="75"/>
      <c r="IT15" s="75"/>
      <c r="IU15" s="75"/>
      <c r="IV15" s="75"/>
      <c r="IW15" s="75"/>
      <c r="IX15" s="75"/>
      <c r="IY15" s="75"/>
      <c r="IZ15" s="75"/>
      <c r="JA15" s="75"/>
      <c r="JB15" s="75"/>
      <c r="JC15" s="75"/>
      <c r="JD15" s="75"/>
      <c r="JE15" s="75"/>
      <c r="JF15" s="75"/>
      <c r="JG15" s="75"/>
      <c r="JH15" s="75"/>
      <c r="JI15" s="75"/>
      <c r="JJ15" s="75"/>
      <c r="JK15" s="75"/>
      <c r="JL15" s="75"/>
      <c r="JM15" s="75"/>
      <c r="JN15" s="75"/>
      <c r="JO15" s="75"/>
      <c r="JP15" s="75"/>
      <c r="JQ15" s="75"/>
      <c r="JR15" s="75"/>
      <c r="JS15" s="75"/>
      <c r="JT15" s="75"/>
      <c r="JU15" s="75"/>
      <c r="JV15" s="75"/>
      <c r="JW15" s="75"/>
      <c r="JX15" s="75"/>
      <c r="JY15" s="75"/>
      <c r="JZ15" s="75"/>
      <c r="KA15" s="75"/>
      <c r="KB15" s="75"/>
      <c r="KC15" s="75"/>
      <c r="KD15" s="75"/>
      <c r="KE15" s="75"/>
      <c r="KF15" s="75"/>
      <c r="KG15" s="75"/>
      <c r="KH15" s="75"/>
      <c r="KI15" s="75"/>
      <c r="KJ15" s="75"/>
      <c r="KK15" s="75"/>
      <c r="KL15" s="75"/>
      <c r="KM15" s="75"/>
      <c r="KN15" s="75"/>
      <c r="KO15" s="75"/>
      <c r="KP15" s="75"/>
      <c r="KQ15" s="75"/>
      <c r="KR15" s="75"/>
      <c r="KS15" s="75"/>
      <c r="KT15" s="75"/>
      <c r="KU15" s="75"/>
      <c r="KV15" s="75"/>
      <c r="KW15" s="75"/>
      <c r="KX15" s="75"/>
      <c r="KY15" s="75"/>
      <c r="KZ15" s="75"/>
      <c r="LA15" s="75"/>
      <c r="LB15" s="75"/>
      <c r="LC15" s="75"/>
      <c r="LD15" s="75"/>
      <c r="LE15" s="75"/>
      <c r="LF15" s="75"/>
      <c r="LG15" s="75"/>
      <c r="LH15" s="75"/>
      <c r="LI15" s="75"/>
      <c r="LJ15" s="75"/>
      <c r="LK15" s="75"/>
      <c r="LL15" s="75"/>
      <c r="LM15" s="75"/>
      <c r="LN15" s="75"/>
      <c r="LO15" s="75"/>
      <c r="LP15" s="75"/>
      <c r="LQ15" s="75"/>
      <c r="LR15" s="75"/>
      <c r="LS15" s="75"/>
      <c r="LT15" s="75"/>
      <c r="LU15" s="75"/>
      <c r="LV15" s="75"/>
      <c r="LW15" s="75"/>
      <c r="LX15" s="75"/>
      <c r="LY15" s="75"/>
      <c r="LZ15" s="75"/>
      <c r="MA15" s="75"/>
      <c r="MB15" s="75"/>
      <c r="MC15" s="75"/>
      <c r="MD15" s="75"/>
      <c r="ME15" s="75"/>
      <c r="MF15" s="75"/>
      <c r="MG15" s="75"/>
      <c r="MH15" s="75"/>
      <c r="MI15" s="75"/>
      <c r="MJ15" s="75"/>
      <c r="MK15" s="75"/>
      <c r="ML15" s="75"/>
      <c r="MM15" s="75"/>
      <c r="MN15" s="75"/>
      <c r="MO15" s="75"/>
      <c r="MP15" s="75"/>
      <c r="MQ15" s="75"/>
      <c r="MR15" s="75"/>
      <c r="MS15" s="75"/>
      <c r="MT15" s="75"/>
      <c r="MU15" s="75"/>
      <c r="MV15" s="75"/>
      <c r="MW15" s="75"/>
      <c r="MX15" s="75"/>
      <c r="MY15" s="75"/>
      <c r="MZ15" s="75"/>
      <c r="NA15" s="75"/>
      <c r="NB15" s="75"/>
      <c r="NC15" s="75"/>
      <c r="ND15" s="75"/>
      <c r="NE15" s="75">
        <v>3</v>
      </c>
      <c r="NF15" s="75">
        <v>16</v>
      </c>
      <c r="NG15" s="75">
        <v>16</v>
      </c>
      <c r="NH15" s="75">
        <v>16</v>
      </c>
      <c r="NI15" s="75">
        <v>16</v>
      </c>
      <c r="NJ15" s="75">
        <v>16</v>
      </c>
      <c r="NK15" s="75"/>
      <c r="NL15" s="75">
        <v>16</v>
      </c>
      <c r="NM15" s="75">
        <v>16</v>
      </c>
      <c r="NN15" s="75">
        <v>19</v>
      </c>
      <c r="NO15" s="75">
        <v>32</v>
      </c>
      <c r="NP15" s="75">
        <v>30</v>
      </c>
      <c r="NQ15" s="75">
        <v>24</v>
      </c>
      <c r="NR15" s="75"/>
      <c r="NS15" s="75">
        <v>24</v>
      </c>
      <c r="NT15" s="75">
        <v>24</v>
      </c>
      <c r="NU15" s="75">
        <v>24</v>
      </c>
      <c r="NV15" s="75">
        <v>24</v>
      </c>
      <c r="NW15" s="75">
        <v>24</v>
      </c>
      <c r="NX15" s="75">
        <v>24</v>
      </c>
      <c r="NY15" s="75"/>
      <c r="NZ15" s="75">
        <v>22</v>
      </c>
      <c r="OA15" s="75">
        <v>16</v>
      </c>
      <c r="OB15" s="75">
        <v>14</v>
      </c>
      <c r="OC15" s="75">
        <v>11</v>
      </c>
      <c r="OD15" s="75">
        <v>27</v>
      </c>
      <c r="OE15" s="75">
        <v>40</v>
      </c>
      <c r="OF15" s="75"/>
      <c r="OG15" s="75">
        <v>40</v>
      </c>
      <c r="OH15" s="75">
        <v>40</v>
      </c>
      <c r="OI15" s="75">
        <v>40</v>
      </c>
      <c r="OJ15" s="75">
        <v>40</v>
      </c>
      <c r="OK15" s="75">
        <v>38</v>
      </c>
      <c r="OL15" s="75">
        <v>32</v>
      </c>
      <c r="OM15" s="75"/>
      <c r="ON15" s="75">
        <v>36</v>
      </c>
      <c r="OO15" s="75">
        <v>52</v>
      </c>
      <c r="OP15" s="75">
        <v>50</v>
      </c>
      <c r="OQ15" s="75">
        <v>44</v>
      </c>
      <c r="OR15" s="75">
        <v>48</v>
      </c>
      <c r="OS15" s="75">
        <v>64</v>
      </c>
      <c r="OT15" s="75"/>
      <c r="OU15" s="75">
        <v>64</v>
      </c>
      <c r="OV15" s="75">
        <v>64</v>
      </c>
      <c r="OW15" s="75">
        <v>67</v>
      </c>
      <c r="OX15" s="75">
        <v>80</v>
      </c>
      <c r="OY15" s="75">
        <v>80</v>
      </c>
      <c r="OZ15" s="75">
        <v>77</v>
      </c>
      <c r="PA15" s="75"/>
      <c r="PB15" s="75">
        <v>58</v>
      </c>
      <c r="PC15" s="75">
        <v>36</v>
      </c>
      <c r="PD15" s="75">
        <v>36</v>
      </c>
      <c r="PE15" s="75">
        <v>36</v>
      </c>
      <c r="PF15" s="75">
        <v>32</v>
      </c>
      <c r="PG15" s="75">
        <v>19</v>
      </c>
      <c r="PH15" s="75"/>
      <c r="PI15" s="75">
        <v>36</v>
      </c>
      <c r="PJ15" s="75">
        <v>56</v>
      </c>
      <c r="PK15" s="75">
        <v>72</v>
      </c>
      <c r="PL15" s="75">
        <v>72</v>
      </c>
      <c r="PM15" s="75">
        <v>72</v>
      </c>
      <c r="PN15" s="75">
        <v>72</v>
      </c>
      <c r="PO15" s="75"/>
      <c r="PP15" s="75">
        <v>72</v>
      </c>
      <c r="PQ15" s="75">
        <v>74</v>
      </c>
      <c r="PR15" s="75">
        <v>80</v>
      </c>
      <c r="PS15" s="75">
        <v>80</v>
      </c>
      <c r="PT15" s="75">
        <v>77</v>
      </c>
      <c r="PU15" s="75">
        <v>60</v>
      </c>
      <c r="PV15" s="75"/>
      <c r="PW15" s="75">
        <v>40</v>
      </c>
      <c r="PX15" s="75">
        <v>24</v>
      </c>
      <c r="PY15" s="75">
        <v>24</v>
      </c>
      <c r="PZ15" s="75">
        <v>24</v>
      </c>
      <c r="QA15" s="75">
        <v>24</v>
      </c>
      <c r="QB15" s="75">
        <v>24</v>
      </c>
      <c r="QC15" s="75"/>
      <c r="QD15" s="75">
        <v>28</v>
      </c>
      <c r="QE15" s="75">
        <v>41</v>
      </c>
      <c r="QF15" s="75">
        <v>28</v>
      </c>
      <c r="QG15" s="75">
        <v>28</v>
      </c>
      <c r="QH15" s="75">
        <v>28</v>
      </c>
      <c r="QI15" s="75">
        <v>30</v>
      </c>
      <c r="QJ15" s="75"/>
      <c r="QK15" s="75">
        <v>36</v>
      </c>
      <c r="QL15" s="75">
        <v>38</v>
      </c>
      <c r="QM15" s="75">
        <v>44</v>
      </c>
      <c r="QN15" s="75">
        <v>48</v>
      </c>
      <c r="QO15" s="75">
        <v>60</v>
      </c>
      <c r="QP15" s="75">
        <v>44</v>
      </c>
      <c r="QQ15" s="75"/>
      <c r="QR15" s="75">
        <v>46</v>
      </c>
      <c r="QS15" s="75">
        <v>52</v>
      </c>
      <c r="QT15" s="75">
        <v>52</v>
      </c>
      <c r="QU15" s="75">
        <v>52</v>
      </c>
      <c r="QV15" s="75">
        <v>52</v>
      </c>
      <c r="QW15" s="75">
        <v>52</v>
      </c>
      <c r="QX15" s="75"/>
      <c r="QY15" s="75">
        <v>60</v>
      </c>
      <c r="QZ15" s="75">
        <v>64</v>
      </c>
      <c r="RA15" s="75">
        <v>42</v>
      </c>
      <c r="RB15" s="75">
        <v>42</v>
      </c>
      <c r="RC15" s="75">
        <v>42</v>
      </c>
      <c r="RD15" s="75">
        <v>42</v>
      </c>
      <c r="RE15" s="75"/>
      <c r="RF15" s="75">
        <v>50</v>
      </c>
      <c r="RG15" s="75">
        <v>52</v>
      </c>
      <c r="RH15" s="75">
        <v>52</v>
      </c>
      <c r="RI15" s="75">
        <v>52</v>
      </c>
      <c r="RJ15" s="75">
        <v>52</v>
      </c>
      <c r="RK15" s="75">
        <v>52</v>
      </c>
      <c r="RL15" s="75"/>
      <c r="RM15" s="75">
        <v>52</v>
      </c>
      <c r="RN15" s="75">
        <v>54</v>
      </c>
      <c r="RO15" s="75">
        <v>62</v>
      </c>
      <c r="RP15" s="75">
        <v>68</v>
      </c>
      <c r="RQ15" s="75">
        <v>68</v>
      </c>
      <c r="RR15" s="75">
        <v>66</v>
      </c>
      <c r="RS15" s="75"/>
      <c r="RT15" s="75">
        <v>60</v>
      </c>
      <c r="RU15" s="75">
        <v>58</v>
      </c>
      <c r="RV15" s="75">
        <v>52</v>
      </c>
      <c r="RW15" s="75">
        <v>52</v>
      </c>
      <c r="RX15" s="75">
        <v>52</v>
      </c>
      <c r="RY15" s="75">
        <v>52</v>
      </c>
      <c r="RZ15" s="75"/>
      <c r="SA15" s="75">
        <v>50</v>
      </c>
      <c r="SB15" s="75">
        <v>44</v>
      </c>
      <c r="SC15" s="75">
        <v>44</v>
      </c>
      <c r="SD15" s="75">
        <v>44</v>
      </c>
      <c r="SE15" s="75">
        <v>42</v>
      </c>
      <c r="SF15" s="75">
        <v>38</v>
      </c>
      <c r="SG15" s="75"/>
      <c r="SH15" s="75">
        <v>36</v>
      </c>
      <c r="SI15" s="75">
        <v>28</v>
      </c>
      <c r="SJ15" s="75">
        <v>34</v>
      </c>
      <c r="SK15" s="75">
        <v>34</v>
      </c>
      <c r="SL15" s="75">
        <v>34</v>
      </c>
      <c r="SM15" s="75">
        <v>34</v>
      </c>
      <c r="SN15" s="75"/>
      <c r="SO15" s="75">
        <v>26</v>
      </c>
      <c r="SP15" s="75">
        <v>24</v>
      </c>
      <c r="SQ15" s="75">
        <v>24</v>
      </c>
      <c r="SR15" s="75">
        <v>28</v>
      </c>
      <c r="SS15" s="75">
        <v>50</v>
      </c>
      <c r="ST15" s="75">
        <v>54</v>
      </c>
      <c r="SU15" s="75"/>
      <c r="SV15" s="75">
        <v>54</v>
      </c>
      <c r="SW15" s="75">
        <v>54</v>
      </c>
      <c r="SX15" s="75">
        <v>51</v>
      </c>
      <c r="SY15" s="75">
        <v>49</v>
      </c>
      <c r="SZ15" s="75">
        <v>76</v>
      </c>
      <c r="TA15" s="75">
        <v>78</v>
      </c>
      <c r="TB15" s="75"/>
      <c r="TC15" s="75">
        <v>82</v>
      </c>
      <c r="TD15" s="75">
        <v>82</v>
      </c>
      <c r="TE15" s="75">
        <v>82</v>
      </c>
      <c r="TF15" s="75">
        <v>90</v>
      </c>
      <c r="TG15" s="75">
        <v>94</v>
      </c>
      <c r="TH15" s="75">
        <v>100</v>
      </c>
      <c r="TI15" s="75"/>
      <c r="TJ15" s="75">
        <v>100</v>
      </c>
      <c r="TK15" s="75">
        <v>78</v>
      </c>
      <c r="TL15" s="75">
        <v>74</v>
      </c>
      <c r="TM15" s="75">
        <v>74</v>
      </c>
      <c r="TN15" s="75">
        <v>74</v>
      </c>
      <c r="TO15" s="75">
        <v>78</v>
      </c>
      <c r="TP15" s="75"/>
      <c r="TQ15" s="75">
        <v>83</v>
      </c>
      <c r="TR15" s="75">
        <v>54</v>
      </c>
      <c r="TS15" s="75">
        <v>46</v>
      </c>
      <c r="TT15" s="75">
        <v>42</v>
      </c>
      <c r="TU15" s="75">
        <v>42</v>
      </c>
      <c r="TV15" s="75">
        <v>42</v>
      </c>
      <c r="TW15" s="75"/>
      <c r="TX15" s="75">
        <v>34</v>
      </c>
      <c r="TY15" s="75">
        <v>30</v>
      </c>
      <c r="TZ15" s="75">
        <v>24</v>
      </c>
      <c r="UA15" s="75">
        <v>20</v>
      </c>
      <c r="UB15" s="75">
        <v>20</v>
      </c>
      <c r="UC15" s="75">
        <v>20</v>
      </c>
      <c r="UD15" s="75"/>
      <c r="UE15" s="75">
        <v>20</v>
      </c>
      <c r="UF15" s="75">
        <v>20</v>
      </c>
      <c r="UG15" s="75">
        <v>16</v>
      </c>
      <c r="UH15" s="75"/>
      <c r="UI15" s="75"/>
      <c r="UJ15" s="75"/>
      <c r="UK15" s="75"/>
      <c r="UL15" s="75"/>
      <c r="UM15" s="75">
        <v>6</v>
      </c>
      <c r="UN15" s="75">
        <v>10</v>
      </c>
      <c r="UO15" s="75">
        <v>16</v>
      </c>
      <c r="UP15" s="75">
        <v>20</v>
      </c>
      <c r="UQ15" s="75">
        <v>20</v>
      </c>
      <c r="UR15" s="75"/>
      <c r="US15" s="75">
        <v>21</v>
      </c>
      <c r="UT15" s="75">
        <v>22</v>
      </c>
      <c r="UU15" s="75">
        <v>23</v>
      </c>
      <c r="UV15" s="75">
        <v>24</v>
      </c>
      <c r="UW15" s="75">
        <v>24</v>
      </c>
      <c r="UX15" s="75">
        <v>24</v>
      </c>
      <c r="UY15" s="75"/>
      <c r="UZ15" s="75">
        <v>24</v>
      </c>
      <c r="VA15" s="75">
        <v>24</v>
      </c>
      <c r="VB15" s="75">
        <v>24</v>
      </c>
      <c r="VC15" s="75">
        <v>24</v>
      </c>
      <c r="VD15" s="75">
        <v>18</v>
      </c>
      <c r="VE15" s="75">
        <v>14</v>
      </c>
      <c r="VF15" s="75"/>
      <c r="VG15" s="75">
        <v>8</v>
      </c>
      <c r="VH15" s="75">
        <v>4</v>
      </c>
      <c r="VI15" s="75">
        <v>4</v>
      </c>
      <c r="VJ15" s="75">
        <v>3</v>
      </c>
      <c r="VK15" s="75">
        <v>2</v>
      </c>
      <c r="VL15" s="75">
        <v>1</v>
      </c>
      <c r="VM15" s="75"/>
      <c r="VN15" s="75"/>
      <c r="VO15" s="75"/>
      <c r="VP15" s="75"/>
      <c r="VQ15" s="75"/>
      <c r="VR15" s="75"/>
      <c r="VS15" s="75"/>
      <c r="VT15" s="75"/>
      <c r="VU15" s="75"/>
      <c r="VV15" s="75"/>
      <c r="VW15" s="75"/>
      <c r="VX15" s="75"/>
      <c r="VY15" s="75"/>
      <c r="VZ15" s="75"/>
      <c r="WA15" s="75"/>
      <c r="WB15" s="75"/>
      <c r="WC15" s="75"/>
      <c r="WD15" s="75"/>
      <c r="WE15" s="75"/>
      <c r="WF15" s="75"/>
      <c r="WG15" s="75"/>
      <c r="WH15" s="75"/>
      <c r="WI15" s="75"/>
      <c r="WJ15" s="75"/>
      <c r="WK15" s="75"/>
      <c r="WL15" s="75"/>
      <c r="WM15" s="75"/>
      <c r="WN15" s="75"/>
      <c r="WO15" s="75"/>
      <c r="WP15" s="75"/>
      <c r="WQ15" s="75"/>
      <c r="WR15" s="75"/>
      <c r="WS15" s="75"/>
      <c r="WT15" s="75"/>
      <c r="WU15" s="75"/>
      <c r="WV15" s="75"/>
      <c r="WW15" s="75"/>
      <c r="WX15" s="75"/>
      <c r="WY15" s="75"/>
      <c r="WZ15" s="75"/>
      <c r="XA15" s="75"/>
      <c r="XB15" s="75"/>
      <c r="XC15" s="75"/>
      <c r="XD15" s="75"/>
      <c r="XE15" s="75"/>
      <c r="XF15" s="75"/>
      <c r="XG15" s="75"/>
      <c r="XH15" s="75"/>
      <c r="XI15" s="75"/>
      <c r="XJ15" s="75"/>
      <c r="XK15" s="75"/>
      <c r="XL15" s="75"/>
      <c r="XM15" s="75"/>
      <c r="XN15" s="75"/>
      <c r="XO15" s="75"/>
      <c r="XP15" s="75"/>
      <c r="XQ15" s="75"/>
      <c r="XR15" s="75"/>
      <c r="XS15" s="75"/>
      <c r="XT15" s="75"/>
      <c r="XU15" s="75"/>
      <c r="XV15" s="75"/>
      <c r="XW15" s="75"/>
      <c r="XX15" s="75"/>
      <c r="XY15" s="75"/>
      <c r="XZ15" s="75"/>
      <c r="YA15" s="75"/>
      <c r="YB15" s="75"/>
      <c r="YC15" s="75"/>
      <c r="YD15" s="75"/>
      <c r="YE15" s="75"/>
      <c r="YF15" s="75"/>
      <c r="YG15" s="75"/>
      <c r="YH15" s="75"/>
      <c r="YI15" s="75"/>
      <c r="YJ15" s="75"/>
      <c r="YK15" s="75"/>
      <c r="YL15" s="75"/>
      <c r="YM15" s="75"/>
      <c r="YN15" s="75"/>
      <c r="YO15" s="75"/>
      <c r="YP15" s="75"/>
      <c r="YQ15" s="75"/>
      <c r="YR15" s="75"/>
      <c r="YS15" s="75"/>
      <c r="YT15" s="75"/>
      <c r="YU15" s="75"/>
      <c r="YV15" s="75"/>
      <c r="YW15" s="75"/>
      <c r="YX15" s="75"/>
      <c r="YY15" s="75"/>
      <c r="YZ15" s="75"/>
      <c r="ZA15" s="75"/>
      <c r="ZB15" s="75"/>
      <c r="ZC15" s="75"/>
      <c r="ZD15" s="75"/>
      <c r="ZE15" s="75"/>
      <c r="ZF15" s="75"/>
      <c r="ZG15" s="75"/>
      <c r="ZH15" s="75"/>
      <c r="ZI15" s="75"/>
      <c r="ZJ15" s="75"/>
      <c r="ZK15" s="75"/>
      <c r="ZL15" s="75"/>
      <c r="ZM15" s="75"/>
      <c r="ZN15" s="75"/>
      <c r="ZO15" s="75"/>
      <c r="ZP15" s="75"/>
      <c r="ZQ15" s="75"/>
      <c r="ZR15" s="75"/>
      <c r="ZS15" s="75"/>
      <c r="ZT15" s="75"/>
      <c r="ZU15" s="75"/>
      <c r="ZV15" s="75"/>
      <c r="ZW15" s="75"/>
      <c r="ZX15" s="75"/>
      <c r="ZY15" s="75"/>
      <c r="ZZ15" s="75"/>
      <c r="AAA15" s="75"/>
      <c r="AAB15" s="75"/>
      <c r="AAC15" s="75"/>
      <c r="AAD15" s="75"/>
      <c r="AAE15" s="75"/>
      <c r="AAF15" s="75"/>
      <c r="AAG15" s="75"/>
      <c r="AAH15" s="75"/>
      <c r="AAI15" s="75"/>
      <c r="AAJ15" s="75"/>
      <c r="AAK15" s="75"/>
      <c r="AAL15" s="75"/>
      <c r="AAM15" s="75"/>
      <c r="AAN15" s="75"/>
      <c r="AAO15" s="75"/>
      <c r="AAP15" s="75"/>
      <c r="AAQ15" s="75"/>
      <c r="AAR15" s="75"/>
      <c r="AAS15" s="75"/>
      <c r="AAT15" s="75"/>
      <c r="AAU15" s="75"/>
      <c r="AAV15" s="75"/>
      <c r="AAW15" s="75"/>
      <c r="AAX15" s="75"/>
      <c r="AAY15" s="75"/>
      <c r="AAZ15" s="75"/>
      <c r="ABA15" s="75"/>
      <c r="ABB15" s="75"/>
      <c r="ABC15" s="75"/>
    </row>
    <row r="16" spans="1:731">
      <c r="A16" s="75" t="s">
        <v>54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5"/>
      <c r="BF16" s="75"/>
      <c r="BG16" s="75"/>
      <c r="BH16" s="75"/>
      <c r="BI16" s="75"/>
      <c r="BJ16" s="75"/>
      <c r="BK16" s="75"/>
      <c r="BL16" s="75"/>
      <c r="BM16" s="75"/>
      <c r="BN16" s="75"/>
      <c r="BO16" s="75"/>
      <c r="BP16" s="75"/>
      <c r="BQ16" s="75"/>
      <c r="BR16" s="75"/>
      <c r="BS16" s="75"/>
      <c r="BT16" s="75"/>
      <c r="BU16" s="75"/>
      <c r="BV16" s="75"/>
      <c r="BW16" s="75"/>
      <c r="BX16" s="75"/>
      <c r="BY16" s="75"/>
      <c r="BZ16" s="75"/>
      <c r="CA16" s="75"/>
      <c r="CB16" s="75"/>
      <c r="CC16" s="75"/>
      <c r="CD16" s="75"/>
      <c r="CE16" s="75"/>
      <c r="CF16" s="75"/>
      <c r="CG16" s="75"/>
      <c r="CH16" s="75"/>
      <c r="CI16" s="75"/>
      <c r="CJ16" s="75"/>
      <c r="CK16" s="75"/>
      <c r="CL16" s="75"/>
      <c r="CM16" s="75"/>
      <c r="CN16" s="75"/>
      <c r="CO16" s="75"/>
      <c r="CP16" s="75"/>
      <c r="CQ16" s="75"/>
      <c r="CR16" s="75"/>
      <c r="CS16" s="75"/>
      <c r="CT16" s="75"/>
      <c r="CU16" s="75"/>
      <c r="CV16" s="75"/>
      <c r="CW16" s="75"/>
      <c r="CX16" s="75"/>
      <c r="CY16" s="75"/>
      <c r="CZ16" s="75"/>
      <c r="DA16" s="75"/>
      <c r="DB16" s="75"/>
      <c r="DC16" s="75"/>
      <c r="DD16" s="75"/>
      <c r="DE16" s="75"/>
      <c r="DF16" s="75"/>
      <c r="DG16" s="75"/>
      <c r="DH16" s="75"/>
      <c r="DI16" s="75"/>
      <c r="DJ16" s="75"/>
      <c r="DK16" s="75"/>
      <c r="DL16" s="75"/>
      <c r="DM16" s="75"/>
      <c r="DN16" s="75"/>
      <c r="DO16" s="75"/>
      <c r="DP16" s="75"/>
      <c r="DQ16" s="75"/>
      <c r="DR16" s="75"/>
      <c r="DS16" s="75"/>
      <c r="DT16" s="75"/>
      <c r="DU16" s="75"/>
      <c r="DV16" s="75"/>
      <c r="DW16" s="75"/>
      <c r="DX16" s="75"/>
      <c r="DY16" s="75"/>
      <c r="DZ16" s="75"/>
      <c r="EA16" s="75"/>
      <c r="EB16" s="75"/>
      <c r="EC16" s="75"/>
      <c r="ED16" s="75"/>
      <c r="EE16" s="75"/>
      <c r="EF16" s="75"/>
      <c r="EG16" s="75"/>
      <c r="EH16" s="75"/>
      <c r="EI16" s="75"/>
      <c r="EJ16" s="75"/>
      <c r="EK16" s="75"/>
      <c r="EL16" s="75"/>
      <c r="EM16" s="75"/>
      <c r="EN16" s="75"/>
      <c r="EO16" s="75"/>
      <c r="EP16" s="75"/>
      <c r="EQ16" s="75"/>
      <c r="ER16" s="75"/>
      <c r="ES16" s="75"/>
      <c r="ET16" s="75"/>
      <c r="EU16" s="75"/>
      <c r="EV16" s="75"/>
      <c r="EW16" s="75"/>
      <c r="EX16" s="75"/>
      <c r="EY16" s="75"/>
      <c r="EZ16" s="75"/>
      <c r="FA16" s="75"/>
      <c r="FB16" s="75"/>
      <c r="FC16" s="75"/>
      <c r="FD16" s="75"/>
      <c r="FE16" s="75"/>
      <c r="FF16" s="75"/>
      <c r="FG16" s="75"/>
      <c r="FH16" s="75"/>
      <c r="FI16" s="75"/>
      <c r="FJ16" s="75"/>
      <c r="FK16" s="75"/>
      <c r="FL16" s="75"/>
      <c r="FM16" s="75"/>
      <c r="FN16" s="75"/>
      <c r="FO16" s="75"/>
      <c r="FP16" s="75"/>
      <c r="FQ16" s="75"/>
      <c r="FR16" s="75"/>
      <c r="FS16" s="75"/>
      <c r="FT16" s="75"/>
      <c r="FU16" s="75"/>
      <c r="FV16" s="75"/>
      <c r="FW16" s="75"/>
      <c r="FX16" s="75"/>
      <c r="FY16" s="75"/>
      <c r="FZ16" s="75"/>
      <c r="GA16" s="75"/>
      <c r="GB16" s="75"/>
      <c r="GC16" s="75"/>
      <c r="GD16" s="75"/>
      <c r="GE16" s="75"/>
      <c r="GF16" s="75"/>
      <c r="GG16" s="75"/>
      <c r="GH16" s="75"/>
      <c r="GI16" s="75"/>
      <c r="GJ16" s="75"/>
      <c r="GK16" s="75"/>
      <c r="GL16" s="75"/>
      <c r="GM16" s="75"/>
      <c r="GN16" s="75"/>
      <c r="GO16" s="75"/>
      <c r="GP16" s="75"/>
      <c r="GQ16" s="75"/>
      <c r="GR16" s="75"/>
      <c r="GS16" s="75"/>
      <c r="GT16" s="75"/>
      <c r="GU16" s="75"/>
      <c r="GV16" s="75"/>
      <c r="GW16" s="75"/>
      <c r="GX16" s="75"/>
      <c r="GY16" s="75"/>
      <c r="GZ16" s="75"/>
      <c r="HA16" s="75"/>
      <c r="HB16" s="75"/>
      <c r="HC16" s="75"/>
      <c r="HD16" s="75"/>
      <c r="HE16" s="75"/>
      <c r="HF16" s="75"/>
      <c r="HG16" s="75"/>
      <c r="HH16" s="75"/>
      <c r="HI16" s="75"/>
      <c r="HJ16" s="75"/>
      <c r="HK16" s="75"/>
      <c r="HL16" s="75"/>
      <c r="HM16" s="75"/>
      <c r="HN16" s="75"/>
      <c r="HO16" s="75"/>
      <c r="HP16" s="75"/>
      <c r="HQ16" s="75"/>
      <c r="HR16" s="75"/>
      <c r="HS16" s="75"/>
      <c r="HT16" s="75"/>
      <c r="HU16" s="75"/>
      <c r="HV16" s="75"/>
      <c r="HW16" s="75"/>
      <c r="HX16" s="75"/>
      <c r="HY16" s="75"/>
      <c r="HZ16" s="75"/>
      <c r="IA16" s="75"/>
      <c r="IB16" s="75"/>
      <c r="IC16" s="75"/>
      <c r="ID16" s="75"/>
      <c r="IE16" s="75"/>
      <c r="IF16" s="75"/>
      <c r="IG16" s="75"/>
      <c r="IH16" s="75"/>
      <c r="II16" s="75"/>
      <c r="IJ16" s="75"/>
      <c r="IK16" s="75"/>
      <c r="IL16" s="75"/>
      <c r="IM16" s="75"/>
      <c r="IN16" s="75"/>
      <c r="IO16" s="75"/>
      <c r="IP16" s="75"/>
      <c r="IQ16" s="75"/>
      <c r="IR16" s="75"/>
      <c r="IS16" s="75"/>
      <c r="IT16" s="75"/>
      <c r="IU16" s="75"/>
      <c r="IV16" s="75"/>
      <c r="IW16" s="75"/>
      <c r="IX16" s="75"/>
      <c r="IY16" s="75"/>
      <c r="IZ16" s="75"/>
      <c r="JA16" s="75"/>
      <c r="JB16" s="75"/>
      <c r="JC16" s="75"/>
      <c r="JD16" s="75"/>
      <c r="JE16" s="75"/>
      <c r="JF16" s="75"/>
      <c r="JG16" s="75"/>
      <c r="JH16" s="75"/>
      <c r="JI16" s="75"/>
      <c r="JJ16" s="75"/>
      <c r="JK16" s="75"/>
      <c r="JL16" s="75"/>
      <c r="JM16" s="75"/>
      <c r="JN16" s="75"/>
      <c r="JO16" s="75"/>
      <c r="JP16" s="75"/>
      <c r="JQ16" s="75"/>
      <c r="JR16" s="75"/>
      <c r="JS16" s="75"/>
      <c r="JT16" s="75"/>
      <c r="JU16" s="75"/>
      <c r="JV16" s="75"/>
      <c r="JW16" s="75"/>
      <c r="JX16" s="75"/>
      <c r="JY16" s="75"/>
      <c r="JZ16" s="75"/>
      <c r="KA16" s="75"/>
      <c r="KB16" s="75"/>
      <c r="KC16" s="75"/>
      <c r="KD16" s="75"/>
      <c r="KE16" s="75"/>
      <c r="KF16" s="75"/>
      <c r="KG16" s="75"/>
      <c r="KH16" s="75"/>
      <c r="KI16" s="75"/>
      <c r="KJ16" s="75"/>
      <c r="KK16" s="75"/>
      <c r="KL16" s="75"/>
      <c r="KM16" s="75"/>
      <c r="KN16" s="75"/>
      <c r="KO16" s="75"/>
      <c r="KP16" s="75"/>
      <c r="KQ16" s="75"/>
      <c r="KR16" s="75"/>
      <c r="KS16" s="75"/>
      <c r="KT16" s="75"/>
      <c r="KU16" s="75"/>
      <c r="KV16" s="75"/>
      <c r="KW16" s="75"/>
      <c r="KX16" s="75"/>
      <c r="KY16" s="75"/>
      <c r="KZ16" s="75"/>
      <c r="LA16" s="75"/>
      <c r="LB16" s="75"/>
      <c r="LC16" s="75"/>
      <c r="LD16" s="75"/>
      <c r="LE16" s="75"/>
      <c r="LF16" s="75"/>
      <c r="LG16" s="75"/>
      <c r="LH16" s="75"/>
      <c r="LI16" s="75"/>
      <c r="LJ16" s="75"/>
      <c r="LK16" s="75"/>
      <c r="LL16" s="75"/>
      <c r="LM16" s="75"/>
      <c r="LN16" s="75"/>
      <c r="LO16" s="75"/>
      <c r="LP16" s="75"/>
      <c r="LQ16" s="75"/>
      <c r="LR16" s="75"/>
      <c r="LS16" s="75"/>
      <c r="LT16" s="75"/>
      <c r="LU16" s="75"/>
      <c r="LV16" s="75"/>
      <c r="LW16" s="75"/>
      <c r="LX16" s="75"/>
      <c r="LY16" s="75"/>
      <c r="LZ16" s="75"/>
      <c r="MA16" s="75"/>
      <c r="MB16" s="75"/>
      <c r="MC16" s="75"/>
      <c r="MD16" s="75"/>
      <c r="ME16" s="75"/>
      <c r="MF16" s="75"/>
      <c r="MG16" s="75"/>
      <c r="MH16" s="75"/>
      <c r="MI16" s="75"/>
      <c r="MJ16" s="75"/>
      <c r="MK16" s="75"/>
      <c r="ML16" s="75"/>
      <c r="MM16" s="75"/>
      <c r="MN16" s="75"/>
      <c r="MO16" s="75"/>
      <c r="MP16" s="75"/>
      <c r="MQ16" s="75"/>
      <c r="MR16" s="75"/>
      <c r="MS16" s="75"/>
      <c r="MT16" s="75"/>
      <c r="MU16" s="75">
        <v>1</v>
      </c>
      <c r="MV16" s="75">
        <v>4</v>
      </c>
      <c r="MW16" s="75"/>
      <c r="MX16" s="75">
        <v>4</v>
      </c>
      <c r="MY16" s="75">
        <v>4</v>
      </c>
      <c r="MZ16" s="75">
        <v>4</v>
      </c>
      <c r="NA16" s="75">
        <v>3</v>
      </c>
      <c r="NB16" s="75"/>
      <c r="NC16" s="75"/>
      <c r="ND16" s="75"/>
      <c r="NE16" s="75">
        <v>1</v>
      </c>
      <c r="NF16" s="75">
        <v>4</v>
      </c>
      <c r="NG16" s="75">
        <v>4</v>
      </c>
      <c r="NH16" s="75">
        <v>4</v>
      </c>
      <c r="NI16" s="75">
        <v>4</v>
      </c>
      <c r="NJ16" s="75">
        <v>3</v>
      </c>
      <c r="NK16" s="75"/>
      <c r="NL16" s="75"/>
      <c r="NM16" s="75"/>
      <c r="NN16" s="75"/>
      <c r="NO16" s="75"/>
      <c r="NP16" s="75">
        <v>0</v>
      </c>
      <c r="NQ16" s="75">
        <v>2</v>
      </c>
      <c r="NR16" s="75"/>
      <c r="NS16" s="75">
        <v>2</v>
      </c>
      <c r="NT16" s="75">
        <v>2</v>
      </c>
      <c r="NU16" s="75">
        <v>3</v>
      </c>
      <c r="NV16" s="75">
        <v>6</v>
      </c>
      <c r="NW16" s="75">
        <v>6</v>
      </c>
      <c r="NX16" s="75">
        <v>6</v>
      </c>
      <c r="NY16" s="75"/>
      <c r="NZ16" s="75">
        <v>6</v>
      </c>
      <c r="OA16" s="75">
        <v>3</v>
      </c>
      <c r="OB16" s="75"/>
      <c r="OC16" s="75"/>
      <c r="OD16" s="75"/>
      <c r="OE16" s="75"/>
      <c r="OF16" s="75"/>
      <c r="OG16" s="75"/>
      <c r="OH16" s="75"/>
      <c r="OI16" s="75"/>
      <c r="OJ16" s="75">
        <v>0</v>
      </c>
      <c r="OK16" s="75">
        <v>2</v>
      </c>
      <c r="OL16" s="75">
        <v>2</v>
      </c>
      <c r="OM16" s="75"/>
      <c r="ON16" s="75">
        <v>2</v>
      </c>
      <c r="OO16" s="75">
        <v>2</v>
      </c>
      <c r="OP16" s="75">
        <v>2</v>
      </c>
      <c r="OQ16" s="75">
        <v>2</v>
      </c>
      <c r="OR16" s="75">
        <v>2</v>
      </c>
      <c r="OS16" s="75">
        <v>2</v>
      </c>
      <c r="OT16" s="75"/>
      <c r="OU16" s="75">
        <v>0</v>
      </c>
      <c r="OV16" s="75">
        <v>2</v>
      </c>
      <c r="OW16" s="75">
        <v>2</v>
      </c>
      <c r="OX16" s="75">
        <v>2</v>
      </c>
      <c r="OY16" s="75">
        <v>2</v>
      </c>
      <c r="OZ16" s="75">
        <v>2</v>
      </c>
      <c r="PA16" s="75"/>
      <c r="PB16" s="75">
        <v>2</v>
      </c>
      <c r="PC16" s="75">
        <v>2</v>
      </c>
      <c r="PD16" s="75">
        <v>2</v>
      </c>
      <c r="PE16" s="75">
        <v>2</v>
      </c>
      <c r="PF16" s="75">
        <v>2</v>
      </c>
      <c r="PG16" s="75">
        <v>2</v>
      </c>
      <c r="PH16" s="75"/>
      <c r="PI16" s="75">
        <v>2</v>
      </c>
      <c r="PJ16" s="75">
        <v>2</v>
      </c>
      <c r="PK16" s="75">
        <v>2</v>
      </c>
      <c r="PL16" s="75">
        <v>2</v>
      </c>
      <c r="PM16" s="75">
        <v>2</v>
      </c>
      <c r="PN16" s="75"/>
      <c r="PO16" s="75"/>
      <c r="PP16" s="75"/>
      <c r="PQ16" s="75"/>
      <c r="PR16" s="75"/>
      <c r="PS16" s="75"/>
      <c r="PT16" s="75"/>
      <c r="PU16" s="75"/>
      <c r="PV16" s="75"/>
      <c r="PW16" s="75">
        <v>0</v>
      </c>
      <c r="PX16" s="75">
        <v>2</v>
      </c>
      <c r="PY16" s="75">
        <v>2</v>
      </c>
      <c r="PZ16" s="75">
        <v>4</v>
      </c>
      <c r="QA16" s="75">
        <v>4</v>
      </c>
      <c r="QB16" s="75">
        <v>4</v>
      </c>
      <c r="QC16" s="75"/>
      <c r="QD16" s="75">
        <v>4</v>
      </c>
      <c r="QE16" s="75">
        <v>5</v>
      </c>
      <c r="QF16" s="75">
        <v>8</v>
      </c>
      <c r="QG16" s="75">
        <v>6</v>
      </c>
      <c r="QH16" s="75">
        <v>6</v>
      </c>
      <c r="QI16" s="75">
        <v>4</v>
      </c>
      <c r="QJ16" s="75"/>
      <c r="QK16" s="75">
        <v>4</v>
      </c>
      <c r="QL16" s="75">
        <v>5</v>
      </c>
      <c r="QM16" s="75">
        <v>8</v>
      </c>
      <c r="QN16" s="75">
        <v>7</v>
      </c>
      <c r="QO16" s="75">
        <v>4</v>
      </c>
      <c r="QP16" s="75">
        <v>4</v>
      </c>
      <c r="QQ16" s="75"/>
      <c r="QR16" s="75">
        <v>4</v>
      </c>
      <c r="QS16" s="75">
        <v>4</v>
      </c>
      <c r="QT16" s="75">
        <v>4</v>
      </c>
      <c r="QU16" s="75">
        <v>3</v>
      </c>
      <c r="QV16" s="75"/>
      <c r="QW16" s="75"/>
      <c r="QX16" s="75"/>
      <c r="QY16" s="75"/>
      <c r="QZ16" s="75"/>
      <c r="RA16" s="75"/>
      <c r="RB16" s="75">
        <v>5</v>
      </c>
      <c r="RC16" s="75">
        <v>8</v>
      </c>
      <c r="RD16" s="75">
        <v>8</v>
      </c>
      <c r="RE16" s="75"/>
      <c r="RF16" s="75">
        <v>8</v>
      </c>
      <c r="RG16" s="75">
        <v>8</v>
      </c>
      <c r="RH16" s="75">
        <v>12</v>
      </c>
      <c r="RI16" s="75">
        <v>12</v>
      </c>
      <c r="RJ16" s="75">
        <v>8</v>
      </c>
      <c r="RK16" s="75">
        <v>7</v>
      </c>
      <c r="RL16" s="75"/>
      <c r="RM16" s="75">
        <v>12</v>
      </c>
      <c r="RN16" s="75">
        <v>12</v>
      </c>
      <c r="RO16" s="75">
        <v>12</v>
      </c>
      <c r="RP16" s="75">
        <v>8</v>
      </c>
      <c r="RQ16" s="75">
        <v>8</v>
      </c>
      <c r="RR16" s="75">
        <v>8</v>
      </c>
      <c r="RS16" s="75"/>
      <c r="RT16" s="75"/>
      <c r="RU16" s="75"/>
      <c r="RV16" s="75"/>
      <c r="RW16" s="75">
        <v>4</v>
      </c>
      <c r="RX16" s="75">
        <v>4</v>
      </c>
      <c r="RY16" s="75">
        <v>4</v>
      </c>
      <c r="RZ16" s="75"/>
      <c r="SA16" s="75">
        <v>4</v>
      </c>
      <c r="SB16" s="75">
        <v>4</v>
      </c>
      <c r="SC16" s="75">
        <v>4</v>
      </c>
      <c r="SD16" s="75">
        <v>4</v>
      </c>
      <c r="SE16" s="75"/>
      <c r="SF16" s="75">
        <v>8</v>
      </c>
      <c r="SG16" s="75"/>
      <c r="SH16" s="75">
        <v>8</v>
      </c>
      <c r="SI16" s="75">
        <v>8</v>
      </c>
      <c r="SJ16" s="75">
        <v>8</v>
      </c>
      <c r="SK16" s="75">
        <v>8</v>
      </c>
      <c r="SL16" s="75">
        <v>8</v>
      </c>
      <c r="SM16" s="75"/>
      <c r="SN16" s="75"/>
      <c r="SO16" s="75"/>
      <c r="SP16" s="75"/>
      <c r="SQ16" s="75">
        <v>8</v>
      </c>
      <c r="SR16" s="75">
        <v>8</v>
      </c>
      <c r="SS16" s="75">
        <v>8</v>
      </c>
      <c r="ST16" s="75">
        <v>8</v>
      </c>
      <c r="SU16" s="75"/>
      <c r="SV16" s="75">
        <v>8</v>
      </c>
      <c r="SW16" s="75">
        <v>8</v>
      </c>
      <c r="SX16" s="75"/>
      <c r="SY16" s="75"/>
      <c r="SZ16" s="75"/>
      <c r="TA16" s="75"/>
      <c r="TB16" s="75"/>
      <c r="TC16" s="75"/>
      <c r="TD16" s="75"/>
      <c r="TE16" s="75">
        <v>2</v>
      </c>
      <c r="TF16" s="75">
        <v>8</v>
      </c>
      <c r="TG16" s="75">
        <v>8</v>
      </c>
      <c r="TH16" s="75">
        <v>8</v>
      </c>
      <c r="TI16" s="75"/>
      <c r="TJ16" s="75">
        <v>8</v>
      </c>
      <c r="TK16" s="75">
        <v>8</v>
      </c>
      <c r="TL16" s="75">
        <v>8</v>
      </c>
      <c r="TM16" s="75">
        <v>8</v>
      </c>
      <c r="TN16" s="75">
        <v>6</v>
      </c>
      <c r="TO16" s="75"/>
      <c r="TP16" s="75"/>
      <c r="TQ16" s="75"/>
      <c r="TR16" s="75"/>
      <c r="TS16" s="75"/>
      <c r="TT16" s="75"/>
      <c r="TU16" s="75"/>
      <c r="TV16" s="75"/>
      <c r="TW16" s="75"/>
      <c r="TX16" s="75">
        <v>2</v>
      </c>
      <c r="TY16" s="75">
        <v>8</v>
      </c>
      <c r="TZ16" s="75">
        <v>10</v>
      </c>
      <c r="UA16" s="75">
        <v>16</v>
      </c>
      <c r="UB16" s="75">
        <v>16</v>
      </c>
      <c r="UC16" s="75">
        <v>16</v>
      </c>
      <c r="UD16" s="75"/>
      <c r="UE16" s="75">
        <v>16</v>
      </c>
      <c r="UF16" s="75">
        <v>16</v>
      </c>
      <c r="UG16" s="75">
        <v>14</v>
      </c>
      <c r="UH16" s="75">
        <v>8</v>
      </c>
      <c r="UI16" s="75">
        <v>6</v>
      </c>
      <c r="UJ16" s="75"/>
      <c r="UK16" s="75"/>
      <c r="UL16" s="75"/>
      <c r="UM16" s="75"/>
      <c r="UN16" s="75"/>
      <c r="UO16" s="75"/>
      <c r="UP16" s="75"/>
      <c r="UQ16" s="75"/>
      <c r="UR16" s="75"/>
      <c r="US16" s="75"/>
      <c r="UT16" s="75"/>
      <c r="UU16" s="75"/>
      <c r="UV16" s="75"/>
      <c r="UW16" s="75"/>
      <c r="UX16" s="75"/>
      <c r="UY16" s="75"/>
      <c r="UZ16" s="75"/>
      <c r="VA16" s="75"/>
      <c r="VB16" s="75">
        <v>2</v>
      </c>
      <c r="VC16" s="75">
        <v>3</v>
      </c>
      <c r="VD16" s="75">
        <v>3</v>
      </c>
      <c r="VE16" s="75">
        <v>3</v>
      </c>
      <c r="VF16" s="75"/>
      <c r="VG16" s="75">
        <v>3</v>
      </c>
      <c r="VH16" s="75">
        <v>3</v>
      </c>
      <c r="VI16" s="75">
        <v>5</v>
      </c>
      <c r="VJ16" s="75">
        <v>6</v>
      </c>
      <c r="VK16" s="75">
        <v>6</v>
      </c>
      <c r="VL16" s="75">
        <v>6</v>
      </c>
      <c r="VM16" s="75"/>
      <c r="VN16" s="75">
        <v>6</v>
      </c>
      <c r="VO16" s="75">
        <v>6</v>
      </c>
      <c r="VP16" s="75">
        <v>6</v>
      </c>
      <c r="VQ16" s="75">
        <v>6</v>
      </c>
      <c r="VR16" s="75">
        <v>6</v>
      </c>
      <c r="VS16" s="75">
        <v>4</v>
      </c>
      <c r="VT16" s="75"/>
      <c r="VU16" s="75">
        <v>3</v>
      </c>
      <c r="VV16" s="75">
        <v>3</v>
      </c>
      <c r="VW16" s="75">
        <v>3</v>
      </c>
      <c r="VX16" s="75">
        <v>3</v>
      </c>
      <c r="VY16" s="75">
        <v>3</v>
      </c>
      <c r="VZ16" s="75">
        <v>1</v>
      </c>
      <c r="WA16" s="75"/>
      <c r="WB16" s="75"/>
      <c r="WC16" s="75"/>
      <c r="WD16" s="75"/>
      <c r="WE16" s="75"/>
      <c r="WF16" s="75"/>
      <c r="WG16" s="75"/>
      <c r="WH16" s="75"/>
      <c r="WI16" s="75"/>
      <c r="WJ16" s="75"/>
      <c r="WK16" s="75"/>
      <c r="WL16" s="75"/>
      <c r="WM16" s="75"/>
      <c r="WN16" s="75"/>
      <c r="WO16" s="75"/>
      <c r="WP16" s="75"/>
      <c r="WQ16" s="75"/>
      <c r="WR16" s="75"/>
      <c r="WS16" s="75"/>
      <c r="WT16" s="75"/>
      <c r="WU16" s="75"/>
      <c r="WV16" s="75"/>
      <c r="WW16" s="75"/>
      <c r="WX16" s="75"/>
      <c r="WY16" s="75"/>
      <c r="WZ16" s="75"/>
      <c r="XA16" s="75"/>
      <c r="XB16" s="75"/>
      <c r="XC16" s="75"/>
      <c r="XD16" s="75"/>
      <c r="XE16" s="75"/>
      <c r="XF16" s="75"/>
      <c r="XG16" s="75"/>
      <c r="XH16" s="75"/>
      <c r="XI16" s="75"/>
      <c r="XJ16" s="75"/>
      <c r="XK16" s="75"/>
      <c r="XL16" s="75"/>
      <c r="XM16" s="75"/>
      <c r="XN16" s="75"/>
      <c r="XO16" s="75"/>
      <c r="XP16" s="75"/>
      <c r="XQ16" s="75"/>
      <c r="XR16" s="75"/>
      <c r="XS16" s="75"/>
      <c r="XT16" s="75"/>
      <c r="XU16" s="75"/>
      <c r="XV16" s="75"/>
      <c r="XW16" s="75"/>
      <c r="XX16" s="75"/>
      <c r="XY16" s="75"/>
      <c r="XZ16" s="75"/>
      <c r="YA16" s="75"/>
      <c r="YB16" s="75"/>
      <c r="YC16" s="75"/>
      <c r="YD16" s="75"/>
      <c r="YE16" s="75"/>
      <c r="YF16" s="75"/>
      <c r="YG16" s="75"/>
      <c r="YH16" s="75"/>
      <c r="YI16" s="75"/>
      <c r="YJ16" s="75"/>
      <c r="YK16" s="75"/>
      <c r="YL16" s="75"/>
      <c r="YM16" s="75"/>
      <c r="YN16" s="75"/>
      <c r="YO16" s="75"/>
      <c r="YP16" s="75"/>
      <c r="YQ16" s="75"/>
      <c r="YR16" s="75"/>
      <c r="YS16" s="75"/>
      <c r="YT16" s="75"/>
      <c r="YU16" s="75"/>
      <c r="YV16" s="75"/>
      <c r="YW16" s="75"/>
      <c r="YX16" s="75"/>
      <c r="YY16" s="75"/>
      <c r="YZ16" s="75"/>
      <c r="ZA16" s="75"/>
      <c r="ZB16" s="75"/>
      <c r="ZC16" s="75"/>
      <c r="ZD16" s="75"/>
      <c r="ZE16" s="75"/>
      <c r="ZF16" s="75"/>
      <c r="ZG16" s="75"/>
      <c r="ZH16" s="75"/>
      <c r="ZI16" s="75"/>
      <c r="ZJ16" s="75"/>
      <c r="ZK16" s="75"/>
      <c r="ZL16" s="75"/>
      <c r="ZM16" s="75"/>
      <c r="ZN16" s="75"/>
      <c r="ZO16" s="75"/>
      <c r="ZP16" s="75"/>
      <c r="ZQ16" s="75"/>
      <c r="ZR16" s="75"/>
      <c r="ZS16" s="75"/>
      <c r="ZT16" s="75"/>
      <c r="ZU16" s="75"/>
      <c r="ZV16" s="75"/>
      <c r="ZW16" s="75"/>
      <c r="ZX16" s="75"/>
      <c r="ZY16" s="75"/>
      <c r="ZZ16" s="75"/>
      <c r="AAA16" s="75"/>
      <c r="AAB16" s="75"/>
      <c r="AAC16" s="75"/>
      <c r="AAD16" s="75"/>
      <c r="AAE16" s="75"/>
      <c r="AAF16" s="75"/>
      <c r="AAG16" s="75"/>
      <c r="AAH16" s="75"/>
      <c r="AAI16" s="75"/>
      <c r="AAJ16" s="75"/>
      <c r="AAK16" s="75"/>
      <c r="AAL16" s="75"/>
      <c r="AAM16" s="75"/>
      <c r="AAN16" s="75"/>
      <c r="AAO16" s="75"/>
      <c r="AAP16" s="75"/>
      <c r="AAQ16" s="75"/>
      <c r="AAR16" s="75"/>
      <c r="AAS16" s="75"/>
      <c r="AAT16" s="75"/>
      <c r="AAU16" s="75"/>
      <c r="AAV16" s="75"/>
      <c r="AAW16" s="75"/>
      <c r="AAX16" s="75"/>
      <c r="AAY16" s="75"/>
      <c r="AAZ16" s="75"/>
      <c r="ABA16" s="75"/>
      <c r="ABB16" s="75"/>
      <c r="ABC16" s="75"/>
    </row>
    <row r="17" spans="1:731">
      <c r="A17" s="75" t="s">
        <v>55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5"/>
      <c r="BK17" s="75"/>
      <c r="BL17" s="75"/>
      <c r="BM17" s="75"/>
      <c r="BN17" s="75"/>
      <c r="BO17" s="75"/>
      <c r="BP17" s="75"/>
      <c r="BQ17" s="75"/>
      <c r="BR17" s="75"/>
      <c r="BS17" s="75"/>
      <c r="BT17" s="75"/>
      <c r="BU17" s="75"/>
      <c r="BV17" s="75"/>
      <c r="BW17" s="75"/>
      <c r="BX17" s="75"/>
      <c r="BY17" s="75"/>
      <c r="BZ17" s="75"/>
      <c r="CA17" s="75"/>
      <c r="CB17" s="75"/>
      <c r="CC17" s="75"/>
      <c r="CD17" s="75"/>
      <c r="CE17" s="75"/>
      <c r="CF17" s="75"/>
      <c r="CG17" s="75"/>
      <c r="CH17" s="75"/>
      <c r="CI17" s="75"/>
      <c r="CJ17" s="75"/>
      <c r="CK17" s="75"/>
      <c r="CL17" s="75"/>
      <c r="CM17" s="75"/>
      <c r="CN17" s="75"/>
      <c r="CO17" s="75"/>
      <c r="CP17" s="75"/>
      <c r="CQ17" s="75"/>
      <c r="CR17" s="75"/>
      <c r="CS17" s="75"/>
      <c r="CT17" s="75"/>
      <c r="CU17" s="75"/>
      <c r="CV17" s="75"/>
      <c r="CW17" s="75"/>
      <c r="CX17" s="75"/>
      <c r="CY17" s="75"/>
      <c r="CZ17" s="75"/>
      <c r="DA17" s="75"/>
      <c r="DB17" s="75"/>
      <c r="DC17" s="75"/>
      <c r="DD17" s="75"/>
      <c r="DE17" s="75"/>
      <c r="DF17" s="75"/>
      <c r="DG17" s="75"/>
      <c r="DH17" s="75"/>
      <c r="DI17" s="75"/>
      <c r="DJ17" s="75"/>
      <c r="DK17" s="75"/>
      <c r="DL17" s="75"/>
      <c r="DM17" s="75"/>
      <c r="DN17" s="75"/>
      <c r="DO17" s="75"/>
      <c r="DP17" s="75"/>
      <c r="DQ17" s="75"/>
      <c r="DR17" s="75"/>
      <c r="DS17" s="75"/>
      <c r="DT17" s="75"/>
      <c r="DU17" s="75"/>
      <c r="DV17" s="75"/>
      <c r="DW17" s="75"/>
      <c r="DX17" s="75"/>
      <c r="DY17" s="75"/>
      <c r="DZ17" s="75"/>
      <c r="EA17" s="75"/>
      <c r="EB17" s="75"/>
      <c r="EC17" s="75"/>
      <c r="ED17" s="75"/>
      <c r="EE17" s="75"/>
      <c r="EF17" s="75"/>
      <c r="EG17" s="75"/>
      <c r="EH17" s="75"/>
      <c r="EI17" s="75"/>
      <c r="EJ17" s="75"/>
      <c r="EK17" s="75"/>
      <c r="EL17" s="75"/>
      <c r="EM17" s="75"/>
      <c r="EN17" s="75"/>
      <c r="EO17" s="75"/>
      <c r="EP17" s="75"/>
      <c r="EQ17" s="75"/>
      <c r="ER17" s="75"/>
      <c r="ES17" s="75"/>
      <c r="ET17" s="75"/>
      <c r="EU17" s="75"/>
      <c r="EV17" s="75"/>
      <c r="EW17" s="75"/>
      <c r="EX17" s="75"/>
      <c r="EY17" s="75"/>
      <c r="EZ17" s="75"/>
      <c r="FA17" s="75"/>
      <c r="FB17" s="75"/>
      <c r="FC17" s="75"/>
      <c r="FD17" s="75"/>
      <c r="FE17" s="75"/>
      <c r="FF17" s="75"/>
      <c r="FG17" s="75"/>
      <c r="FH17" s="75"/>
      <c r="FI17" s="75"/>
      <c r="FJ17" s="75"/>
      <c r="FK17" s="75"/>
      <c r="FL17" s="75"/>
      <c r="FM17" s="75"/>
      <c r="FN17" s="75"/>
      <c r="FO17" s="75"/>
      <c r="FP17" s="75"/>
      <c r="FQ17" s="75"/>
      <c r="FR17" s="75"/>
      <c r="FS17" s="75"/>
      <c r="FT17" s="75"/>
      <c r="FU17" s="75"/>
      <c r="FV17" s="75"/>
      <c r="FW17" s="75"/>
      <c r="FX17" s="75"/>
      <c r="FY17" s="75"/>
      <c r="FZ17" s="75"/>
      <c r="GA17" s="75"/>
      <c r="GB17" s="75"/>
      <c r="GC17" s="75"/>
      <c r="GD17" s="75"/>
      <c r="GE17" s="75"/>
      <c r="GF17" s="75"/>
      <c r="GG17" s="75"/>
      <c r="GH17" s="75"/>
      <c r="GI17" s="75"/>
      <c r="GJ17" s="75"/>
      <c r="GK17" s="75"/>
      <c r="GL17" s="75"/>
      <c r="GM17" s="75"/>
      <c r="GN17" s="75"/>
      <c r="GO17" s="75"/>
      <c r="GP17" s="75"/>
      <c r="GQ17" s="75"/>
      <c r="GR17" s="75"/>
      <c r="GS17" s="75"/>
      <c r="GT17" s="75"/>
      <c r="GU17" s="75"/>
      <c r="GV17" s="75"/>
      <c r="GW17" s="75"/>
      <c r="GX17" s="75"/>
      <c r="GY17" s="75"/>
      <c r="GZ17" s="75"/>
      <c r="HA17" s="75"/>
      <c r="HB17" s="75"/>
      <c r="HC17" s="75"/>
      <c r="HD17" s="75"/>
      <c r="HE17" s="75"/>
      <c r="HF17" s="75"/>
      <c r="HG17" s="75"/>
      <c r="HH17" s="75"/>
      <c r="HI17" s="75"/>
      <c r="HJ17" s="75"/>
      <c r="HK17" s="75"/>
      <c r="HL17" s="75"/>
      <c r="HM17" s="75"/>
      <c r="HN17" s="75"/>
      <c r="HO17" s="75"/>
      <c r="HP17" s="75"/>
      <c r="HQ17" s="75"/>
      <c r="HR17" s="75"/>
      <c r="HS17" s="75"/>
      <c r="HT17" s="75"/>
      <c r="HU17" s="75"/>
      <c r="HV17" s="75"/>
      <c r="HW17" s="75"/>
      <c r="HX17" s="75"/>
      <c r="HY17" s="75"/>
      <c r="HZ17" s="75"/>
      <c r="IA17" s="75"/>
      <c r="IB17" s="75"/>
      <c r="IC17" s="75"/>
      <c r="ID17" s="75"/>
      <c r="IE17" s="75"/>
      <c r="IF17" s="75"/>
      <c r="IG17" s="75"/>
      <c r="IH17" s="75"/>
      <c r="II17" s="75"/>
      <c r="IJ17" s="75"/>
      <c r="IK17" s="75"/>
      <c r="IL17" s="75"/>
      <c r="IM17" s="75"/>
      <c r="IN17" s="75"/>
      <c r="IO17" s="75"/>
      <c r="IP17" s="75"/>
      <c r="IQ17" s="75"/>
      <c r="IR17" s="75"/>
      <c r="IS17" s="75"/>
      <c r="IT17" s="75"/>
      <c r="IU17" s="75"/>
      <c r="IV17" s="75"/>
      <c r="IW17" s="75"/>
      <c r="IX17" s="75"/>
      <c r="IY17" s="75"/>
      <c r="IZ17" s="75"/>
      <c r="JA17" s="75"/>
      <c r="JB17" s="75"/>
      <c r="JC17" s="75"/>
      <c r="JD17" s="75"/>
      <c r="JE17" s="75"/>
      <c r="JF17" s="75"/>
      <c r="JG17" s="75"/>
      <c r="JH17" s="75"/>
      <c r="JI17" s="75"/>
      <c r="JJ17" s="75"/>
      <c r="JK17" s="75"/>
      <c r="JL17" s="75"/>
      <c r="JM17" s="75"/>
      <c r="JN17" s="75"/>
      <c r="JO17" s="75"/>
      <c r="JP17" s="75"/>
      <c r="JQ17" s="75"/>
      <c r="JR17" s="75"/>
      <c r="JS17" s="75"/>
      <c r="JT17" s="75"/>
      <c r="JU17" s="75"/>
      <c r="JV17" s="75"/>
      <c r="JW17" s="75"/>
      <c r="JX17" s="75"/>
      <c r="JY17" s="75"/>
      <c r="JZ17" s="75"/>
      <c r="KA17" s="75"/>
      <c r="KB17" s="75"/>
      <c r="KC17" s="75"/>
      <c r="KD17" s="75"/>
      <c r="KE17" s="75"/>
      <c r="KF17" s="75"/>
      <c r="KG17" s="75"/>
      <c r="KH17" s="75"/>
      <c r="KI17" s="75"/>
      <c r="KJ17" s="75"/>
      <c r="KK17" s="75"/>
      <c r="KL17" s="75"/>
      <c r="KM17" s="75"/>
      <c r="KN17" s="75"/>
      <c r="KO17" s="75"/>
      <c r="KP17" s="75"/>
      <c r="KQ17" s="75"/>
      <c r="KR17" s="75"/>
      <c r="KS17" s="75"/>
      <c r="KT17" s="75"/>
      <c r="KU17" s="75"/>
      <c r="KV17" s="75"/>
      <c r="KW17" s="75"/>
      <c r="KX17" s="75"/>
      <c r="KY17" s="75"/>
      <c r="KZ17" s="75"/>
      <c r="LA17" s="75"/>
      <c r="LB17" s="75"/>
      <c r="LC17" s="75"/>
      <c r="LD17" s="75"/>
      <c r="LE17" s="75"/>
      <c r="LF17" s="75"/>
      <c r="LG17" s="75"/>
      <c r="LH17" s="75"/>
      <c r="LI17" s="75"/>
      <c r="LJ17" s="75"/>
      <c r="LK17" s="75"/>
      <c r="LL17" s="75"/>
      <c r="LM17" s="75"/>
      <c r="LN17" s="75"/>
      <c r="LO17" s="75"/>
      <c r="LP17" s="75"/>
      <c r="LQ17" s="75"/>
      <c r="LR17" s="75"/>
      <c r="LS17" s="75"/>
      <c r="LT17" s="75"/>
      <c r="LU17" s="75"/>
      <c r="LV17" s="75"/>
      <c r="LW17" s="75"/>
      <c r="LX17" s="75"/>
      <c r="LY17" s="75"/>
      <c r="LZ17" s="75"/>
      <c r="MA17" s="75"/>
      <c r="MB17" s="75"/>
      <c r="MC17" s="75"/>
      <c r="MD17" s="75"/>
      <c r="ME17" s="75"/>
      <c r="MF17" s="75"/>
      <c r="MG17" s="75"/>
      <c r="MH17" s="75"/>
      <c r="MI17" s="75"/>
      <c r="MJ17" s="75"/>
      <c r="MK17" s="75"/>
      <c r="ML17" s="75"/>
      <c r="MM17" s="75"/>
      <c r="MN17" s="75"/>
      <c r="MO17" s="75"/>
      <c r="MP17" s="75"/>
      <c r="MQ17" s="75"/>
      <c r="MR17" s="75"/>
      <c r="MS17" s="75"/>
      <c r="MT17" s="75"/>
      <c r="MU17" s="75"/>
      <c r="MV17" s="75"/>
      <c r="MW17" s="75"/>
      <c r="MX17" s="75"/>
      <c r="MY17" s="75"/>
      <c r="MZ17" s="75"/>
      <c r="NA17" s="75"/>
      <c r="NB17" s="75"/>
      <c r="NC17" s="75"/>
      <c r="ND17" s="75"/>
      <c r="NE17" s="75"/>
      <c r="NF17" s="75"/>
      <c r="NG17" s="75"/>
      <c r="NH17" s="75"/>
      <c r="NI17" s="75"/>
      <c r="NJ17" s="75"/>
      <c r="NK17" s="75"/>
      <c r="NL17" s="75"/>
      <c r="NM17" s="75"/>
      <c r="NN17" s="75"/>
      <c r="NO17" s="75"/>
      <c r="NP17" s="75"/>
      <c r="NQ17" s="75"/>
      <c r="NR17" s="75"/>
      <c r="NS17" s="75"/>
      <c r="NT17" s="75"/>
      <c r="NU17" s="75"/>
      <c r="NV17" s="75"/>
      <c r="NW17" s="75"/>
      <c r="NX17" s="75"/>
      <c r="NY17" s="75"/>
      <c r="NZ17" s="75"/>
      <c r="OA17" s="75"/>
      <c r="OB17" s="75"/>
      <c r="OC17" s="75"/>
      <c r="OD17" s="75"/>
      <c r="OE17" s="75"/>
      <c r="OF17" s="75"/>
      <c r="OG17" s="75"/>
      <c r="OH17" s="75"/>
      <c r="OI17" s="75"/>
      <c r="OJ17" s="75"/>
      <c r="OK17" s="75"/>
      <c r="OL17" s="75"/>
      <c r="OM17" s="75"/>
      <c r="ON17" s="75">
        <v>2</v>
      </c>
      <c r="OO17" s="75">
        <v>12</v>
      </c>
      <c r="OP17" s="75">
        <v>12</v>
      </c>
      <c r="OQ17" s="75">
        <v>12</v>
      </c>
      <c r="OR17" s="75">
        <v>12</v>
      </c>
      <c r="OS17" s="75">
        <v>12</v>
      </c>
      <c r="OT17" s="75"/>
      <c r="OU17" s="75">
        <v>12</v>
      </c>
      <c r="OV17" s="75">
        <v>12</v>
      </c>
      <c r="OW17" s="75">
        <v>12</v>
      </c>
      <c r="OX17" s="75">
        <v>12</v>
      </c>
      <c r="OY17" s="75">
        <v>12</v>
      </c>
      <c r="OZ17" s="75">
        <v>12</v>
      </c>
      <c r="PA17" s="75"/>
      <c r="PB17" s="75">
        <v>12</v>
      </c>
      <c r="PC17" s="75">
        <v>12</v>
      </c>
      <c r="PD17" s="75">
        <v>12</v>
      </c>
      <c r="PE17" s="75">
        <v>12</v>
      </c>
      <c r="PF17" s="75">
        <v>10</v>
      </c>
      <c r="PG17" s="75"/>
      <c r="PH17" s="75"/>
      <c r="PI17" s="75"/>
      <c r="PJ17" s="75"/>
      <c r="PK17" s="75"/>
      <c r="PL17" s="75">
        <v>2</v>
      </c>
      <c r="PM17" s="75">
        <v>12</v>
      </c>
      <c r="PN17" s="75">
        <v>22</v>
      </c>
      <c r="PO17" s="75"/>
      <c r="PP17" s="75">
        <v>22</v>
      </c>
      <c r="PQ17" s="75">
        <v>22</v>
      </c>
      <c r="PR17" s="75">
        <v>22</v>
      </c>
      <c r="PS17" s="75">
        <v>22</v>
      </c>
      <c r="PT17" s="75">
        <v>22</v>
      </c>
      <c r="PU17" s="75">
        <v>20</v>
      </c>
      <c r="PV17" s="75"/>
      <c r="PW17" s="75">
        <v>10</v>
      </c>
      <c r="PX17" s="75"/>
      <c r="PY17" s="75"/>
      <c r="PZ17" s="75"/>
      <c r="QA17" s="75"/>
      <c r="QB17" s="75"/>
      <c r="QC17" s="75"/>
      <c r="QD17" s="75"/>
      <c r="QE17" s="75"/>
      <c r="QF17" s="75">
        <v>2</v>
      </c>
      <c r="QG17" s="75">
        <v>10</v>
      </c>
      <c r="QH17" s="75">
        <v>10</v>
      </c>
      <c r="QI17" s="75">
        <v>10</v>
      </c>
      <c r="QJ17" s="75"/>
      <c r="QK17" s="75">
        <v>10</v>
      </c>
      <c r="QL17" s="75">
        <v>10</v>
      </c>
      <c r="QM17" s="75">
        <v>10</v>
      </c>
      <c r="QN17" s="75">
        <v>10</v>
      </c>
      <c r="QO17" s="75">
        <v>8</v>
      </c>
      <c r="QP17" s="75">
        <v>2</v>
      </c>
      <c r="QQ17" s="75"/>
      <c r="QR17" s="75">
        <v>10</v>
      </c>
      <c r="QS17" s="75">
        <v>10</v>
      </c>
      <c r="QT17" s="75">
        <v>10</v>
      </c>
      <c r="QU17" s="75">
        <v>10</v>
      </c>
      <c r="QV17" s="75">
        <v>10</v>
      </c>
      <c r="QW17" s="75">
        <v>10</v>
      </c>
      <c r="QX17" s="75"/>
      <c r="QY17" s="75">
        <v>10</v>
      </c>
      <c r="QZ17" s="75">
        <v>8</v>
      </c>
      <c r="RA17" s="75"/>
      <c r="RB17" s="75"/>
      <c r="RC17" s="75"/>
      <c r="RD17" s="75"/>
      <c r="RE17" s="75"/>
      <c r="RF17" s="75"/>
      <c r="RG17" s="75"/>
      <c r="RH17" s="75"/>
      <c r="RI17" s="75"/>
      <c r="RJ17" s="75"/>
      <c r="RK17" s="75"/>
      <c r="RL17" s="75"/>
      <c r="RM17" s="75"/>
      <c r="RN17" s="75"/>
      <c r="RO17" s="75"/>
      <c r="RP17" s="75"/>
      <c r="RQ17" s="75"/>
      <c r="RR17" s="75"/>
      <c r="RS17" s="75"/>
      <c r="RT17" s="75"/>
      <c r="RU17" s="75"/>
      <c r="RV17" s="75"/>
      <c r="RW17" s="75"/>
      <c r="RX17" s="75"/>
      <c r="RY17" s="75"/>
      <c r="RZ17" s="75"/>
      <c r="SA17" s="75"/>
      <c r="SB17" s="75"/>
      <c r="SC17" s="75"/>
      <c r="SD17" s="75"/>
      <c r="SE17" s="75"/>
      <c r="SF17" s="75"/>
      <c r="SG17" s="75"/>
      <c r="SH17" s="75"/>
      <c r="SI17" s="75"/>
      <c r="SJ17" s="75"/>
      <c r="SK17" s="75"/>
      <c r="SL17" s="75"/>
      <c r="SM17" s="75"/>
      <c r="SN17" s="75"/>
      <c r="SO17" s="75"/>
      <c r="SP17" s="75"/>
      <c r="SQ17" s="75"/>
      <c r="SR17" s="75"/>
      <c r="SS17" s="75"/>
      <c r="ST17" s="75"/>
      <c r="SU17" s="75"/>
      <c r="SV17" s="75"/>
      <c r="SW17" s="75"/>
      <c r="SX17" s="75"/>
      <c r="SY17" s="75"/>
      <c r="SZ17" s="75"/>
      <c r="TA17" s="75"/>
      <c r="TB17" s="75"/>
      <c r="TC17" s="75"/>
      <c r="TD17" s="75"/>
      <c r="TE17" s="75"/>
      <c r="TF17" s="75"/>
      <c r="TG17" s="75"/>
      <c r="TH17" s="75"/>
      <c r="TI17" s="75"/>
      <c r="TJ17" s="75"/>
      <c r="TK17" s="75"/>
      <c r="TL17" s="75"/>
      <c r="TM17" s="75"/>
      <c r="TN17" s="75"/>
      <c r="TO17" s="75"/>
      <c r="TP17" s="75"/>
      <c r="TQ17" s="75"/>
      <c r="TR17" s="75"/>
      <c r="TS17" s="75"/>
      <c r="TT17" s="75"/>
      <c r="TU17" s="75"/>
      <c r="TV17" s="75"/>
      <c r="TW17" s="75"/>
      <c r="TX17" s="75"/>
      <c r="TY17" s="75"/>
      <c r="TZ17" s="75"/>
      <c r="UA17" s="75"/>
      <c r="UB17" s="75"/>
      <c r="UC17" s="75"/>
      <c r="UD17" s="75"/>
      <c r="UE17" s="75"/>
      <c r="UF17" s="75"/>
      <c r="UG17" s="75"/>
      <c r="UH17" s="75"/>
      <c r="UI17" s="75"/>
      <c r="UJ17" s="75"/>
      <c r="UK17" s="75"/>
      <c r="UL17" s="75"/>
      <c r="UM17" s="75"/>
      <c r="UN17" s="75"/>
      <c r="UO17" s="75"/>
      <c r="UP17" s="75"/>
      <c r="UQ17" s="75"/>
      <c r="UR17" s="75"/>
      <c r="US17" s="75"/>
      <c r="UT17" s="75"/>
      <c r="UU17" s="75"/>
      <c r="UV17" s="75"/>
      <c r="UW17" s="75"/>
      <c r="UX17" s="75"/>
      <c r="UY17" s="75"/>
      <c r="UZ17" s="75"/>
      <c r="VA17" s="75"/>
      <c r="VB17" s="75"/>
      <c r="VC17" s="75"/>
      <c r="VD17" s="75"/>
      <c r="VE17" s="75"/>
      <c r="VF17" s="75"/>
      <c r="VG17" s="75"/>
      <c r="VH17" s="75"/>
      <c r="VI17" s="75"/>
      <c r="VJ17" s="75"/>
      <c r="VK17" s="75"/>
      <c r="VL17" s="75"/>
      <c r="VM17" s="75"/>
      <c r="VN17" s="75"/>
      <c r="VO17" s="75"/>
      <c r="VP17" s="75"/>
      <c r="VQ17" s="75"/>
      <c r="VR17" s="75"/>
      <c r="VS17" s="75"/>
      <c r="VT17" s="75"/>
      <c r="VU17" s="75"/>
      <c r="VV17" s="75"/>
      <c r="VW17" s="75"/>
      <c r="VX17" s="75"/>
      <c r="VY17" s="75"/>
      <c r="VZ17" s="75"/>
      <c r="WA17" s="75"/>
      <c r="WB17" s="75"/>
      <c r="WC17" s="75"/>
      <c r="WD17" s="75"/>
      <c r="WE17" s="75"/>
      <c r="WF17" s="75"/>
      <c r="WG17" s="75"/>
      <c r="WH17" s="75"/>
      <c r="WI17" s="75"/>
      <c r="WJ17" s="75"/>
      <c r="WK17" s="75"/>
      <c r="WL17" s="75"/>
      <c r="WM17" s="75"/>
      <c r="WN17" s="75"/>
      <c r="WO17" s="75"/>
      <c r="WP17" s="75"/>
      <c r="WQ17" s="75"/>
      <c r="WR17" s="75"/>
      <c r="WS17" s="75"/>
      <c r="WT17" s="75"/>
      <c r="WU17" s="75"/>
      <c r="WV17" s="75"/>
      <c r="WW17" s="75"/>
      <c r="WX17" s="75"/>
      <c r="WY17" s="75"/>
      <c r="WZ17" s="75"/>
      <c r="XA17" s="75"/>
      <c r="XB17" s="75"/>
      <c r="XC17" s="75"/>
      <c r="XD17" s="75"/>
      <c r="XE17" s="75"/>
      <c r="XF17" s="75"/>
      <c r="XG17" s="75"/>
      <c r="XH17" s="75"/>
      <c r="XI17" s="75"/>
      <c r="XJ17" s="75"/>
      <c r="XK17" s="75"/>
      <c r="XL17" s="75"/>
      <c r="XM17" s="75"/>
      <c r="XN17" s="75"/>
      <c r="XO17" s="75"/>
      <c r="XP17" s="75"/>
      <c r="XQ17" s="75"/>
      <c r="XR17" s="75"/>
      <c r="XS17" s="75"/>
      <c r="XT17" s="75"/>
      <c r="XU17" s="75"/>
      <c r="XV17" s="75"/>
      <c r="XW17" s="75"/>
      <c r="XX17" s="75"/>
      <c r="XY17" s="75"/>
      <c r="XZ17" s="75"/>
      <c r="YA17" s="75"/>
      <c r="YB17" s="75"/>
      <c r="YC17" s="75"/>
      <c r="YD17" s="75"/>
      <c r="YE17" s="75"/>
      <c r="YF17" s="75"/>
      <c r="YG17" s="75"/>
      <c r="YH17" s="75"/>
      <c r="YI17" s="75"/>
      <c r="YJ17" s="75"/>
      <c r="YK17" s="75"/>
      <c r="YL17" s="75"/>
      <c r="YM17" s="75"/>
      <c r="YN17" s="75"/>
      <c r="YO17" s="75"/>
      <c r="YP17" s="75"/>
      <c r="YQ17" s="75"/>
      <c r="YR17" s="75"/>
      <c r="YS17" s="75"/>
      <c r="YT17" s="75"/>
      <c r="YU17" s="75"/>
      <c r="YV17" s="75"/>
      <c r="YW17" s="75"/>
      <c r="YX17" s="75"/>
      <c r="YY17" s="75"/>
      <c r="YZ17" s="75"/>
      <c r="ZA17" s="75"/>
      <c r="ZB17" s="75"/>
      <c r="ZC17" s="75"/>
      <c r="ZD17" s="75"/>
      <c r="ZE17" s="75"/>
      <c r="ZF17" s="75"/>
      <c r="ZG17" s="75"/>
      <c r="ZH17" s="75"/>
      <c r="ZI17" s="75"/>
      <c r="ZJ17" s="75"/>
      <c r="ZK17" s="75"/>
      <c r="ZL17" s="75"/>
      <c r="ZM17" s="75"/>
      <c r="ZN17" s="75"/>
      <c r="ZO17" s="75"/>
      <c r="ZP17" s="75"/>
      <c r="ZQ17" s="75"/>
      <c r="ZR17" s="75"/>
      <c r="ZS17" s="75"/>
      <c r="ZT17" s="75"/>
      <c r="ZU17" s="75"/>
      <c r="ZV17" s="75"/>
      <c r="ZW17" s="75"/>
      <c r="ZX17" s="75"/>
      <c r="ZY17" s="75"/>
      <c r="ZZ17" s="75"/>
      <c r="AAA17" s="75"/>
      <c r="AAB17" s="75"/>
      <c r="AAC17" s="75"/>
      <c r="AAD17" s="75"/>
      <c r="AAE17" s="75"/>
      <c r="AAF17" s="75"/>
      <c r="AAG17" s="75"/>
      <c r="AAH17" s="75"/>
      <c r="AAI17" s="75"/>
      <c r="AAJ17" s="75"/>
      <c r="AAK17" s="75"/>
      <c r="AAL17" s="75"/>
      <c r="AAM17" s="75"/>
      <c r="AAN17" s="75"/>
      <c r="AAO17" s="75"/>
      <c r="AAP17" s="75"/>
      <c r="AAQ17" s="75"/>
      <c r="AAR17" s="75"/>
      <c r="AAS17" s="75"/>
      <c r="AAT17" s="75"/>
      <c r="AAU17" s="75"/>
      <c r="AAV17" s="75"/>
      <c r="AAW17" s="75"/>
      <c r="AAX17" s="75"/>
      <c r="AAY17" s="75"/>
      <c r="AAZ17" s="75"/>
      <c r="ABA17" s="75"/>
      <c r="ABB17" s="75"/>
      <c r="ABC17" s="75"/>
    </row>
    <row r="18" spans="1:731">
      <c r="A18" s="75" t="s">
        <v>56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5"/>
      <c r="BF18" s="75"/>
      <c r="BG18" s="75"/>
      <c r="BH18" s="75"/>
      <c r="BI18" s="75"/>
      <c r="BJ18" s="75"/>
      <c r="BK18" s="75"/>
      <c r="BL18" s="75"/>
      <c r="BM18" s="75"/>
      <c r="BN18" s="75"/>
      <c r="BO18" s="75"/>
      <c r="BP18" s="75"/>
      <c r="BQ18" s="75"/>
      <c r="BR18" s="75"/>
      <c r="BS18" s="75"/>
      <c r="BT18" s="75"/>
      <c r="BU18" s="75"/>
      <c r="BV18" s="75"/>
      <c r="BW18" s="75"/>
      <c r="BX18" s="75"/>
      <c r="BY18" s="75"/>
      <c r="BZ18" s="75"/>
      <c r="CA18" s="75"/>
      <c r="CB18" s="75"/>
      <c r="CC18" s="75"/>
      <c r="CD18" s="75"/>
      <c r="CE18" s="75"/>
      <c r="CF18" s="75"/>
      <c r="CG18" s="75"/>
      <c r="CH18" s="75"/>
      <c r="CI18" s="75"/>
      <c r="CJ18" s="75"/>
      <c r="CK18" s="75"/>
      <c r="CL18" s="75"/>
      <c r="CM18" s="75"/>
      <c r="CN18" s="75"/>
      <c r="CO18" s="75"/>
      <c r="CP18" s="75"/>
      <c r="CQ18" s="75"/>
      <c r="CR18" s="75"/>
      <c r="CS18" s="75"/>
      <c r="CT18" s="75"/>
      <c r="CU18" s="75"/>
      <c r="CV18" s="75"/>
      <c r="CW18" s="75"/>
      <c r="CX18" s="75"/>
      <c r="CY18" s="75"/>
      <c r="CZ18" s="75"/>
      <c r="DA18" s="75"/>
      <c r="DB18" s="75"/>
      <c r="DC18" s="75"/>
      <c r="DD18" s="75"/>
      <c r="DE18" s="75"/>
      <c r="DF18" s="75"/>
      <c r="DG18" s="75"/>
      <c r="DH18" s="75"/>
      <c r="DI18" s="75"/>
      <c r="DJ18" s="75"/>
      <c r="DK18" s="75"/>
      <c r="DL18" s="75"/>
      <c r="DM18" s="75"/>
      <c r="DN18" s="75"/>
      <c r="DO18" s="75"/>
      <c r="DP18" s="75"/>
      <c r="DQ18" s="75"/>
      <c r="DR18" s="75"/>
      <c r="DS18" s="75"/>
      <c r="DT18" s="75"/>
      <c r="DU18" s="75"/>
      <c r="DV18" s="75"/>
      <c r="DW18" s="75"/>
      <c r="DX18" s="75"/>
      <c r="DY18" s="75"/>
      <c r="DZ18" s="75"/>
      <c r="EA18" s="75"/>
      <c r="EB18" s="75"/>
      <c r="EC18" s="75"/>
      <c r="ED18" s="75"/>
      <c r="EE18" s="75"/>
      <c r="EF18" s="75"/>
      <c r="EG18" s="75"/>
      <c r="EH18" s="75"/>
      <c r="EI18" s="75"/>
      <c r="EJ18" s="75"/>
      <c r="EK18" s="75"/>
      <c r="EL18" s="75"/>
      <c r="EM18" s="75"/>
      <c r="EN18" s="75"/>
      <c r="EO18" s="75"/>
      <c r="EP18" s="75"/>
      <c r="EQ18" s="75"/>
      <c r="ER18" s="75"/>
      <c r="ES18" s="75"/>
      <c r="ET18" s="75"/>
      <c r="EU18" s="75"/>
      <c r="EV18" s="75"/>
      <c r="EW18" s="75"/>
      <c r="EX18" s="75"/>
      <c r="EY18" s="75"/>
      <c r="EZ18" s="75"/>
      <c r="FA18" s="75"/>
      <c r="FB18" s="75"/>
      <c r="FC18" s="75"/>
      <c r="FD18" s="75"/>
      <c r="FE18" s="75"/>
      <c r="FF18" s="75"/>
      <c r="FG18" s="75"/>
      <c r="FH18" s="75"/>
      <c r="FI18" s="75"/>
      <c r="FJ18" s="75"/>
      <c r="FK18" s="75"/>
      <c r="FL18" s="75"/>
      <c r="FM18" s="75"/>
      <c r="FN18" s="75"/>
      <c r="FO18" s="75"/>
      <c r="FP18" s="75"/>
      <c r="FQ18" s="75"/>
      <c r="FR18" s="75"/>
      <c r="FS18" s="75"/>
      <c r="FT18" s="75"/>
      <c r="FU18" s="75"/>
      <c r="FV18" s="75"/>
      <c r="FW18" s="75"/>
      <c r="FX18" s="75"/>
      <c r="FY18" s="75"/>
      <c r="FZ18" s="75"/>
      <c r="GA18" s="75"/>
      <c r="GB18" s="75"/>
      <c r="GC18" s="75"/>
      <c r="GD18" s="75"/>
      <c r="GE18" s="75"/>
      <c r="GF18" s="75"/>
      <c r="GG18" s="75"/>
      <c r="GH18" s="75"/>
      <c r="GI18" s="75"/>
      <c r="GJ18" s="75"/>
      <c r="GK18" s="75"/>
      <c r="GL18" s="75"/>
      <c r="GM18" s="75"/>
      <c r="GN18" s="75"/>
      <c r="GO18" s="75"/>
      <c r="GP18" s="75"/>
      <c r="GQ18" s="75"/>
      <c r="GR18" s="75"/>
      <c r="GS18" s="75"/>
      <c r="GT18" s="75"/>
      <c r="GU18" s="75"/>
      <c r="GV18" s="75"/>
      <c r="GW18" s="75"/>
      <c r="GX18" s="75"/>
      <c r="GY18" s="75"/>
      <c r="GZ18" s="75"/>
      <c r="HA18" s="75"/>
      <c r="HB18" s="75"/>
      <c r="HC18" s="75"/>
      <c r="HD18" s="75"/>
      <c r="HE18" s="75"/>
      <c r="HF18" s="75"/>
      <c r="HG18" s="75"/>
      <c r="HH18" s="75"/>
      <c r="HI18" s="75"/>
      <c r="HJ18" s="75"/>
      <c r="HK18" s="75"/>
      <c r="HL18" s="75"/>
      <c r="HM18" s="75"/>
      <c r="HN18" s="75"/>
      <c r="HO18" s="75"/>
      <c r="HP18" s="75"/>
      <c r="HQ18" s="75"/>
      <c r="HR18" s="75"/>
      <c r="HS18" s="75"/>
      <c r="HT18" s="75"/>
      <c r="HU18" s="75"/>
      <c r="HV18" s="75"/>
      <c r="HW18" s="75"/>
      <c r="HX18" s="75"/>
      <c r="HY18" s="75"/>
      <c r="HZ18" s="75"/>
      <c r="IA18" s="75"/>
      <c r="IB18" s="75"/>
      <c r="IC18" s="75"/>
      <c r="ID18" s="75"/>
      <c r="IE18" s="75"/>
      <c r="IF18" s="75"/>
      <c r="IG18" s="75"/>
      <c r="IH18" s="75"/>
      <c r="II18" s="75"/>
      <c r="IJ18" s="75"/>
      <c r="IK18" s="75"/>
      <c r="IL18" s="75"/>
      <c r="IM18" s="75"/>
      <c r="IN18" s="75"/>
      <c r="IO18" s="75"/>
      <c r="IP18" s="75"/>
      <c r="IQ18" s="75"/>
      <c r="IR18" s="75"/>
      <c r="IS18" s="75"/>
      <c r="IT18" s="75"/>
      <c r="IU18" s="75"/>
      <c r="IV18" s="75"/>
      <c r="IW18" s="75"/>
      <c r="IX18" s="75"/>
      <c r="IY18" s="75"/>
      <c r="IZ18" s="75"/>
      <c r="JA18" s="75"/>
      <c r="JB18" s="75"/>
      <c r="JC18" s="75"/>
      <c r="JD18" s="75"/>
      <c r="JE18" s="75"/>
      <c r="JF18" s="75"/>
      <c r="JG18" s="75"/>
      <c r="JH18" s="75"/>
      <c r="JI18" s="75"/>
      <c r="JJ18" s="75"/>
      <c r="JK18" s="75"/>
      <c r="JL18" s="75"/>
      <c r="JM18" s="75"/>
      <c r="JN18" s="75"/>
      <c r="JO18" s="75"/>
      <c r="JP18" s="75"/>
      <c r="JQ18" s="75"/>
      <c r="JR18" s="75"/>
      <c r="JS18" s="75"/>
      <c r="JT18" s="75"/>
      <c r="JU18" s="75"/>
      <c r="JV18" s="75"/>
      <c r="JW18" s="75"/>
      <c r="JX18" s="75"/>
      <c r="JY18" s="75"/>
      <c r="JZ18" s="75"/>
      <c r="KA18" s="75"/>
      <c r="KB18" s="75"/>
      <c r="KC18" s="75"/>
      <c r="KD18" s="75"/>
      <c r="KE18" s="75"/>
      <c r="KF18" s="75"/>
      <c r="KG18" s="75"/>
      <c r="KH18" s="75"/>
      <c r="KI18" s="75"/>
      <c r="KJ18" s="75"/>
      <c r="KK18" s="75"/>
      <c r="KL18" s="75"/>
      <c r="KM18" s="75"/>
      <c r="KN18" s="75"/>
      <c r="KO18" s="75"/>
      <c r="KP18" s="75"/>
      <c r="KQ18" s="75"/>
      <c r="KR18" s="75"/>
      <c r="KS18" s="75"/>
      <c r="KT18" s="75"/>
      <c r="KU18" s="75"/>
      <c r="KV18" s="75"/>
      <c r="KW18" s="75"/>
      <c r="KX18" s="75"/>
      <c r="KY18" s="75"/>
      <c r="KZ18" s="75"/>
      <c r="LA18" s="75"/>
      <c r="LB18" s="75"/>
      <c r="LC18" s="75"/>
      <c r="LD18" s="75"/>
      <c r="LE18" s="75"/>
      <c r="LF18" s="75"/>
      <c r="LG18" s="75"/>
      <c r="LH18" s="75"/>
      <c r="LI18" s="75"/>
      <c r="LJ18" s="75"/>
      <c r="LK18" s="75"/>
      <c r="LL18" s="75"/>
      <c r="LM18" s="75"/>
      <c r="LN18" s="75"/>
      <c r="LO18" s="75"/>
      <c r="LP18" s="75"/>
      <c r="LQ18" s="75"/>
      <c r="LR18" s="75"/>
      <c r="LS18" s="75"/>
      <c r="LT18" s="75"/>
      <c r="LU18" s="75"/>
      <c r="LV18" s="75"/>
      <c r="LW18" s="75"/>
      <c r="LX18" s="75"/>
      <c r="LY18" s="75"/>
      <c r="LZ18" s="75"/>
      <c r="MA18" s="75"/>
      <c r="MB18" s="75"/>
      <c r="MC18" s="75"/>
      <c r="MD18" s="75"/>
      <c r="ME18" s="75"/>
      <c r="MF18" s="75"/>
      <c r="MG18" s="75"/>
      <c r="MH18" s="75"/>
      <c r="MI18" s="75"/>
      <c r="MJ18" s="75"/>
      <c r="MK18" s="75"/>
      <c r="ML18" s="75"/>
      <c r="MM18" s="75"/>
      <c r="MN18" s="75"/>
      <c r="MO18" s="75"/>
      <c r="MP18" s="75"/>
      <c r="MQ18" s="75"/>
      <c r="MR18" s="75"/>
      <c r="MS18" s="75"/>
      <c r="MT18" s="75"/>
      <c r="MU18" s="75"/>
      <c r="MV18" s="75"/>
      <c r="MW18" s="75"/>
      <c r="MX18" s="75"/>
      <c r="MY18" s="75"/>
      <c r="MZ18" s="75"/>
      <c r="NA18" s="75"/>
      <c r="NB18" s="75"/>
      <c r="NC18" s="75"/>
      <c r="ND18" s="75"/>
      <c r="NE18" s="75"/>
      <c r="NF18" s="75"/>
      <c r="NG18" s="75"/>
      <c r="NH18" s="75"/>
      <c r="NI18" s="75"/>
      <c r="NJ18" s="75"/>
      <c r="NK18" s="75"/>
      <c r="NL18" s="75"/>
      <c r="NM18" s="75"/>
      <c r="NN18" s="75"/>
      <c r="NO18" s="75"/>
      <c r="NP18" s="75"/>
      <c r="NQ18" s="75"/>
      <c r="NR18" s="75"/>
      <c r="NS18" s="75"/>
      <c r="NT18" s="75"/>
      <c r="NU18" s="75"/>
      <c r="NV18" s="75"/>
      <c r="NW18" s="75"/>
      <c r="NX18" s="75"/>
      <c r="NY18" s="75"/>
      <c r="NZ18" s="75"/>
      <c r="OA18" s="75"/>
      <c r="OB18" s="75">
        <v>2</v>
      </c>
      <c r="OC18" s="75">
        <v>10</v>
      </c>
      <c r="OD18" s="75">
        <v>10</v>
      </c>
      <c r="OE18" s="75">
        <v>10</v>
      </c>
      <c r="OF18" s="75"/>
      <c r="OG18" s="75">
        <v>10</v>
      </c>
      <c r="OH18" s="75">
        <v>10</v>
      </c>
      <c r="OI18" s="75">
        <v>10</v>
      </c>
      <c r="OJ18" s="75">
        <v>10</v>
      </c>
      <c r="OK18" s="75">
        <v>12</v>
      </c>
      <c r="OL18" s="75">
        <v>20</v>
      </c>
      <c r="OM18" s="75"/>
      <c r="ON18" s="75">
        <v>18</v>
      </c>
      <c r="OO18" s="75">
        <v>10</v>
      </c>
      <c r="OP18" s="75">
        <v>10</v>
      </c>
      <c r="OQ18" s="75">
        <v>10</v>
      </c>
      <c r="OR18" s="75">
        <v>10</v>
      </c>
      <c r="OS18" s="75">
        <v>10</v>
      </c>
      <c r="OT18" s="75"/>
      <c r="OU18" s="75">
        <v>10</v>
      </c>
      <c r="OV18" s="75">
        <v>10</v>
      </c>
      <c r="OW18" s="75">
        <v>8</v>
      </c>
      <c r="OX18" s="75"/>
      <c r="OY18" s="75"/>
      <c r="OZ18" s="75">
        <v>4</v>
      </c>
      <c r="PA18" s="75"/>
      <c r="PB18" s="75">
        <v>22</v>
      </c>
      <c r="PC18" s="75">
        <v>30</v>
      </c>
      <c r="PD18" s="75">
        <v>30</v>
      </c>
      <c r="PE18" s="75">
        <v>30</v>
      </c>
      <c r="PF18" s="75">
        <v>30</v>
      </c>
      <c r="PG18" s="75">
        <v>30</v>
      </c>
      <c r="PH18" s="75"/>
      <c r="PI18" s="75">
        <v>30</v>
      </c>
      <c r="PJ18" s="75">
        <v>30</v>
      </c>
      <c r="PK18" s="75">
        <v>30</v>
      </c>
      <c r="PL18" s="75">
        <v>26</v>
      </c>
      <c r="PM18" s="75">
        <v>8</v>
      </c>
      <c r="PN18" s="75"/>
      <c r="PO18" s="75"/>
      <c r="PP18" s="75"/>
      <c r="PQ18" s="75"/>
      <c r="PR18" s="75"/>
      <c r="PS18" s="75"/>
      <c r="PT18" s="75">
        <v>4</v>
      </c>
      <c r="PU18" s="75">
        <v>20</v>
      </c>
      <c r="PV18" s="75"/>
      <c r="PW18" s="75">
        <v>20</v>
      </c>
      <c r="PX18" s="75">
        <v>20</v>
      </c>
      <c r="PY18" s="75">
        <v>20</v>
      </c>
      <c r="PZ18" s="75">
        <v>20</v>
      </c>
      <c r="QA18" s="75">
        <v>20</v>
      </c>
      <c r="QB18" s="75">
        <v>20</v>
      </c>
      <c r="QC18" s="75"/>
      <c r="QD18" s="75">
        <v>20</v>
      </c>
      <c r="QE18" s="75">
        <v>24</v>
      </c>
      <c r="QF18" s="75">
        <v>36</v>
      </c>
      <c r="QG18" s="75">
        <v>20</v>
      </c>
      <c r="QH18" s="75">
        <v>20</v>
      </c>
      <c r="QI18" s="75">
        <v>20</v>
      </c>
      <c r="QJ18" s="75"/>
      <c r="QK18" s="75">
        <v>20</v>
      </c>
      <c r="QL18" s="75">
        <v>20</v>
      </c>
      <c r="QM18" s="75">
        <v>20</v>
      </c>
      <c r="QN18" s="75">
        <v>20</v>
      </c>
      <c r="QO18" s="75">
        <v>20</v>
      </c>
      <c r="QP18" s="75">
        <v>16</v>
      </c>
      <c r="QQ18" s="75"/>
      <c r="QR18" s="75"/>
      <c r="QS18" s="75"/>
      <c r="QT18" s="75"/>
      <c r="QU18" s="75"/>
      <c r="QV18" s="75"/>
      <c r="QW18" s="75"/>
      <c r="QX18" s="75"/>
      <c r="QY18" s="75"/>
      <c r="QZ18" s="75">
        <v>2</v>
      </c>
      <c r="RA18" s="75">
        <v>8</v>
      </c>
      <c r="RB18" s="75">
        <v>9</v>
      </c>
      <c r="RC18" s="75">
        <v>12</v>
      </c>
      <c r="RD18" s="75">
        <v>12</v>
      </c>
      <c r="RE18" s="75"/>
      <c r="RF18" s="75">
        <v>12</v>
      </c>
      <c r="RG18" s="75">
        <v>12</v>
      </c>
      <c r="RH18" s="75">
        <v>12</v>
      </c>
      <c r="RI18" s="75">
        <v>12</v>
      </c>
      <c r="RJ18" s="75">
        <v>12</v>
      </c>
      <c r="RK18" s="75">
        <v>12</v>
      </c>
      <c r="RL18" s="75"/>
      <c r="RM18" s="75">
        <v>12</v>
      </c>
      <c r="RN18" s="75">
        <v>10</v>
      </c>
      <c r="RO18" s="75"/>
      <c r="RP18" s="75"/>
      <c r="RQ18" s="75"/>
      <c r="RR18" s="75">
        <v>2</v>
      </c>
      <c r="RS18" s="75"/>
      <c r="RT18" s="75">
        <v>8</v>
      </c>
      <c r="RU18" s="75">
        <v>10</v>
      </c>
      <c r="RV18" s="75">
        <v>20</v>
      </c>
      <c r="RW18" s="75">
        <v>27</v>
      </c>
      <c r="RX18" s="75">
        <v>34</v>
      </c>
      <c r="RY18" s="75">
        <v>34</v>
      </c>
      <c r="RZ18" s="75"/>
      <c r="SA18" s="75">
        <v>36</v>
      </c>
      <c r="SB18" s="75">
        <v>42</v>
      </c>
      <c r="SC18" s="75">
        <v>42</v>
      </c>
      <c r="SD18" s="75">
        <v>50</v>
      </c>
      <c r="SE18" s="75">
        <v>58</v>
      </c>
      <c r="SF18" s="75">
        <v>60</v>
      </c>
      <c r="SG18" s="75"/>
      <c r="SH18" s="75">
        <v>56</v>
      </c>
      <c r="SI18" s="75">
        <v>60</v>
      </c>
      <c r="SJ18" s="75">
        <v>50</v>
      </c>
      <c r="SK18" s="75">
        <v>50</v>
      </c>
      <c r="SL18" s="75">
        <v>58</v>
      </c>
      <c r="SM18" s="75">
        <v>61</v>
      </c>
      <c r="SN18" s="75"/>
      <c r="SO18" s="75">
        <v>58</v>
      </c>
      <c r="SP18" s="75">
        <v>54</v>
      </c>
      <c r="SQ18" s="75">
        <v>54</v>
      </c>
      <c r="SR18" s="75">
        <v>52</v>
      </c>
      <c r="SS18" s="75">
        <v>36</v>
      </c>
      <c r="ST18" s="75">
        <v>32</v>
      </c>
      <c r="SU18" s="75"/>
      <c r="SV18" s="75">
        <v>24</v>
      </c>
      <c r="SW18" s="75">
        <v>22</v>
      </c>
      <c r="SX18" s="75">
        <v>24</v>
      </c>
      <c r="SY18" s="75">
        <v>28</v>
      </c>
      <c r="SZ18" s="75">
        <v>10</v>
      </c>
      <c r="TA18" s="75">
        <v>8</v>
      </c>
      <c r="TB18" s="75"/>
      <c r="TC18" s="75">
        <v>8</v>
      </c>
      <c r="TD18" s="75">
        <v>9</v>
      </c>
      <c r="TE18" s="75">
        <v>12</v>
      </c>
      <c r="TF18" s="75">
        <v>12</v>
      </c>
      <c r="TG18" s="75">
        <v>12</v>
      </c>
      <c r="TH18" s="75">
        <v>12</v>
      </c>
      <c r="TI18" s="75"/>
      <c r="TJ18" s="75">
        <v>12</v>
      </c>
      <c r="TK18" s="75">
        <v>12</v>
      </c>
      <c r="TL18" s="75">
        <v>12</v>
      </c>
      <c r="TM18" s="75">
        <v>12</v>
      </c>
      <c r="TN18" s="75">
        <v>12</v>
      </c>
      <c r="TO18" s="75">
        <v>10</v>
      </c>
      <c r="TP18" s="75"/>
      <c r="TQ18" s="75">
        <v>1</v>
      </c>
      <c r="TR18" s="75">
        <v>2</v>
      </c>
      <c r="TS18" s="75">
        <v>3</v>
      </c>
      <c r="TT18" s="75">
        <v>4</v>
      </c>
      <c r="TU18" s="75">
        <v>4</v>
      </c>
      <c r="TV18" s="75">
        <v>4</v>
      </c>
      <c r="TW18" s="75"/>
      <c r="TX18" s="75">
        <v>4</v>
      </c>
      <c r="TY18" s="75">
        <v>4</v>
      </c>
      <c r="TZ18" s="75">
        <v>4</v>
      </c>
      <c r="UA18" s="75">
        <v>6</v>
      </c>
      <c r="UB18" s="75">
        <v>8</v>
      </c>
      <c r="UC18" s="75">
        <v>10</v>
      </c>
      <c r="UD18" s="75"/>
      <c r="UE18" s="75">
        <v>12</v>
      </c>
      <c r="UF18" s="75">
        <v>12</v>
      </c>
      <c r="UG18" s="75">
        <v>12</v>
      </c>
      <c r="UH18" s="75">
        <v>11</v>
      </c>
      <c r="UI18" s="75">
        <v>10</v>
      </c>
      <c r="UJ18" s="75">
        <v>9</v>
      </c>
      <c r="UK18" s="75"/>
      <c r="UL18" s="75">
        <v>8</v>
      </c>
      <c r="UM18" s="75">
        <v>6</v>
      </c>
      <c r="UN18" s="75">
        <v>4</v>
      </c>
      <c r="UO18" s="75">
        <v>2</v>
      </c>
      <c r="UP18" s="75"/>
      <c r="UQ18" s="75"/>
      <c r="UR18" s="75"/>
      <c r="US18" s="75"/>
      <c r="UT18" s="75"/>
      <c r="UU18" s="75"/>
      <c r="UV18" s="75"/>
      <c r="UW18" s="75"/>
      <c r="UX18" s="75"/>
      <c r="UY18" s="75"/>
      <c r="UZ18" s="75"/>
      <c r="VA18" s="75"/>
      <c r="VB18" s="75"/>
      <c r="VC18" s="75"/>
      <c r="VD18" s="75"/>
      <c r="VE18" s="75"/>
      <c r="VF18" s="75"/>
      <c r="VG18" s="75"/>
      <c r="VH18" s="75"/>
      <c r="VI18" s="75"/>
      <c r="VJ18" s="75"/>
      <c r="VK18" s="75"/>
      <c r="VL18" s="75"/>
      <c r="VM18" s="75"/>
      <c r="VN18" s="75"/>
      <c r="VO18" s="75"/>
      <c r="VP18" s="75"/>
      <c r="VQ18" s="75"/>
      <c r="VR18" s="75"/>
      <c r="VS18" s="75"/>
      <c r="VT18" s="75"/>
      <c r="VU18" s="75"/>
      <c r="VV18" s="75"/>
      <c r="VW18" s="75"/>
      <c r="VX18" s="75"/>
      <c r="VY18" s="75"/>
      <c r="VZ18" s="75"/>
      <c r="WA18" s="75"/>
      <c r="WB18" s="75"/>
      <c r="WC18" s="75"/>
      <c r="WD18" s="75"/>
      <c r="WE18" s="75"/>
      <c r="WF18" s="75"/>
      <c r="WG18" s="75"/>
      <c r="WH18" s="75"/>
      <c r="WI18" s="75"/>
      <c r="WJ18" s="75"/>
      <c r="WK18" s="75"/>
      <c r="WL18" s="75"/>
      <c r="WM18" s="75"/>
      <c r="WN18" s="75"/>
      <c r="WO18" s="75"/>
      <c r="WP18" s="75"/>
      <c r="WQ18" s="75"/>
      <c r="WR18" s="75"/>
      <c r="WS18" s="75"/>
      <c r="WT18" s="75"/>
      <c r="WU18" s="75"/>
      <c r="WV18" s="75"/>
      <c r="WW18" s="75"/>
      <c r="WX18" s="75"/>
      <c r="WY18" s="75"/>
      <c r="WZ18" s="75"/>
      <c r="XA18" s="75"/>
      <c r="XB18" s="75"/>
      <c r="XC18" s="75"/>
      <c r="XD18" s="75"/>
      <c r="XE18" s="75"/>
      <c r="XF18" s="75"/>
      <c r="XG18" s="75"/>
      <c r="XH18" s="75"/>
      <c r="XI18" s="75"/>
      <c r="XJ18" s="75"/>
      <c r="XK18" s="75"/>
      <c r="XL18" s="75"/>
      <c r="XM18" s="75"/>
      <c r="XN18" s="75"/>
      <c r="XO18" s="75"/>
      <c r="XP18" s="75"/>
      <c r="XQ18" s="75"/>
      <c r="XR18" s="75"/>
      <c r="XS18" s="75"/>
      <c r="XT18" s="75"/>
      <c r="XU18" s="75"/>
      <c r="XV18" s="75"/>
      <c r="XW18" s="75"/>
      <c r="XX18" s="75"/>
      <c r="XY18" s="75"/>
      <c r="XZ18" s="75"/>
      <c r="YA18" s="75"/>
      <c r="YB18" s="75"/>
      <c r="YC18" s="75"/>
      <c r="YD18" s="75"/>
      <c r="YE18" s="75"/>
      <c r="YF18" s="75"/>
      <c r="YG18" s="75"/>
      <c r="YH18" s="75"/>
      <c r="YI18" s="75"/>
      <c r="YJ18" s="75"/>
      <c r="YK18" s="75"/>
      <c r="YL18" s="75"/>
      <c r="YM18" s="75"/>
      <c r="YN18" s="75"/>
      <c r="YO18" s="75"/>
      <c r="YP18" s="75"/>
      <c r="YQ18" s="75"/>
      <c r="YR18" s="75"/>
      <c r="YS18" s="75"/>
      <c r="YT18" s="75"/>
      <c r="YU18" s="75"/>
      <c r="YV18" s="75"/>
      <c r="YW18" s="75"/>
      <c r="YX18" s="75"/>
      <c r="YY18" s="75"/>
      <c r="YZ18" s="75"/>
      <c r="ZA18" s="75"/>
      <c r="ZB18" s="75"/>
      <c r="ZC18" s="75"/>
      <c r="ZD18" s="75"/>
      <c r="ZE18" s="75"/>
      <c r="ZF18" s="75"/>
      <c r="ZG18" s="75"/>
      <c r="ZH18" s="75"/>
      <c r="ZI18" s="75"/>
      <c r="ZJ18" s="75"/>
      <c r="ZK18" s="75"/>
      <c r="ZL18" s="75"/>
      <c r="ZM18" s="75"/>
      <c r="ZN18" s="75"/>
      <c r="ZO18" s="75"/>
      <c r="ZP18" s="75"/>
      <c r="ZQ18" s="75"/>
      <c r="ZR18" s="75"/>
      <c r="ZS18" s="75"/>
      <c r="ZT18" s="75"/>
      <c r="ZU18" s="75"/>
      <c r="ZV18" s="75"/>
      <c r="ZW18" s="75"/>
      <c r="ZX18" s="75"/>
      <c r="ZY18" s="75"/>
      <c r="ZZ18" s="75"/>
      <c r="AAA18" s="75"/>
      <c r="AAB18" s="75"/>
      <c r="AAC18" s="75"/>
      <c r="AAD18" s="75"/>
      <c r="AAE18" s="75"/>
      <c r="AAF18" s="75"/>
      <c r="AAG18" s="75"/>
      <c r="AAH18" s="75"/>
      <c r="AAI18" s="75"/>
      <c r="AAJ18" s="75"/>
      <c r="AAK18" s="75"/>
      <c r="AAL18" s="75"/>
      <c r="AAM18" s="75"/>
      <c r="AAN18" s="75"/>
      <c r="AAO18" s="75"/>
      <c r="AAP18" s="75"/>
      <c r="AAQ18" s="75"/>
      <c r="AAR18" s="75"/>
      <c r="AAS18" s="75"/>
      <c r="AAT18" s="75"/>
      <c r="AAU18" s="75"/>
      <c r="AAV18" s="75"/>
      <c r="AAW18" s="75"/>
      <c r="AAX18" s="75"/>
      <c r="AAY18" s="75"/>
      <c r="AAZ18" s="75"/>
      <c r="ABA18" s="75"/>
      <c r="ABB18" s="75"/>
      <c r="ABC18" s="75"/>
    </row>
    <row r="19" spans="1:731">
      <c r="A19" s="75" t="s">
        <v>57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5"/>
      <c r="BF19" s="75"/>
      <c r="BG19" s="75"/>
      <c r="BH19" s="75"/>
      <c r="BI19" s="75"/>
      <c r="BJ19" s="75"/>
      <c r="BK19" s="75"/>
      <c r="BL19" s="75"/>
      <c r="BM19" s="75"/>
      <c r="BN19" s="75"/>
      <c r="BO19" s="75"/>
      <c r="BP19" s="75"/>
      <c r="BQ19" s="75"/>
      <c r="BR19" s="75"/>
      <c r="BS19" s="75"/>
      <c r="BT19" s="75"/>
      <c r="BU19" s="75"/>
      <c r="BV19" s="75"/>
      <c r="BW19" s="75"/>
      <c r="BX19" s="75"/>
      <c r="BY19" s="75"/>
      <c r="BZ19" s="75"/>
      <c r="CA19" s="75"/>
      <c r="CB19" s="75"/>
      <c r="CC19" s="75"/>
      <c r="CD19" s="75"/>
      <c r="CE19" s="75"/>
      <c r="CF19" s="75"/>
      <c r="CG19" s="75"/>
      <c r="CH19" s="75"/>
      <c r="CI19" s="75"/>
      <c r="CJ19" s="75"/>
      <c r="CK19" s="75"/>
      <c r="CL19" s="75"/>
      <c r="CM19" s="75"/>
      <c r="CN19" s="75"/>
      <c r="CO19" s="75"/>
      <c r="CP19" s="75"/>
      <c r="CQ19" s="75"/>
      <c r="CR19" s="75"/>
      <c r="CS19" s="75"/>
      <c r="CT19" s="75"/>
      <c r="CU19" s="75"/>
      <c r="CV19" s="75"/>
      <c r="CW19" s="75"/>
      <c r="CX19" s="75"/>
      <c r="CY19" s="75"/>
      <c r="CZ19" s="75"/>
      <c r="DA19" s="75"/>
      <c r="DB19" s="75"/>
      <c r="DC19" s="75"/>
      <c r="DD19" s="75"/>
      <c r="DE19" s="75"/>
      <c r="DF19" s="75"/>
      <c r="DG19" s="75"/>
      <c r="DH19" s="75"/>
      <c r="DI19" s="75"/>
      <c r="DJ19" s="75"/>
      <c r="DK19" s="75"/>
      <c r="DL19" s="75"/>
      <c r="DM19" s="75"/>
      <c r="DN19" s="75"/>
      <c r="DO19" s="75"/>
      <c r="DP19" s="75"/>
      <c r="DQ19" s="75"/>
      <c r="DR19" s="75"/>
      <c r="DS19" s="75"/>
      <c r="DT19" s="75"/>
      <c r="DU19" s="75"/>
      <c r="DV19" s="75"/>
      <c r="DW19" s="75"/>
      <c r="DX19" s="75"/>
      <c r="DY19" s="75"/>
      <c r="DZ19" s="75"/>
      <c r="EA19" s="75"/>
      <c r="EB19" s="75"/>
      <c r="EC19" s="75"/>
      <c r="ED19" s="75"/>
      <c r="EE19" s="75"/>
      <c r="EF19" s="75"/>
      <c r="EG19" s="75"/>
      <c r="EH19" s="75"/>
      <c r="EI19" s="75"/>
      <c r="EJ19" s="75"/>
      <c r="EK19" s="75"/>
      <c r="EL19" s="75"/>
      <c r="EM19" s="75"/>
      <c r="EN19" s="75"/>
      <c r="EO19" s="75"/>
      <c r="EP19" s="75"/>
      <c r="EQ19" s="75"/>
      <c r="ER19" s="75"/>
      <c r="ES19" s="75"/>
      <c r="ET19" s="75"/>
      <c r="EU19" s="75"/>
      <c r="EV19" s="75"/>
      <c r="EW19" s="75"/>
      <c r="EX19" s="75"/>
      <c r="EY19" s="75"/>
      <c r="EZ19" s="75"/>
      <c r="FA19" s="75"/>
      <c r="FB19" s="75"/>
      <c r="FC19" s="75"/>
      <c r="FD19" s="75"/>
      <c r="FE19" s="75"/>
      <c r="FF19" s="75"/>
      <c r="FG19" s="75"/>
      <c r="FH19" s="75"/>
      <c r="FI19" s="75"/>
      <c r="FJ19" s="75"/>
      <c r="FK19" s="75"/>
      <c r="FL19" s="75"/>
      <c r="FM19" s="75"/>
      <c r="FN19" s="75"/>
      <c r="FO19" s="75"/>
      <c r="FP19" s="75"/>
      <c r="FQ19" s="75"/>
      <c r="FR19" s="75"/>
      <c r="FS19" s="75"/>
      <c r="FT19" s="75"/>
      <c r="FU19" s="75"/>
      <c r="FV19" s="75"/>
      <c r="FW19" s="75"/>
      <c r="FX19" s="75"/>
      <c r="FY19" s="75"/>
      <c r="FZ19" s="75"/>
      <c r="GA19" s="75"/>
      <c r="GB19" s="75"/>
      <c r="GC19" s="75"/>
      <c r="GD19" s="75"/>
      <c r="GE19" s="75"/>
      <c r="GF19" s="75"/>
      <c r="GG19" s="75"/>
      <c r="GH19" s="75"/>
      <c r="GI19" s="75"/>
      <c r="GJ19" s="75"/>
      <c r="GK19" s="75"/>
      <c r="GL19" s="75"/>
      <c r="GM19" s="75"/>
      <c r="GN19" s="75"/>
      <c r="GO19" s="75"/>
      <c r="GP19" s="75"/>
      <c r="GQ19" s="75"/>
      <c r="GR19" s="75"/>
      <c r="GS19" s="75"/>
      <c r="GT19" s="75"/>
      <c r="GU19" s="75"/>
      <c r="GV19" s="75"/>
      <c r="GW19" s="75"/>
      <c r="GX19" s="75"/>
      <c r="GY19" s="75"/>
      <c r="GZ19" s="75"/>
      <c r="HA19" s="75"/>
      <c r="HB19" s="75"/>
      <c r="HC19" s="75"/>
      <c r="HD19" s="75"/>
      <c r="HE19" s="75"/>
      <c r="HF19" s="75"/>
      <c r="HG19" s="75"/>
      <c r="HH19" s="75"/>
      <c r="HI19" s="75"/>
      <c r="HJ19" s="75"/>
      <c r="HK19" s="75"/>
      <c r="HL19" s="75"/>
      <c r="HM19" s="75"/>
      <c r="HN19" s="75"/>
      <c r="HO19" s="75"/>
      <c r="HP19" s="75"/>
      <c r="HQ19" s="75"/>
      <c r="HR19" s="75"/>
      <c r="HS19" s="75"/>
      <c r="HT19" s="75"/>
      <c r="HU19" s="75"/>
      <c r="HV19" s="75"/>
      <c r="HW19" s="75"/>
      <c r="HX19" s="75"/>
      <c r="HY19" s="75"/>
      <c r="HZ19" s="75"/>
      <c r="IA19" s="75"/>
      <c r="IB19" s="75"/>
      <c r="IC19" s="75"/>
      <c r="ID19" s="75"/>
      <c r="IE19" s="75"/>
      <c r="IF19" s="75"/>
      <c r="IG19" s="75"/>
      <c r="IH19" s="75"/>
      <c r="II19" s="75"/>
      <c r="IJ19" s="75"/>
      <c r="IK19" s="75"/>
      <c r="IL19" s="75"/>
      <c r="IM19" s="75"/>
      <c r="IN19" s="75"/>
      <c r="IO19" s="75"/>
      <c r="IP19" s="75"/>
      <c r="IQ19" s="75"/>
      <c r="IR19" s="75"/>
      <c r="IS19" s="75"/>
      <c r="IT19" s="75"/>
      <c r="IU19" s="75"/>
      <c r="IV19" s="75"/>
      <c r="IW19" s="75"/>
      <c r="IX19" s="75"/>
      <c r="IY19" s="75"/>
      <c r="IZ19" s="75"/>
      <c r="JA19" s="75"/>
      <c r="JB19" s="75"/>
      <c r="JC19" s="75"/>
      <c r="JD19" s="75"/>
      <c r="JE19" s="75"/>
      <c r="JF19" s="75"/>
      <c r="JG19" s="75"/>
      <c r="JH19" s="75"/>
      <c r="JI19" s="75"/>
      <c r="JJ19" s="75"/>
      <c r="JK19" s="75"/>
      <c r="JL19" s="75"/>
      <c r="JM19" s="75"/>
      <c r="JN19" s="75"/>
      <c r="JO19" s="75"/>
      <c r="JP19" s="75"/>
      <c r="JQ19" s="75"/>
      <c r="JR19" s="75"/>
      <c r="JS19" s="75"/>
      <c r="JT19" s="75"/>
      <c r="JU19" s="75"/>
      <c r="JV19" s="75"/>
      <c r="JW19" s="75"/>
      <c r="JX19" s="75"/>
      <c r="JY19" s="75"/>
      <c r="JZ19" s="75"/>
      <c r="KA19" s="75"/>
      <c r="KB19" s="75"/>
      <c r="KC19" s="75"/>
      <c r="KD19" s="75"/>
      <c r="KE19" s="75"/>
      <c r="KF19" s="75"/>
      <c r="KG19" s="75"/>
      <c r="KH19" s="75"/>
      <c r="KI19" s="75"/>
      <c r="KJ19" s="75"/>
      <c r="KK19" s="75"/>
      <c r="KL19" s="75"/>
      <c r="KM19" s="75"/>
      <c r="KN19" s="75"/>
      <c r="KO19" s="75"/>
      <c r="KP19" s="75"/>
      <c r="KQ19" s="75"/>
      <c r="KR19" s="75"/>
      <c r="KS19" s="75"/>
      <c r="KT19" s="75"/>
      <c r="KU19" s="75"/>
      <c r="KV19" s="75"/>
      <c r="KW19" s="75"/>
      <c r="KX19" s="75"/>
      <c r="KY19" s="75"/>
      <c r="KZ19" s="75"/>
      <c r="LA19" s="75"/>
      <c r="LB19" s="75"/>
      <c r="LC19" s="75"/>
      <c r="LD19" s="75"/>
      <c r="LE19" s="75"/>
      <c r="LF19" s="75"/>
      <c r="LG19" s="75"/>
      <c r="LH19" s="75"/>
      <c r="LI19" s="75"/>
      <c r="LJ19" s="75"/>
      <c r="LK19" s="75"/>
      <c r="LL19" s="75"/>
      <c r="LM19" s="75"/>
      <c r="LN19" s="75"/>
      <c r="LO19" s="75"/>
      <c r="LP19" s="75"/>
      <c r="LQ19" s="75"/>
      <c r="LR19" s="75"/>
      <c r="LS19" s="75"/>
      <c r="LT19" s="75"/>
      <c r="LU19" s="75"/>
      <c r="LV19" s="75"/>
      <c r="LW19" s="75"/>
      <c r="LX19" s="75"/>
      <c r="LY19" s="75"/>
      <c r="LZ19" s="75"/>
      <c r="MA19" s="75"/>
      <c r="MB19" s="75"/>
      <c r="MC19" s="75"/>
      <c r="MD19" s="75"/>
      <c r="ME19" s="75"/>
      <c r="MF19" s="75"/>
      <c r="MG19" s="75"/>
      <c r="MH19" s="75"/>
      <c r="MI19" s="75"/>
      <c r="MJ19" s="75"/>
      <c r="MK19" s="75"/>
      <c r="ML19" s="75"/>
      <c r="MM19" s="75"/>
      <c r="MN19" s="75"/>
      <c r="MO19" s="75"/>
      <c r="MP19" s="75"/>
      <c r="MQ19" s="75"/>
      <c r="MR19" s="75"/>
      <c r="MS19" s="75"/>
      <c r="MT19" s="75"/>
      <c r="MU19" s="75"/>
      <c r="MV19" s="75"/>
      <c r="MW19" s="75"/>
      <c r="MX19" s="75"/>
      <c r="MY19" s="75"/>
      <c r="MZ19" s="75"/>
      <c r="NA19" s="75"/>
      <c r="NB19" s="75"/>
      <c r="NC19" s="75"/>
      <c r="ND19" s="75"/>
      <c r="NE19" s="75"/>
      <c r="NF19" s="75"/>
      <c r="NG19" s="75"/>
      <c r="NH19" s="75"/>
      <c r="NI19" s="75"/>
      <c r="NJ19" s="75"/>
      <c r="NK19" s="75"/>
      <c r="NL19" s="75"/>
      <c r="NM19" s="75"/>
      <c r="NN19" s="75"/>
      <c r="NO19" s="75"/>
      <c r="NP19" s="75"/>
      <c r="NQ19" s="75"/>
      <c r="NR19" s="75"/>
      <c r="NS19" s="75"/>
      <c r="NT19" s="75"/>
      <c r="NU19" s="75"/>
      <c r="NV19" s="75"/>
      <c r="NW19" s="75"/>
      <c r="NX19" s="75"/>
      <c r="NY19" s="75"/>
      <c r="NZ19" s="75"/>
      <c r="OA19" s="75"/>
      <c r="OB19" s="75"/>
      <c r="OC19" s="75"/>
      <c r="OD19" s="75"/>
      <c r="OE19" s="75"/>
      <c r="OF19" s="75"/>
      <c r="OG19" s="75"/>
      <c r="OH19" s="75"/>
      <c r="OI19" s="75">
        <v>2</v>
      </c>
      <c r="OJ19" s="75">
        <v>8</v>
      </c>
      <c r="OK19" s="75">
        <v>8</v>
      </c>
      <c r="OL19" s="75">
        <v>8</v>
      </c>
      <c r="OM19" s="75"/>
      <c r="ON19" s="75">
        <v>8</v>
      </c>
      <c r="OO19" s="75">
        <v>8</v>
      </c>
      <c r="OP19" s="75">
        <v>8</v>
      </c>
      <c r="OQ19" s="75">
        <v>8</v>
      </c>
      <c r="OR19" s="75">
        <v>10</v>
      </c>
      <c r="OS19" s="75">
        <v>16</v>
      </c>
      <c r="OT19" s="75"/>
      <c r="OU19" s="75">
        <v>16</v>
      </c>
      <c r="OV19" s="75">
        <v>16</v>
      </c>
      <c r="OW19" s="75">
        <v>14</v>
      </c>
      <c r="OX19" s="75">
        <v>8</v>
      </c>
      <c r="OY19" s="75">
        <v>8</v>
      </c>
      <c r="OZ19" s="75">
        <v>8</v>
      </c>
      <c r="PA19" s="75"/>
      <c r="PB19" s="75">
        <v>8</v>
      </c>
      <c r="PC19" s="75">
        <v>8</v>
      </c>
      <c r="PD19" s="75">
        <v>8</v>
      </c>
      <c r="PE19" s="75">
        <v>8</v>
      </c>
      <c r="PF19" s="75">
        <v>6</v>
      </c>
      <c r="PG19" s="75">
        <v>3</v>
      </c>
      <c r="PH19" s="75"/>
      <c r="PI19" s="75">
        <v>18</v>
      </c>
      <c r="PJ19" s="75">
        <v>24</v>
      </c>
      <c r="PK19" s="75">
        <v>24</v>
      </c>
      <c r="PL19" s="75">
        <v>24</v>
      </c>
      <c r="PM19" s="75">
        <v>24</v>
      </c>
      <c r="PN19" s="75">
        <v>24</v>
      </c>
      <c r="PO19" s="75"/>
      <c r="PP19" s="75">
        <v>24</v>
      </c>
      <c r="PQ19" s="75">
        <v>24</v>
      </c>
      <c r="PR19" s="75">
        <v>24</v>
      </c>
      <c r="PS19" s="75">
        <v>21</v>
      </c>
      <c r="PT19" s="75">
        <v>8</v>
      </c>
      <c r="PU19" s="75">
        <v>8</v>
      </c>
      <c r="PV19" s="75"/>
      <c r="PW19" s="75">
        <v>6</v>
      </c>
      <c r="PX19" s="75"/>
      <c r="PY19" s="75"/>
      <c r="PZ19" s="75"/>
      <c r="QA19" s="75">
        <v>3</v>
      </c>
      <c r="QB19" s="75">
        <v>18</v>
      </c>
      <c r="QC19" s="75"/>
      <c r="QD19" s="75">
        <v>26</v>
      </c>
      <c r="QE19" s="75">
        <v>26</v>
      </c>
      <c r="QF19" s="75">
        <v>26</v>
      </c>
      <c r="QG19" s="75">
        <v>26</v>
      </c>
      <c r="QH19" s="75">
        <v>26</v>
      </c>
      <c r="QI19" s="75">
        <v>26</v>
      </c>
      <c r="QJ19" s="75"/>
      <c r="QK19" s="75">
        <v>26</v>
      </c>
      <c r="QL19" s="75">
        <v>27</v>
      </c>
      <c r="QM19" s="75">
        <v>29</v>
      </c>
      <c r="QN19" s="75">
        <v>16</v>
      </c>
      <c r="QO19" s="75">
        <v>16</v>
      </c>
      <c r="QP19" s="75">
        <v>16</v>
      </c>
      <c r="QQ19" s="75"/>
      <c r="QR19" s="75">
        <v>16</v>
      </c>
      <c r="QS19" s="75">
        <v>16</v>
      </c>
      <c r="QT19" s="75">
        <v>16</v>
      </c>
      <c r="QU19" s="75">
        <v>17</v>
      </c>
      <c r="QV19" s="75">
        <v>20</v>
      </c>
      <c r="QW19" s="75">
        <v>17</v>
      </c>
      <c r="QX19" s="75"/>
      <c r="QY19" s="75">
        <v>6</v>
      </c>
      <c r="QZ19" s="75">
        <v>14</v>
      </c>
      <c r="RA19" s="75">
        <v>14</v>
      </c>
      <c r="RB19" s="75">
        <v>14</v>
      </c>
      <c r="RC19" s="75">
        <v>14</v>
      </c>
      <c r="RD19" s="75">
        <v>14</v>
      </c>
      <c r="RE19" s="75"/>
      <c r="RF19" s="75">
        <v>14</v>
      </c>
      <c r="RG19" s="75">
        <v>14</v>
      </c>
      <c r="RH19" s="75">
        <v>12</v>
      </c>
      <c r="RI19" s="75">
        <v>6</v>
      </c>
      <c r="RJ19" s="75">
        <v>14</v>
      </c>
      <c r="RK19" s="75">
        <v>14</v>
      </c>
      <c r="RL19" s="75"/>
      <c r="RM19" s="75">
        <v>13</v>
      </c>
      <c r="RN19" s="75">
        <v>11</v>
      </c>
      <c r="RO19" s="75">
        <v>14</v>
      </c>
      <c r="RP19" s="75">
        <v>15</v>
      </c>
      <c r="RQ19" s="75">
        <v>18</v>
      </c>
      <c r="RR19" s="75">
        <v>16</v>
      </c>
      <c r="RS19" s="75"/>
      <c r="RT19" s="75">
        <v>8</v>
      </c>
      <c r="RU19" s="75">
        <v>8</v>
      </c>
      <c r="RV19" s="75">
        <v>8</v>
      </c>
      <c r="RW19" s="75">
        <v>8</v>
      </c>
      <c r="RX19" s="75">
        <v>8</v>
      </c>
      <c r="RY19" s="75">
        <v>8</v>
      </c>
      <c r="RZ19" s="75"/>
      <c r="SA19" s="75">
        <v>8</v>
      </c>
      <c r="SB19" s="75">
        <v>8</v>
      </c>
      <c r="SC19" s="75">
        <v>8</v>
      </c>
      <c r="SD19" s="75">
        <v>8</v>
      </c>
      <c r="SE19" s="75">
        <v>9</v>
      </c>
      <c r="SF19" s="75">
        <v>6</v>
      </c>
      <c r="SG19" s="75"/>
      <c r="SH19" s="75">
        <v>5</v>
      </c>
      <c r="SI19" s="75">
        <v>2</v>
      </c>
      <c r="SJ19" s="75">
        <v>2</v>
      </c>
      <c r="SK19" s="75">
        <v>2</v>
      </c>
      <c r="SL19" s="75">
        <v>4</v>
      </c>
      <c r="SM19" s="75">
        <v>4</v>
      </c>
      <c r="SN19" s="75"/>
      <c r="SO19" s="75">
        <v>4</v>
      </c>
      <c r="SP19" s="75">
        <v>4</v>
      </c>
      <c r="SQ19" s="75">
        <v>2</v>
      </c>
      <c r="SR19" s="75">
        <v>2</v>
      </c>
      <c r="SS19" s="75">
        <v>2</v>
      </c>
      <c r="ST19" s="75">
        <v>2</v>
      </c>
      <c r="SU19" s="75"/>
      <c r="SV19" s="75">
        <v>2</v>
      </c>
      <c r="SW19" s="75">
        <v>2</v>
      </c>
      <c r="SX19" s="75"/>
      <c r="SY19" s="75"/>
      <c r="SZ19" s="75"/>
      <c r="TA19" s="75">
        <v>6</v>
      </c>
      <c r="TB19" s="75"/>
      <c r="TC19" s="75">
        <v>12</v>
      </c>
      <c r="TD19" s="75">
        <v>12</v>
      </c>
      <c r="TE19" s="75">
        <v>12</v>
      </c>
      <c r="TF19" s="75">
        <v>12</v>
      </c>
      <c r="TG19" s="75">
        <v>12</v>
      </c>
      <c r="TH19" s="75">
        <v>24</v>
      </c>
      <c r="TI19" s="75"/>
      <c r="TJ19" s="75">
        <v>26</v>
      </c>
      <c r="TK19" s="75">
        <v>26</v>
      </c>
      <c r="TL19" s="75">
        <v>26</v>
      </c>
      <c r="TM19" s="75">
        <v>26</v>
      </c>
      <c r="TN19" s="75">
        <v>24</v>
      </c>
      <c r="TO19" s="75">
        <v>24</v>
      </c>
      <c r="TP19" s="75"/>
      <c r="TQ19" s="75">
        <v>24</v>
      </c>
      <c r="TR19" s="75">
        <v>24</v>
      </c>
      <c r="TS19" s="75">
        <v>18</v>
      </c>
      <c r="TT19" s="75">
        <v>10</v>
      </c>
      <c r="TU19" s="75">
        <v>10</v>
      </c>
      <c r="TV19" s="75">
        <v>10</v>
      </c>
      <c r="TW19" s="75"/>
      <c r="TX19" s="75">
        <v>10</v>
      </c>
      <c r="TY19" s="75">
        <v>10</v>
      </c>
      <c r="TZ19" s="75">
        <v>2</v>
      </c>
      <c r="UA19" s="75"/>
      <c r="UB19" s="75"/>
      <c r="UC19" s="75">
        <v>2</v>
      </c>
      <c r="UD19" s="75"/>
      <c r="UE19" s="75">
        <v>2</v>
      </c>
      <c r="UF19" s="75">
        <v>2</v>
      </c>
      <c r="UG19" s="75">
        <v>2</v>
      </c>
      <c r="UH19" s="75">
        <v>2</v>
      </c>
      <c r="UI19" s="75">
        <v>2</v>
      </c>
      <c r="UJ19" s="75">
        <v>2</v>
      </c>
      <c r="UK19" s="75"/>
      <c r="UL19" s="75">
        <v>2</v>
      </c>
      <c r="UM19" s="75">
        <v>2</v>
      </c>
      <c r="UN19" s="75">
        <v>2</v>
      </c>
      <c r="UO19" s="75"/>
      <c r="UP19" s="75"/>
      <c r="UQ19" s="75"/>
      <c r="UR19" s="75"/>
      <c r="US19" s="75"/>
      <c r="UT19" s="75">
        <v>6</v>
      </c>
      <c r="UU19" s="75">
        <v>10</v>
      </c>
      <c r="UV19" s="75">
        <v>16</v>
      </c>
      <c r="UW19" s="75">
        <v>20</v>
      </c>
      <c r="UX19" s="75">
        <v>20</v>
      </c>
      <c r="UY19" s="75"/>
      <c r="UZ19" s="75">
        <v>20</v>
      </c>
      <c r="VA19" s="75">
        <v>20</v>
      </c>
      <c r="VB19" s="75">
        <v>20</v>
      </c>
      <c r="VC19" s="75">
        <v>20</v>
      </c>
      <c r="VD19" s="75">
        <v>20</v>
      </c>
      <c r="VE19" s="75">
        <v>14</v>
      </c>
      <c r="VF19" s="75"/>
      <c r="VG19" s="75">
        <v>10</v>
      </c>
      <c r="VH19" s="75">
        <v>4</v>
      </c>
      <c r="VI19" s="75"/>
      <c r="VJ19" s="75"/>
      <c r="VK19" s="75"/>
      <c r="VL19" s="75"/>
      <c r="VM19" s="75"/>
      <c r="VN19" s="75"/>
      <c r="VO19" s="75"/>
      <c r="VP19" s="75"/>
      <c r="VQ19" s="75"/>
      <c r="VR19" s="75"/>
      <c r="VS19" s="75"/>
      <c r="VT19" s="75"/>
      <c r="VU19" s="75"/>
      <c r="VV19" s="75"/>
      <c r="VW19" s="75"/>
      <c r="VX19" s="75"/>
      <c r="VY19" s="75"/>
      <c r="VZ19" s="75"/>
      <c r="WA19" s="75"/>
      <c r="WB19" s="75"/>
      <c r="WC19" s="75"/>
      <c r="WD19" s="75"/>
      <c r="WE19" s="75"/>
      <c r="WF19" s="75"/>
      <c r="WG19" s="75"/>
      <c r="WH19" s="75"/>
      <c r="WI19" s="75"/>
      <c r="WJ19" s="75"/>
      <c r="WK19" s="75"/>
      <c r="WL19" s="75"/>
      <c r="WM19" s="75"/>
      <c r="WN19" s="75"/>
      <c r="WO19" s="75"/>
      <c r="WP19" s="75"/>
      <c r="WQ19" s="75"/>
      <c r="WR19" s="75"/>
      <c r="WS19" s="75"/>
      <c r="WT19" s="75"/>
      <c r="WU19" s="75"/>
      <c r="WV19" s="75"/>
      <c r="WW19" s="75"/>
      <c r="WX19" s="75"/>
      <c r="WY19" s="75"/>
      <c r="WZ19" s="75"/>
      <c r="XA19" s="75"/>
      <c r="XB19" s="75"/>
      <c r="XC19" s="75"/>
      <c r="XD19" s="75"/>
      <c r="XE19" s="75"/>
      <c r="XF19" s="75"/>
      <c r="XG19" s="75"/>
      <c r="XH19" s="75"/>
      <c r="XI19" s="75"/>
      <c r="XJ19" s="75"/>
      <c r="XK19" s="75"/>
      <c r="XL19" s="75"/>
      <c r="XM19" s="75"/>
      <c r="XN19" s="75"/>
      <c r="XO19" s="75"/>
      <c r="XP19" s="75"/>
      <c r="XQ19" s="75"/>
      <c r="XR19" s="75"/>
      <c r="XS19" s="75"/>
      <c r="XT19" s="75"/>
      <c r="XU19" s="75"/>
      <c r="XV19" s="75"/>
      <c r="XW19" s="75"/>
      <c r="XX19" s="75"/>
      <c r="XY19" s="75"/>
      <c r="XZ19" s="75"/>
      <c r="YA19" s="75"/>
      <c r="YB19" s="75"/>
      <c r="YC19" s="75"/>
      <c r="YD19" s="75"/>
      <c r="YE19" s="75"/>
      <c r="YF19" s="75"/>
      <c r="YG19" s="75"/>
      <c r="YH19" s="75"/>
      <c r="YI19" s="75"/>
      <c r="YJ19" s="75"/>
      <c r="YK19" s="75"/>
      <c r="YL19" s="75"/>
      <c r="YM19" s="75"/>
      <c r="YN19" s="75"/>
      <c r="YO19" s="75"/>
      <c r="YP19" s="75"/>
      <c r="YQ19" s="75"/>
      <c r="YR19" s="75"/>
      <c r="YS19" s="75"/>
      <c r="YT19" s="75"/>
      <c r="YU19" s="75"/>
      <c r="YV19" s="75"/>
      <c r="YW19" s="75"/>
      <c r="YX19" s="75"/>
      <c r="YY19" s="75"/>
      <c r="YZ19" s="75"/>
      <c r="ZA19" s="75"/>
      <c r="ZB19" s="75"/>
      <c r="ZC19" s="75"/>
      <c r="ZD19" s="75"/>
      <c r="ZE19" s="75"/>
      <c r="ZF19" s="75"/>
      <c r="ZG19" s="75"/>
      <c r="ZH19" s="75"/>
      <c r="ZI19" s="75"/>
      <c r="ZJ19" s="75"/>
      <c r="ZK19" s="75"/>
      <c r="ZL19" s="75"/>
      <c r="ZM19" s="75"/>
      <c r="ZN19" s="75"/>
      <c r="ZO19" s="75"/>
      <c r="ZP19" s="75"/>
      <c r="ZQ19" s="75"/>
      <c r="ZR19" s="75"/>
      <c r="ZS19" s="75"/>
      <c r="ZT19" s="75"/>
      <c r="ZU19" s="75"/>
      <c r="ZV19" s="75"/>
      <c r="ZW19" s="75"/>
      <c r="ZX19" s="75"/>
      <c r="ZY19" s="75"/>
      <c r="ZZ19" s="75"/>
      <c r="AAA19" s="75"/>
      <c r="AAB19" s="75"/>
      <c r="AAC19" s="75"/>
      <c r="AAD19" s="75"/>
      <c r="AAE19" s="75"/>
      <c r="AAF19" s="75"/>
      <c r="AAG19" s="75"/>
      <c r="AAH19" s="75"/>
      <c r="AAI19" s="75"/>
      <c r="AAJ19" s="75"/>
      <c r="AAK19" s="75"/>
      <c r="AAL19" s="75"/>
      <c r="AAM19" s="75"/>
      <c r="AAN19" s="75"/>
      <c r="AAO19" s="75"/>
      <c r="AAP19" s="75"/>
      <c r="AAQ19" s="75"/>
      <c r="AAR19" s="75"/>
      <c r="AAS19" s="75"/>
      <c r="AAT19" s="75"/>
      <c r="AAU19" s="75"/>
      <c r="AAV19" s="75"/>
      <c r="AAW19" s="75"/>
      <c r="AAX19" s="75"/>
      <c r="AAY19" s="75"/>
      <c r="AAZ19" s="75"/>
      <c r="ABA19" s="75"/>
      <c r="ABB19" s="75"/>
      <c r="ABC19" s="75"/>
    </row>
    <row r="20" spans="1:731">
      <c r="A20" s="75" t="s">
        <v>58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75"/>
      <c r="BF20" s="75"/>
      <c r="BG20" s="75"/>
      <c r="BH20" s="75"/>
      <c r="BI20" s="75"/>
      <c r="BJ20" s="75"/>
      <c r="BK20" s="75"/>
      <c r="BL20" s="75"/>
      <c r="BM20" s="75"/>
      <c r="BN20" s="75"/>
      <c r="BO20" s="75"/>
      <c r="BP20" s="75"/>
      <c r="BQ20" s="75"/>
      <c r="BR20" s="75"/>
      <c r="BS20" s="75"/>
      <c r="BT20" s="75"/>
      <c r="BU20" s="75"/>
      <c r="BV20" s="75"/>
      <c r="BW20" s="75"/>
      <c r="BX20" s="75"/>
      <c r="BY20" s="75"/>
      <c r="BZ20" s="75"/>
      <c r="CA20" s="75"/>
      <c r="CB20" s="75"/>
      <c r="CC20" s="75"/>
      <c r="CD20" s="75"/>
      <c r="CE20" s="75"/>
      <c r="CF20" s="75"/>
      <c r="CG20" s="75"/>
      <c r="CH20" s="75"/>
      <c r="CI20" s="75"/>
      <c r="CJ20" s="75"/>
      <c r="CK20" s="75"/>
      <c r="CL20" s="75"/>
      <c r="CM20" s="75"/>
      <c r="CN20" s="75"/>
      <c r="CO20" s="75"/>
      <c r="CP20" s="75"/>
      <c r="CQ20" s="75"/>
      <c r="CR20" s="75"/>
      <c r="CS20" s="75"/>
      <c r="CT20" s="75"/>
      <c r="CU20" s="75"/>
      <c r="CV20" s="75"/>
      <c r="CW20" s="75"/>
      <c r="CX20" s="75"/>
      <c r="CY20" s="75"/>
      <c r="CZ20" s="75"/>
      <c r="DA20" s="75"/>
      <c r="DB20" s="75"/>
      <c r="DC20" s="75"/>
      <c r="DD20" s="75"/>
      <c r="DE20" s="75"/>
      <c r="DF20" s="75"/>
      <c r="DG20" s="75"/>
      <c r="DH20" s="75"/>
      <c r="DI20" s="75"/>
      <c r="DJ20" s="75"/>
      <c r="DK20" s="75"/>
      <c r="DL20" s="75"/>
      <c r="DM20" s="75"/>
      <c r="DN20" s="75"/>
      <c r="DO20" s="75"/>
      <c r="DP20" s="75"/>
      <c r="DQ20" s="75"/>
      <c r="DR20" s="75"/>
      <c r="DS20" s="75"/>
      <c r="DT20" s="75"/>
      <c r="DU20" s="75"/>
      <c r="DV20" s="75"/>
      <c r="DW20" s="75"/>
      <c r="DX20" s="75"/>
      <c r="DY20" s="75"/>
      <c r="DZ20" s="75"/>
      <c r="EA20" s="75"/>
      <c r="EB20" s="75"/>
      <c r="EC20" s="75"/>
      <c r="ED20" s="75"/>
      <c r="EE20" s="75"/>
      <c r="EF20" s="75"/>
      <c r="EG20" s="75"/>
      <c r="EH20" s="75"/>
      <c r="EI20" s="75"/>
      <c r="EJ20" s="75"/>
      <c r="EK20" s="75"/>
      <c r="EL20" s="75"/>
      <c r="EM20" s="75"/>
      <c r="EN20" s="75"/>
      <c r="EO20" s="75"/>
      <c r="EP20" s="75"/>
      <c r="EQ20" s="75"/>
      <c r="ER20" s="75"/>
      <c r="ES20" s="75"/>
      <c r="ET20" s="75"/>
      <c r="EU20" s="75"/>
      <c r="EV20" s="75"/>
      <c r="EW20" s="75"/>
      <c r="EX20" s="75"/>
      <c r="EY20" s="75"/>
      <c r="EZ20" s="75"/>
      <c r="FA20" s="75"/>
      <c r="FB20" s="75"/>
      <c r="FC20" s="75"/>
      <c r="FD20" s="75"/>
      <c r="FE20" s="75"/>
      <c r="FF20" s="75"/>
      <c r="FG20" s="75"/>
      <c r="FH20" s="75"/>
      <c r="FI20" s="75"/>
      <c r="FJ20" s="75"/>
      <c r="FK20" s="75"/>
      <c r="FL20" s="75"/>
      <c r="FM20" s="75"/>
      <c r="FN20" s="75"/>
      <c r="FO20" s="75"/>
      <c r="FP20" s="75"/>
      <c r="FQ20" s="75"/>
      <c r="FR20" s="75"/>
      <c r="FS20" s="75"/>
      <c r="FT20" s="75"/>
      <c r="FU20" s="75"/>
      <c r="FV20" s="75"/>
      <c r="FW20" s="75"/>
      <c r="FX20" s="75"/>
      <c r="FY20" s="75"/>
      <c r="FZ20" s="75"/>
      <c r="GA20" s="75"/>
      <c r="GB20" s="75"/>
      <c r="GC20" s="75"/>
      <c r="GD20" s="75"/>
      <c r="GE20" s="75"/>
      <c r="GF20" s="75"/>
      <c r="GG20" s="75"/>
      <c r="GH20" s="75"/>
      <c r="GI20" s="75"/>
      <c r="GJ20" s="75"/>
      <c r="GK20" s="75"/>
      <c r="GL20" s="75"/>
      <c r="GM20" s="75"/>
      <c r="GN20" s="75"/>
      <c r="GO20" s="75"/>
      <c r="GP20" s="75"/>
      <c r="GQ20" s="75"/>
      <c r="GR20" s="75"/>
      <c r="GS20" s="75"/>
      <c r="GT20" s="75"/>
      <c r="GU20" s="75"/>
      <c r="GV20" s="75"/>
      <c r="GW20" s="75"/>
      <c r="GX20" s="75"/>
      <c r="GY20" s="75"/>
      <c r="GZ20" s="75"/>
      <c r="HA20" s="75"/>
      <c r="HB20" s="75"/>
      <c r="HC20" s="75"/>
      <c r="HD20" s="75"/>
      <c r="HE20" s="75"/>
      <c r="HF20" s="75"/>
      <c r="HG20" s="75"/>
      <c r="HH20" s="75"/>
      <c r="HI20" s="75"/>
      <c r="HJ20" s="75"/>
      <c r="HK20" s="75"/>
      <c r="HL20" s="75"/>
      <c r="HM20" s="75"/>
      <c r="HN20" s="75"/>
      <c r="HO20" s="75"/>
      <c r="HP20" s="75"/>
      <c r="HQ20" s="75"/>
      <c r="HR20" s="75"/>
      <c r="HS20" s="75"/>
      <c r="HT20" s="75"/>
      <c r="HU20" s="75"/>
      <c r="HV20" s="75"/>
      <c r="HW20" s="75"/>
      <c r="HX20" s="75"/>
      <c r="HY20" s="75"/>
      <c r="HZ20" s="75"/>
      <c r="IA20" s="75"/>
      <c r="IB20" s="75"/>
      <c r="IC20" s="75"/>
      <c r="ID20" s="75"/>
      <c r="IE20" s="75"/>
      <c r="IF20" s="75"/>
      <c r="IG20" s="75"/>
      <c r="IH20" s="75"/>
      <c r="II20" s="75"/>
      <c r="IJ20" s="75"/>
      <c r="IK20" s="75"/>
      <c r="IL20" s="75"/>
      <c r="IM20" s="75"/>
      <c r="IN20" s="75"/>
      <c r="IO20" s="75"/>
      <c r="IP20" s="75"/>
      <c r="IQ20" s="75"/>
      <c r="IR20" s="75"/>
      <c r="IS20" s="75"/>
      <c r="IT20" s="75"/>
      <c r="IU20" s="75"/>
      <c r="IV20" s="75"/>
      <c r="IW20" s="75"/>
      <c r="IX20" s="75"/>
      <c r="IY20" s="75"/>
      <c r="IZ20" s="75"/>
      <c r="JA20" s="75"/>
      <c r="JB20" s="75"/>
      <c r="JC20" s="75"/>
      <c r="JD20" s="75"/>
      <c r="JE20" s="75"/>
      <c r="JF20" s="75"/>
      <c r="JG20" s="75"/>
      <c r="JH20" s="75"/>
      <c r="JI20" s="75"/>
      <c r="JJ20" s="75"/>
      <c r="JK20" s="75"/>
      <c r="JL20" s="75"/>
      <c r="JM20" s="75"/>
      <c r="JN20" s="75"/>
      <c r="JO20" s="75"/>
      <c r="JP20" s="75"/>
      <c r="JQ20" s="75"/>
      <c r="JR20" s="75"/>
      <c r="JS20" s="75"/>
      <c r="JT20" s="75"/>
      <c r="JU20" s="75"/>
      <c r="JV20" s="75"/>
      <c r="JW20" s="75"/>
      <c r="JX20" s="75"/>
      <c r="JY20" s="75"/>
      <c r="JZ20" s="75"/>
      <c r="KA20" s="75"/>
      <c r="KB20" s="75"/>
      <c r="KC20" s="75"/>
      <c r="KD20" s="75"/>
      <c r="KE20" s="75"/>
      <c r="KF20" s="75"/>
      <c r="KG20" s="75"/>
      <c r="KH20" s="75"/>
      <c r="KI20" s="75"/>
      <c r="KJ20" s="75"/>
      <c r="KK20" s="75"/>
      <c r="KL20" s="75"/>
      <c r="KM20" s="75"/>
      <c r="KN20" s="75"/>
      <c r="KO20" s="75"/>
      <c r="KP20" s="75"/>
      <c r="KQ20" s="75"/>
      <c r="KR20" s="75"/>
      <c r="KS20" s="75"/>
      <c r="KT20" s="75"/>
      <c r="KU20" s="75"/>
      <c r="KV20" s="75"/>
      <c r="KW20" s="75"/>
      <c r="KX20" s="75"/>
      <c r="KY20" s="75"/>
      <c r="KZ20" s="75"/>
      <c r="LA20" s="75"/>
      <c r="LB20" s="75"/>
      <c r="LC20" s="75"/>
      <c r="LD20" s="75"/>
      <c r="LE20" s="75"/>
      <c r="LF20" s="75"/>
      <c r="LG20" s="75"/>
      <c r="LH20" s="75"/>
      <c r="LI20" s="75"/>
      <c r="LJ20" s="75"/>
      <c r="LK20" s="75"/>
      <c r="LL20" s="75"/>
      <c r="LM20" s="75"/>
      <c r="LN20" s="75"/>
      <c r="LO20" s="75"/>
      <c r="LP20" s="75"/>
      <c r="LQ20" s="75"/>
      <c r="LR20" s="75"/>
      <c r="LS20" s="75"/>
      <c r="LT20" s="75"/>
      <c r="LU20" s="75"/>
      <c r="LV20" s="75"/>
      <c r="LW20" s="75"/>
      <c r="LX20" s="75"/>
      <c r="LY20" s="75"/>
      <c r="LZ20" s="75"/>
      <c r="MA20" s="75"/>
      <c r="MB20" s="75"/>
      <c r="MC20" s="75"/>
      <c r="MD20" s="75"/>
      <c r="ME20" s="75"/>
      <c r="MF20" s="75"/>
      <c r="MG20" s="75"/>
      <c r="MH20" s="75"/>
      <c r="MI20" s="75"/>
      <c r="MJ20" s="75"/>
      <c r="MK20" s="75"/>
      <c r="ML20" s="75"/>
      <c r="MM20" s="75"/>
      <c r="MN20" s="75"/>
      <c r="MO20" s="75"/>
      <c r="MP20" s="75"/>
      <c r="MQ20" s="75"/>
      <c r="MR20" s="75"/>
      <c r="MS20" s="75"/>
      <c r="MT20" s="75"/>
      <c r="MU20" s="75"/>
      <c r="MV20" s="75"/>
      <c r="MW20" s="75"/>
      <c r="MX20" s="75"/>
      <c r="MY20" s="75"/>
      <c r="MZ20" s="75"/>
      <c r="NA20" s="75"/>
      <c r="NB20" s="75"/>
      <c r="NC20" s="75"/>
      <c r="ND20" s="75"/>
      <c r="NE20" s="75"/>
      <c r="NF20" s="75"/>
      <c r="NG20" s="75"/>
      <c r="NH20" s="75"/>
      <c r="NI20" s="75"/>
      <c r="NJ20" s="75"/>
      <c r="NK20" s="75"/>
      <c r="NL20" s="75"/>
      <c r="NM20" s="75"/>
      <c r="NN20" s="75"/>
      <c r="NO20" s="75"/>
      <c r="NP20" s="75"/>
      <c r="NQ20" s="75"/>
      <c r="NR20" s="75"/>
      <c r="NS20" s="75"/>
      <c r="NT20" s="75"/>
      <c r="NU20" s="75"/>
      <c r="NV20" s="75"/>
      <c r="NW20" s="75"/>
      <c r="NX20" s="75"/>
      <c r="NY20" s="75"/>
      <c r="NZ20" s="75"/>
      <c r="OA20" s="75"/>
      <c r="OB20" s="75">
        <v>2</v>
      </c>
      <c r="OC20" s="75">
        <v>8</v>
      </c>
      <c r="OD20" s="75">
        <v>8</v>
      </c>
      <c r="OE20" s="75">
        <v>8</v>
      </c>
      <c r="OF20" s="75"/>
      <c r="OG20" s="75">
        <v>8</v>
      </c>
      <c r="OH20" s="75">
        <v>8</v>
      </c>
      <c r="OI20" s="75">
        <v>8</v>
      </c>
      <c r="OJ20" s="75">
        <v>8</v>
      </c>
      <c r="OK20" s="75">
        <v>10</v>
      </c>
      <c r="OL20" s="75">
        <v>16</v>
      </c>
      <c r="OM20" s="75"/>
      <c r="ON20" s="75">
        <v>14</v>
      </c>
      <c r="OO20" s="75">
        <v>8</v>
      </c>
      <c r="OP20" s="75">
        <v>8</v>
      </c>
      <c r="OQ20" s="75">
        <v>8</v>
      </c>
      <c r="OR20" s="75">
        <v>8</v>
      </c>
      <c r="OS20" s="75">
        <v>8</v>
      </c>
      <c r="OT20" s="75"/>
      <c r="OU20" s="75">
        <v>8</v>
      </c>
      <c r="OV20" s="75">
        <v>8</v>
      </c>
      <c r="OW20" s="75">
        <v>6</v>
      </c>
      <c r="OX20" s="75"/>
      <c r="OY20" s="75"/>
      <c r="OZ20" s="75">
        <v>2</v>
      </c>
      <c r="PA20" s="75"/>
      <c r="PB20" s="75">
        <v>14</v>
      </c>
      <c r="PC20" s="75">
        <v>20</v>
      </c>
      <c r="PD20" s="75">
        <v>20</v>
      </c>
      <c r="PE20" s="75">
        <v>20</v>
      </c>
      <c r="PF20" s="75">
        <v>20</v>
      </c>
      <c r="PG20" s="75">
        <v>20</v>
      </c>
      <c r="PH20" s="75"/>
      <c r="PI20" s="75">
        <v>20</v>
      </c>
      <c r="PJ20" s="75">
        <v>20</v>
      </c>
      <c r="PK20" s="75">
        <v>20</v>
      </c>
      <c r="PL20" s="75">
        <v>18</v>
      </c>
      <c r="PM20" s="75">
        <v>6</v>
      </c>
      <c r="PN20" s="75"/>
      <c r="PO20" s="75"/>
      <c r="PP20" s="75"/>
      <c r="PQ20" s="75"/>
      <c r="PR20" s="75"/>
      <c r="PS20" s="75"/>
      <c r="PT20" s="75">
        <v>2</v>
      </c>
      <c r="PU20" s="75">
        <v>12</v>
      </c>
      <c r="PV20" s="75"/>
      <c r="PW20" s="75">
        <v>12</v>
      </c>
      <c r="PX20" s="75">
        <v>12</v>
      </c>
      <c r="PY20" s="75">
        <v>12</v>
      </c>
      <c r="PZ20" s="75">
        <v>12</v>
      </c>
      <c r="QA20" s="75">
        <v>12</v>
      </c>
      <c r="QB20" s="75">
        <v>12</v>
      </c>
      <c r="QC20" s="75"/>
      <c r="QD20" s="75">
        <v>12</v>
      </c>
      <c r="QE20" s="75">
        <v>14</v>
      </c>
      <c r="QF20" s="75">
        <v>22</v>
      </c>
      <c r="QG20" s="75">
        <v>12</v>
      </c>
      <c r="QH20" s="75">
        <v>12</v>
      </c>
      <c r="QI20" s="75">
        <v>12</v>
      </c>
      <c r="QJ20" s="75"/>
      <c r="QK20" s="75">
        <v>12</v>
      </c>
      <c r="QL20" s="75">
        <v>12</v>
      </c>
      <c r="QM20" s="75">
        <v>12</v>
      </c>
      <c r="QN20" s="75">
        <v>14</v>
      </c>
      <c r="QO20" s="75">
        <v>20</v>
      </c>
      <c r="QP20" s="75">
        <v>18</v>
      </c>
      <c r="QQ20" s="75"/>
      <c r="QR20" s="75">
        <v>8</v>
      </c>
      <c r="QS20" s="75">
        <v>8</v>
      </c>
      <c r="QT20" s="75">
        <v>8</v>
      </c>
      <c r="QU20" s="75">
        <v>8</v>
      </c>
      <c r="QV20" s="75">
        <v>8</v>
      </c>
      <c r="QW20" s="75">
        <v>8</v>
      </c>
      <c r="QX20" s="75"/>
      <c r="QY20" s="75">
        <v>8</v>
      </c>
      <c r="QZ20" s="75">
        <v>6</v>
      </c>
      <c r="RA20" s="75"/>
      <c r="RB20" s="75"/>
      <c r="RC20" s="75"/>
      <c r="RD20" s="75"/>
      <c r="RE20" s="75"/>
      <c r="RF20" s="75"/>
      <c r="RG20" s="75">
        <v>2</v>
      </c>
      <c r="RH20" s="75">
        <v>8</v>
      </c>
      <c r="RI20" s="75">
        <v>10</v>
      </c>
      <c r="RJ20" s="75">
        <v>16</v>
      </c>
      <c r="RK20" s="75">
        <v>16</v>
      </c>
      <c r="RL20" s="75"/>
      <c r="RM20" s="75">
        <v>16</v>
      </c>
      <c r="RN20" s="75">
        <v>16</v>
      </c>
      <c r="RO20" s="75">
        <v>16</v>
      </c>
      <c r="RP20" s="75">
        <v>16</v>
      </c>
      <c r="RQ20" s="75">
        <v>16</v>
      </c>
      <c r="RR20" s="75">
        <v>14</v>
      </c>
      <c r="RS20" s="75"/>
      <c r="RT20" s="75">
        <v>8</v>
      </c>
      <c r="RU20" s="75">
        <v>6</v>
      </c>
      <c r="RV20" s="75"/>
      <c r="RW20" s="75">
        <v>2</v>
      </c>
      <c r="RX20" s="75">
        <v>8</v>
      </c>
      <c r="RY20" s="75">
        <v>8</v>
      </c>
      <c r="RZ20" s="75"/>
      <c r="SA20" s="75">
        <v>8</v>
      </c>
      <c r="SB20" s="75">
        <v>8</v>
      </c>
      <c r="SC20" s="75">
        <v>8</v>
      </c>
      <c r="SD20" s="75">
        <v>10</v>
      </c>
      <c r="SE20" s="75">
        <v>16</v>
      </c>
      <c r="SF20" s="75">
        <v>16</v>
      </c>
      <c r="SG20" s="75"/>
      <c r="SH20" s="75">
        <v>16</v>
      </c>
      <c r="SI20" s="75">
        <v>14</v>
      </c>
      <c r="SJ20" s="75">
        <v>8</v>
      </c>
      <c r="SK20" s="75">
        <v>8</v>
      </c>
      <c r="SL20" s="75">
        <v>8</v>
      </c>
      <c r="SM20" s="75">
        <v>8</v>
      </c>
      <c r="SN20" s="75"/>
      <c r="SO20" s="75">
        <v>8</v>
      </c>
      <c r="SP20" s="75">
        <v>6</v>
      </c>
      <c r="SQ20" s="75"/>
      <c r="SR20" s="75"/>
      <c r="SS20" s="75"/>
      <c r="ST20" s="75">
        <v>2</v>
      </c>
      <c r="SU20" s="75"/>
      <c r="SV20" s="75">
        <v>8</v>
      </c>
      <c r="SW20" s="75">
        <v>8</v>
      </c>
      <c r="SX20" s="75">
        <v>16</v>
      </c>
      <c r="SY20" s="75">
        <v>18</v>
      </c>
      <c r="SZ20" s="75">
        <v>18</v>
      </c>
      <c r="TA20" s="75">
        <v>18</v>
      </c>
      <c r="TB20" s="75"/>
      <c r="TC20" s="75">
        <v>18</v>
      </c>
      <c r="TD20" s="75">
        <v>18</v>
      </c>
      <c r="TE20" s="75">
        <v>28</v>
      </c>
      <c r="TF20" s="75">
        <v>26</v>
      </c>
      <c r="TG20" s="75">
        <v>20</v>
      </c>
      <c r="TH20" s="75">
        <v>20</v>
      </c>
      <c r="TI20" s="75"/>
      <c r="TJ20" s="75">
        <v>20</v>
      </c>
      <c r="TK20" s="75">
        <v>20</v>
      </c>
      <c r="TL20" s="75">
        <v>20</v>
      </c>
      <c r="TM20" s="75">
        <v>20</v>
      </c>
      <c r="TN20" s="75">
        <v>20</v>
      </c>
      <c r="TO20" s="75">
        <v>20</v>
      </c>
      <c r="TP20" s="75"/>
      <c r="TQ20" s="75">
        <v>20</v>
      </c>
      <c r="TR20" s="75">
        <v>20</v>
      </c>
      <c r="TS20" s="75">
        <v>20</v>
      </c>
      <c r="TT20" s="75">
        <v>20</v>
      </c>
      <c r="TU20" s="75">
        <v>20</v>
      </c>
      <c r="TV20" s="75">
        <v>20</v>
      </c>
      <c r="TW20" s="75"/>
      <c r="TX20" s="75">
        <v>24</v>
      </c>
      <c r="TY20" s="75">
        <v>24</v>
      </c>
      <c r="TZ20" s="75">
        <v>20</v>
      </c>
      <c r="UA20" s="75">
        <v>20</v>
      </c>
      <c r="UB20" s="75">
        <v>20</v>
      </c>
      <c r="UC20" s="75">
        <v>20</v>
      </c>
      <c r="UD20" s="75"/>
      <c r="UE20" s="75">
        <v>20</v>
      </c>
      <c r="UF20" s="75">
        <v>20</v>
      </c>
      <c r="UG20" s="75">
        <v>13</v>
      </c>
      <c r="UH20" s="75">
        <v>11</v>
      </c>
      <c r="UI20" s="75">
        <v>11</v>
      </c>
      <c r="UJ20" s="75">
        <v>11</v>
      </c>
      <c r="UK20" s="75"/>
      <c r="UL20" s="75">
        <v>11</v>
      </c>
      <c r="UM20" s="75">
        <v>11</v>
      </c>
      <c r="UN20" s="75">
        <v>2</v>
      </c>
      <c r="UO20" s="75">
        <v>2</v>
      </c>
      <c r="UP20" s="75">
        <v>2</v>
      </c>
      <c r="UQ20" s="75">
        <v>2</v>
      </c>
      <c r="UR20" s="75"/>
      <c r="US20" s="75">
        <v>4</v>
      </c>
      <c r="UT20" s="75">
        <v>4</v>
      </c>
      <c r="UU20" s="75">
        <v>2</v>
      </c>
      <c r="UV20" s="75">
        <v>2</v>
      </c>
      <c r="UW20" s="75">
        <v>2</v>
      </c>
      <c r="UX20" s="75">
        <v>2</v>
      </c>
      <c r="UY20" s="75"/>
      <c r="UZ20" s="75">
        <v>2</v>
      </c>
      <c r="VA20" s="75">
        <v>2</v>
      </c>
      <c r="VB20" s="75">
        <v>2</v>
      </c>
      <c r="VC20" s="75">
        <v>2</v>
      </c>
      <c r="VD20" s="75">
        <v>1</v>
      </c>
      <c r="VE20" s="75">
        <v>1</v>
      </c>
      <c r="VF20" s="75"/>
      <c r="VG20" s="75">
        <v>1</v>
      </c>
      <c r="VH20" s="75">
        <v>1</v>
      </c>
      <c r="VI20" s="75">
        <v>1</v>
      </c>
      <c r="VJ20" s="75">
        <v>1</v>
      </c>
      <c r="VK20" s="75"/>
      <c r="VL20" s="75"/>
      <c r="VM20" s="75"/>
      <c r="VN20" s="75"/>
      <c r="VO20" s="75"/>
      <c r="VP20" s="75"/>
      <c r="VQ20" s="75"/>
      <c r="VR20" s="75"/>
      <c r="VS20" s="75"/>
      <c r="VT20" s="75"/>
      <c r="VU20" s="75"/>
      <c r="VV20" s="75"/>
      <c r="VW20" s="75"/>
      <c r="VX20" s="75"/>
      <c r="VY20" s="75"/>
      <c r="VZ20" s="75"/>
      <c r="WA20" s="75"/>
      <c r="WB20" s="75"/>
      <c r="WC20" s="75"/>
      <c r="WD20" s="75"/>
      <c r="WE20" s="75"/>
      <c r="WF20" s="75"/>
      <c r="WG20" s="75"/>
      <c r="WH20" s="75"/>
      <c r="WI20" s="75"/>
      <c r="WJ20" s="75"/>
      <c r="WK20" s="75"/>
      <c r="WL20" s="75"/>
      <c r="WM20" s="75"/>
      <c r="WN20" s="75"/>
      <c r="WO20" s="75"/>
      <c r="WP20" s="75"/>
      <c r="WQ20" s="75"/>
      <c r="WR20" s="75"/>
      <c r="WS20" s="75"/>
      <c r="WT20" s="75"/>
      <c r="WU20" s="75"/>
      <c r="WV20" s="75"/>
      <c r="WW20" s="75"/>
      <c r="WX20" s="75"/>
      <c r="WY20" s="75"/>
      <c r="WZ20" s="75"/>
      <c r="XA20" s="75"/>
      <c r="XB20" s="75"/>
      <c r="XC20" s="75"/>
      <c r="XD20" s="75"/>
      <c r="XE20" s="75"/>
      <c r="XF20" s="75"/>
      <c r="XG20" s="75"/>
      <c r="XH20" s="75"/>
      <c r="XI20" s="75"/>
      <c r="XJ20" s="75"/>
      <c r="XK20" s="75"/>
      <c r="XL20" s="75"/>
      <c r="XM20" s="75"/>
      <c r="XN20" s="75"/>
      <c r="XO20" s="75"/>
      <c r="XP20" s="75"/>
      <c r="XQ20" s="75"/>
      <c r="XR20" s="75"/>
      <c r="XS20" s="75"/>
      <c r="XT20" s="75"/>
      <c r="XU20" s="75"/>
      <c r="XV20" s="75"/>
      <c r="XW20" s="75">
        <v>6</v>
      </c>
      <c r="XX20" s="75"/>
      <c r="XY20" s="75">
        <v>6</v>
      </c>
      <c r="XZ20" s="75">
        <v>6</v>
      </c>
      <c r="YA20" s="75">
        <v>6</v>
      </c>
      <c r="YB20" s="75">
        <v>6</v>
      </c>
      <c r="YC20" s="75">
        <v>6</v>
      </c>
      <c r="YD20" s="75">
        <v>6</v>
      </c>
      <c r="YE20" s="75"/>
      <c r="YF20" s="75">
        <v>6</v>
      </c>
      <c r="YG20" s="75">
        <v>6</v>
      </c>
      <c r="YH20" s="75">
        <v>6</v>
      </c>
      <c r="YI20" s="75"/>
      <c r="YJ20" s="75"/>
      <c r="YK20" s="75"/>
      <c r="YL20" s="75"/>
      <c r="YM20" s="75"/>
      <c r="YN20" s="75"/>
      <c r="YO20" s="75"/>
      <c r="YP20" s="75"/>
      <c r="YQ20" s="75"/>
      <c r="YR20" s="75"/>
      <c r="YS20" s="75"/>
      <c r="YT20" s="75"/>
      <c r="YU20" s="75"/>
      <c r="YV20" s="75"/>
      <c r="YW20" s="75"/>
      <c r="YX20" s="75"/>
      <c r="YY20" s="75"/>
      <c r="YZ20" s="75"/>
      <c r="ZA20" s="75"/>
      <c r="ZB20" s="75"/>
      <c r="ZC20" s="75"/>
      <c r="ZD20" s="75"/>
      <c r="ZE20" s="75"/>
      <c r="ZF20" s="75"/>
      <c r="ZG20" s="75"/>
      <c r="ZH20" s="75"/>
      <c r="ZI20" s="75"/>
      <c r="ZJ20" s="75"/>
      <c r="ZK20" s="75"/>
      <c r="ZL20" s="75"/>
      <c r="ZM20" s="75">
        <v>6</v>
      </c>
      <c r="ZN20" s="75"/>
      <c r="ZO20" s="75">
        <v>6</v>
      </c>
      <c r="ZP20" s="75">
        <v>6</v>
      </c>
      <c r="ZQ20" s="75">
        <v>6</v>
      </c>
      <c r="ZR20" s="75">
        <v>6</v>
      </c>
      <c r="ZS20" s="75">
        <v>6</v>
      </c>
      <c r="ZT20" s="75"/>
      <c r="ZU20" s="75"/>
      <c r="ZV20" s="75"/>
      <c r="ZW20" s="75"/>
      <c r="ZX20" s="75"/>
      <c r="ZY20" s="75">
        <v>6</v>
      </c>
      <c r="ZZ20" s="75">
        <v>6</v>
      </c>
      <c r="AAA20" s="75">
        <v>6</v>
      </c>
      <c r="AAB20" s="75"/>
      <c r="AAC20" s="75">
        <v>6</v>
      </c>
      <c r="AAD20" s="75"/>
      <c r="AAE20" s="75"/>
      <c r="AAF20" s="75"/>
      <c r="AAG20" s="75"/>
      <c r="AAH20" s="75"/>
      <c r="AAI20" s="75"/>
      <c r="AAJ20" s="75"/>
      <c r="AAK20" s="75"/>
      <c r="AAL20" s="75"/>
      <c r="AAM20" s="75"/>
      <c r="AAN20" s="75"/>
      <c r="AAO20" s="75"/>
      <c r="AAP20" s="75"/>
      <c r="AAQ20" s="75"/>
      <c r="AAR20" s="75"/>
      <c r="AAS20" s="75"/>
      <c r="AAT20" s="75"/>
      <c r="AAU20" s="75"/>
      <c r="AAV20" s="75"/>
      <c r="AAW20" s="75"/>
      <c r="AAX20" s="75"/>
      <c r="AAY20" s="75"/>
      <c r="AAZ20" s="75"/>
      <c r="ABA20" s="75"/>
      <c r="ABB20" s="75"/>
      <c r="ABC20" s="75"/>
    </row>
    <row r="21" spans="1:731">
      <c r="A21" s="75" t="s">
        <v>59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5"/>
      <c r="BF21" s="75"/>
      <c r="BG21" s="75"/>
      <c r="BH21" s="75"/>
      <c r="BI21" s="75"/>
      <c r="BJ21" s="75"/>
      <c r="BK21" s="75"/>
      <c r="BL21" s="75"/>
      <c r="BM21" s="75"/>
      <c r="BN21" s="75"/>
      <c r="BO21" s="75"/>
      <c r="BP21" s="75"/>
      <c r="BQ21" s="75"/>
      <c r="BR21" s="75"/>
      <c r="BS21" s="75"/>
      <c r="BT21" s="75"/>
      <c r="BU21" s="75"/>
      <c r="BV21" s="75"/>
      <c r="BW21" s="75"/>
      <c r="BX21" s="75"/>
      <c r="BY21" s="75"/>
      <c r="BZ21" s="75"/>
      <c r="CA21" s="75"/>
      <c r="CB21" s="75"/>
      <c r="CC21" s="75"/>
      <c r="CD21" s="75"/>
      <c r="CE21" s="75"/>
      <c r="CF21" s="75"/>
      <c r="CG21" s="75"/>
      <c r="CH21" s="75"/>
      <c r="CI21" s="75"/>
      <c r="CJ21" s="75"/>
      <c r="CK21" s="75"/>
      <c r="CL21" s="75"/>
      <c r="CM21" s="75"/>
      <c r="CN21" s="75"/>
      <c r="CO21" s="75"/>
      <c r="CP21" s="75"/>
      <c r="CQ21" s="75"/>
      <c r="CR21" s="75"/>
      <c r="CS21" s="75"/>
      <c r="CT21" s="75"/>
      <c r="CU21" s="75"/>
      <c r="CV21" s="75"/>
      <c r="CW21" s="75"/>
      <c r="CX21" s="75"/>
      <c r="CY21" s="75"/>
      <c r="CZ21" s="75"/>
      <c r="DA21" s="75"/>
      <c r="DB21" s="75"/>
      <c r="DC21" s="75"/>
      <c r="DD21" s="75"/>
      <c r="DE21" s="75"/>
      <c r="DF21" s="75"/>
      <c r="DG21" s="75"/>
      <c r="DH21" s="75"/>
      <c r="DI21" s="75"/>
      <c r="DJ21" s="75"/>
      <c r="DK21" s="75"/>
      <c r="DL21" s="75"/>
      <c r="DM21" s="75"/>
      <c r="DN21" s="75"/>
      <c r="DO21" s="75"/>
      <c r="DP21" s="75"/>
      <c r="DQ21" s="75"/>
      <c r="DR21" s="75"/>
      <c r="DS21" s="75"/>
      <c r="DT21" s="75"/>
      <c r="DU21" s="75"/>
      <c r="DV21" s="75"/>
      <c r="DW21" s="75"/>
      <c r="DX21" s="75"/>
      <c r="DY21" s="75"/>
      <c r="DZ21" s="75"/>
      <c r="EA21" s="75"/>
      <c r="EB21" s="75"/>
      <c r="EC21" s="75"/>
      <c r="ED21" s="75"/>
      <c r="EE21" s="75"/>
      <c r="EF21" s="75"/>
      <c r="EG21" s="75"/>
      <c r="EH21" s="75"/>
      <c r="EI21" s="75"/>
      <c r="EJ21" s="75"/>
      <c r="EK21" s="75"/>
      <c r="EL21" s="75"/>
      <c r="EM21" s="75"/>
      <c r="EN21" s="75"/>
      <c r="EO21" s="75"/>
      <c r="EP21" s="75"/>
      <c r="EQ21" s="75"/>
      <c r="ER21" s="75"/>
      <c r="ES21" s="75"/>
      <c r="ET21" s="75"/>
      <c r="EU21" s="75"/>
      <c r="EV21" s="75"/>
      <c r="EW21" s="75"/>
      <c r="EX21" s="75"/>
      <c r="EY21" s="75"/>
      <c r="EZ21" s="75"/>
      <c r="FA21" s="75"/>
      <c r="FB21" s="75"/>
      <c r="FC21" s="75"/>
      <c r="FD21" s="75"/>
      <c r="FE21" s="75"/>
      <c r="FF21" s="75"/>
      <c r="FG21" s="75"/>
      <c r="FH21" s="75"/>
      <c r="FI21" s="75"/>
      <c r="FJ21" s="75"/>
      <c r="FK21" s="75"/>
      <c r="FL21" s="75"/>
      <c r="FM21" s="75"/>
      <c r="FN21" s="75"/>
      <c r="FO21" s="75"/>
      <c r="FP21" s="75"/>
      <c r="FQ21" s="75"/>
      <c r="FR21" s="75"/>
      <c r="FS21" s="75"/>
      <c r="FT21" s="75"/>
      <c r="FU21" s="75"/>
      <c r="FV21" s="75"/>
      <c r="FW21" s="75"/>
      <c r="FX21" s="75"/>
      <c r="FY21" s="75"/>
      <c r="FZ21" s="75"/>
      <c r="GA21" s="75"/>
      <c r="GB21" s="75"/>
      <c r="GC21" s="75"/>
      <c r="GD21" s="75"/>
      <c r="GE21" s="75"/>
      <c r="GF21" s="75"/>
      <c r="GG21" s="75"/>
      <c r="GH21" s="75"/>
      <c r="GI21" s="75"/>
      <c r="GJ21" s="75"/>
      <c r="GK21" s="75"/>
      <c r="GL21" s="75"/>
      <c r="GM21" s="75"/>
      <c r="GN21" s="75"/>
      <c r="GO21" s="75"/>
      <c r="GP21" s="75"/>
      <c r="GQ21" s="75"/>
      <c r="GR21" s="75"/>
      <c r="GS21" s="75"/>
      <c r="GT21" s="75"/>
      <c r="GU21" s="75"/>
      <c r="GV21" s="75"/>
      <c r="GW21" s="75"/>
      <c r="GX21" s="75"/>
      <c r="GY21" s="75"/>
      <c r="GZ21" s="75"/>
      <c r="HA21" s="75"/>
      <c r="HB21" s="75"/>
      <c r="HC21" s="75"/>
      <c r="HD21" s="75"/>
      <c r="HE21" s="75"/>
      <c r="HF21" s="75"/>
      <c r="HG21" s="75"/>
      <c r="HH21" s="75"/>
      <c r="HI21" s="75"/>
      <c r="HJ21" s="75"/>
      <c r="HK21" s="75"/>
      <c r="HL21" s="75"/>
      <c r="HM21" s="75"/>
      <c r="HN21" s="75"/>
      <c r="HO21" s="75"/>
      <c r="HP21" s="75"/>
      <c r="HQ21" s="75"/>
      <c r="HR21" s="75"/>
      <c r="HS21" s="75"/>
      <c r="HT21" s="75"/>
      <c r="HU21" s="75"/>
      <c r="HV21" s="75"/>
      <c r="HW21" s="75"/>
      <c r="HX21" s="75"/>
      <c r="HY21" s="75"/>
      <c r="HZ21" s="75"/>
      <c r="IA21" s="75"/>
      <c r="IB21" s="75"/>
      <c r="IC21" s="75"/>
      <c r="ID21" s="75"/>
      <c r="IE21" s="75"/>
      <c r="IF21" s="75"/>
      <c r="IG21" s="75"/>
      <c r="IH21" s="75"/>
      <c r="II21" s="75"/>
      <c r="IJ21" s="75"/>
      <c r="IK21" s="75"/>
      <c r="IL21" s="75"/>
      <c r="IM21" s="75"/>
      <c r="IN21" s="75"/>
      <c r="IO21" s="75"/>
      <c r="IP21" s="75"/>
      <c r="IQ21" s="75"/>
      <c r="IR21" s="75"/>
      <c r="IS21" s="75"/>
      <c r="IT21" s="75"/>
      <c r="IU21" s="75"/>
      <c r="IV21" s="75"/>
      <c r="IW21" s="75"/>
      <c r="IX21" s="75"/>
      <c r="IY21" s="75"/>
      <c r="IZ21" s="75"/>
      <c r="JA21" s="75"/>
      <c r="JB21" s="75"/>
      <c r="JC21" s="75"/>
      <c r="JD21" s="75"/>
      <c r="JE21" s="75"/>
      <c r="JF21" s="75"/>
      <c r="JG21" s="75"/>
      <c r="JH21" s="75"/>
      <c r="JI21" s="75"/>
      <c r="JJ21" s="75"/>
      <c r="JK21" s="75"/>
      <c r="JL21" s="75"/>
      <c r="JM21" s="75"/>
      <c r="JN21" s="75"/>
      <c r="JO21" s="75"/>
      <c r="JP21" s="75"/>
      <c r="JQ21" s="75"/>
      <c r="JR21" s="75"/>
      <c r="JS21" s="75"/>
      <c r="JT21" s="75"/>
      <c r="JU21" s="75"/>
      <c r="JV21" s="75"/>
      <c r="JW21" s="75"/>
      <c r="JX21" s="75"/>
      <c r="JY21" s="75"/>
      <c r="JZ21" s="75"/>
      <c r="KA21" s="75"/>
      <c r="KB21" s="75"/>
      <c r="KC21" s="75"/>
      <c r="KD21" s="75"/>
      <c r="KE21" s="75"/>
      <c r="KF21" s="75"/>
      <c r="KG21" s="75"/>
      <c r="KH21" s="75"/>
      <c r="KI21" s="75"/>
      <c r="KJ21" s="75"/>
      <c r="KK21" s="75"/>
      <c r="KL21" s="75"/>
      <c r="KM21" s="75"/>
      <c r="KN21" s="75"/>
      <c r="KO21" s="75"/>
      <c r="KP21" s="75"/>
      <c r="KQ21" s="75"/>
      <c r="KR21" s="75"/>
      <c r="KS21" s="75"/>
      <c r="KT21" s="75"/>
      <c r="KU21" s="75"/>
      <c r="KV21" s="75"/>
      <c r="KW21" s="75"/>
      <c r="KX21" s="75"/>
      <c r="KY21" s="75"/>
      <c r="KZ21" s="75"/>
      <c r="LA21" s="75"/>
      <c r="LB21" s="75"/>
      <c r="LC21" s="75"/>
      <c r="LD21" s="75"/>
      <c r="LE21" s="75"/>
      <c r="LF21" s="75"/>
      <c r="LG21" s="75"/>
      <c r="LH21" s="75"/>
      <c r="LI21" s="75"/>
      <c r="LJ21" s="75"/>
      <c r="LK21" s="75"/>
      <c r="LL21" s="75">
        <v>20</v>
      </c>
      <c r="LM21" s="75">
        <v>20</v>
      </c>
      <c r="LN21" s="75"/>
      <c r="LO21" s="75">
        <v>32</v>
      </c>
      <c r="LP21" s="75">
        <v>40</v>
      </c>
      <c r="LQ21" s="75">
        <v>40</v>
      </c>
      <c r="LR21" s="75">
        <v>40</v>
      </c>
      <c r="LS21" s="75">
        <v>40</v>
      </c>
      <c r="LT21" s="75">
        <v>40</v>
      </c>
      <c r="LU21" s="75"/>
      <c r="LV21" s="75">
        <v>40</v>
      </c>
      <c r="LW21" s="75">
        <v>40</v>
      </c>
      <c r="LX21" s="75">
        <v>40</v>
      </c>
      <c r="LY21" s="75">
        <v>40</v>
      </c>
      <c r="LZ21" s="75">
        <v>40</v>
      </c>
      <c r="MA21" s="75">
        <v>40</v>
      </c>
      <c r="MB21" s="75"/>
      <c r="MC21" s="75">
        <v>40</v>
      </c>
      <c r="MD21" s="75">
        <v>40</v>
      </c>
      <c r="ME21" s="75">
        <v>40</v>
      </c>
      <c r="MF21" s="75">
        <v>40</v>
      </c>
      <c r="MG21" s="75"/>
      <c r="MH21" s="75"/>
      <c r="MI21" s="75"/>
      <c r="MJ21" s="75"/>
      <c r="MK21" s="75"/>
      <c r="ML21" s="75">
        <v>40</v>
      </c>
      <c r="MM21" s="75">
        <v>40</v>
      </c>
      <c r="MN21" s="75">
        <v>40</v>
      </c>
      <c r="MO21" s="75">
        <v>40</v>
      </c>
      <c r="MP21" s="75"/>
      <c r="MQ21" s="75">
        <v>40</v>
      </c>
      <c r="MR21" s="75">
        <v>40</v>
      </c>
      <c r="MS21" s="75">
        <v>40</v>
      </c>
      <c r="MT21" s="75">
        <v>40</v>
      </c>
      <c r="MU21" s="75">
        <v>20</v>
      </c>
      <c r="MV21" s="75">
        <v>20</v>
      </c>
      <c r="MW21" s="75"/>
      <c r="MX21" s="75">
        <v>8</v>
      </c>
      <c r="MY21" s="75"/>
      <c r="MZ21" s="75"/>
      <c r="NA21" s="75"/>
      <c r="NB21" s="75"/>
      <c r="NC21" s="75"/>
      <c r="ND21" s="75"/>
      <c r="NE21" s="75"/>
      <c r="NF21" s="75"/>
      <c r="NG21" s="75"/>
      <c r="NH21" s="75"/>
      <c r="NI21" s="75"/>
      <c r="NJ21" s="75"/>
      <c r="NK21" s="75"/>
      <c r="NL21" s="75"/>
      <c r="NM21" s="75"/>
      <c r="NN21" s="75"/>
      <c r="NO21" s="75"/>
      <c r="NP21" s="75"/>
      <c r="NQ21" s="75"/>
      <c r="NR21" s="75"/>
      <c r="NS21" s="75"/>
      <c r="NT21" s="75"/>
      <c r="NU21" s="75"/>
      <c r="NV21" s="75"/>
      <c r="NW21" s="75"/>
      <c r="NX21" s="75"/>
      <c r="NY21" s="75"/>
      <c r="NZ21" s="75"/>
      <c r="OA21" s="75"/>
      <c r="OB21" s="75"/>
      <c r="OC21" s="75"/>
      <c r="OD21" s="75"/>
      <c r="OE21" s="75"/>
      <c r="OF21" s="75"/>
      <c r="OG21" s="75"/>
      <c r="OH21" s="75"/>
      <c r="OI21" s="75"/>
      <c r="OJ21" s="75"/>
      <c r="OK21" s="75"/>
      <c r="OL21" s="75"/>
      <c r="OM21" s="75"/>
      <c r="ON21" s="75"/>
      <c r="OO21" s="75"/>
      <c r="OP21" s="75"/>
      <c r="OQ21" s="75"/>
      <c r="OR21" s="75"/>
      <c r="OS21" s="75"/>
      <c r="OT21" s="75"/>
      <c r="OU21" s="75"/>
      <c r="OV21" s="75"/>
      <c r="OW21" s="75"/>
      <c r="OX21" s="75"/>
      <c r="OY21" s="75"/>
      <c r="OZ21" s="75"/>
      <c r="PA21" s="75"/>
      <c r="PB21" s="75"/>
      <c r="PC21" s="75"/>
      <c r="PD21" s="75"/>
      <c r="PE21" s="75"/>
      <c r="PF21" s="75"/>
      <c r="PG21" s="75"/>
      <c r="PH21" s="75"/>
      <c r="PI21" s="75"/>
      <c r="PJ21" s="75"/>
      <c r="PK21" s="75"/>
      <c r="PL21" s="75"/>
      <c r="PM21" s="75"/>
      <c r="PN21" s="75"/>
      <c r="PO21" s="75"/>
      <c r="PP21" s="75"/>
      <c r="PQ21" s="75"/>
      <c r="PR21" s="75"/>
      <c r="PS21" s="75"/>
      <c r="PT21" s="75"/>
      <c r="PU21" s="75"/>
      <c r="PV21" s="75"/>
      <c r="PW21" s="75"/>
      <c r="PX21" s="75"/>
      <c r="PY21" s="75"/>
      <c r="PZ21" s="75"/>
      <c r="QA21" s="75"/>
      <c r="QB21" s="75"/>
      <c r="QC21" s="75"/>
      <c r="QD21" s="75"/>
      <c r="QE21" s="75"/>
      <c r="QF21" s="75"/>
      <c r="QG21" s="75"/>
      <c r="QH21" s="75"/>
      <c r="QI21" s="75"/>
      <c r="QJ21" s="75"/>
      <c r="QK21" s="75"/>
      <c r="QL21" s="75"/>
      <c r="QM21" s="75"/>
      <c r="QN21" s="75"/>
      <c r="QO21" s="75"/>
      <c r="QP21" s="75"/>
      <c r="QQ21" s="75"/>
      <c r="QR21" s="75"/>
      <c r="QS21" s="75"/>
      <c r="QT21" s="75"/>
      <c r="QU21" s="75"/>
      <c r="QV21" s="75"/>
      <c r="QW21" s="75"/>
      <c r="QX21" s="75"/>
      <c r="QY21" s="75"/>
      <c r="QZ21" s="75"/>
      <c r="RA21" s="75"/>
      <c r="RB21" s="75"/>
      <c r="RC21" s="75"/>
      <c r="RD21" s="75"/>
      <c r="RE21" s="75"/>
      <c r="RF21" s="75"/>
      <c r="RG21" s="75"/>
      <c r="RH21" s="75"/>
      <c r="RI21" s="75"/>
      <c r="RJ21" s="75"/>
      <c r="RK21" s="75"/>
      <c r="RL21" s="75"/>
      <c r="RM21" s="75"/>
      <c r="RN21" s="75"/>
      <c r="RO21" s="75"/>
      <c r="RP21" s="75"/>
      <c r="RQ21" s="75"/>
      <c r="RR21" s="75"/>
      <c r="RS21" s="75"/>
      <c r="RT21" s="75"/>
      <c r="RU21" s="75"/>
      <c r="RV21" s="75"/>
      <c r="RW21" s="75"/>
      <c r="RX21" s="75"/>
      <c r="RY21" s="75"/>
      <c r="RZ21" s="75"/>
      <c r="SA21" s="75"/>
      <c r="SB21" s="75"/>
      <c r="SC21" s="75"/>
      <c r="SD21" s="75"/>
      <c r="SE21" s="75"/>
      <c r="SF21" s="75"/>
      <c r="SG21" s="75"/>
      <c r="SH21" s="75"/>
      <c r="SI21" s="75"/>
      <c r="SJ21" s="75"/>
      <c r="SK21" s="75"/>
      <c r="SL21" s="75"/>
      <c r="SM21" s="75"/>
      <c r="SN21" s="75"/>
      <c r="SO21" s="75"/>
      <c r="SP21" s="75"/>
      <c r="SQ21" s="75"/>
      <c r="SR21" s="75"/>
      <c r="SS21" s="75"/>
      <c r="ST21" s="75"/>
      <c r="SU21" s="75"/>
      <c r="SV21" s="75"/>
      <c r="SW21" s="75"/>
      <c r="SX21" s="75"/>
      <c r="SY21" s="75"/>
      <c r="SZ21" s="75"/>
      <c r="TA21" s="75"/>
      <c r="TB21" s="75"/>
      <c r="TC21" s="75"/>
      <c r="TD21" s="75"/>
      <c r="TE21" s="75"/>
      <c r="TF21" s="75"/>
      <c r="TG21" s="75"/>
      <c r="TH21" s="75"/>
      <c r="TI21" s="75"/>
      <c r="TJ21" s="75"/>
      <c r="TK21" s="75"/>
      <c r="TL21" s="75"/>
      <c r="TM21" s="75"/>
      <c r="TN21" s="75"/>
      <c r="TO21" s="75"/>
      <c r="TP21" s="75"/>
      <c r="TQ21" s="75"/>
      <c r="TR21" s="75"/>
      <c r="TS21" s="75"/>
      <c r="TT21" s="75"/>
      <c r="TU21" s="75"/>
      <c r="TV21" s="75"/>
      <c r="TW21" s="75"/>
      <c r="TX21" s="75"/>
      <c r="TY21" s="75"/>
      <c r="TZ21" s="75"/>
      <c r="UA21" s="75"/>
      <c r="UB21" s="75"/>
      <c r="UC21" s="75"/>
      <c r="UD21" s="75"/>
      <c r="UE21" s="75"/>
      <c r="UF21" s="75"/>
      <c r="UG21" s="75"/>
      <c r="UH21" s="75"/>
      <c r="UI21" s="75"/>
      <c r="UJ21" s="75"/>
      <c r="UK21" s="75"/>
      <c r="UL21" s="75"/>
      <c r="UM21" s="75"/>
      <c r="UN21" s="75"/>
      <c r="UO21" s="75"/>
      <c r="UP21" s="75"/>
      <c r="UQ21" s="75"/>
      <c r="UR21" s="75"/>
      <c r="US21" s="75"/>
      <c r="UT21" s="75"/>
      <c r="UU21" s="75"/>
      <c r="UV21" s="75"/>
      <c r="UW21" s="75"/>
      <c r="UX21" s="75"/>
      <c r="UY21" s="75"/>
      <c r="UZ21" s="75"/>
      <c r="VA21" s="75"/>
      <c r="VB21" s="75"/>
      <c r="VC21" s="75"/>
      <c r="VD21" s="75"/>
      <c r="VE21" s="75"/>
      <c r="VF21" s="75"/>
      <c r="VG21" s="75"/>
      <c r="VH21" s="75"/>
      <c r="VI21" s="75"/>
      <c r="VJ21" s="75"/>
      <c r="VK21" s="75"/>
      <c r="VL21" s="75"/>
      <c r="VM21" s="75"/>
      <c r="VN21" s="75"/>
      <c r="VO21" s="75"/>
      <c r="VP21" s="75"/>
      <c r="VQ21" s="75"/>
      <c r="VR21" s="75"/>
      <c r="VS21" s="75"/>
      <c r="VT21" s="75"/>
      <c r="VU21" s="75"/>
      <c r="VV21" s="75"/>
      <c r="VW21" s="75"/>
      <c r="VX21" s="75"/>
      <c r="VY21" s="75"/>
      <c r="VZ21" s="75"/>
      <c r="WA21" s="75"/>
      <c r="WB21" s="75"/>
      <c r="WC21" s="75"/>
      <c r="WD21" s="75"/>
      <c r="WE21" s="75"/>
      <c r="WF21" s="75"/>
      <c r="WG21" s="75"/>
      <c r="WH21" s="75"/>
      <c r="WI21" s="75"/>
      <c r="WJ21" s="75"/>
      <c r="WK21" s="75"/>
      <c r="WL21" s="75"/>
      <c r="WM21" s="75"/>
      <c r="WN21" s="75"/>
      <c r="WO21" s="75"/>
      <c r="WP21" s="75"/>
      <c r="WQ21" s="75"/>
      <c r="WR21" s="75"/>
      <c r="WS21" s="75"/>
      <c r="WT21" s="75"/>
      <c r="WU21" s="75"/>
      <c r="WV21" s="75"/>
      <c r="WW21" s="75"/>
      <c r="WX21" s="75"/>
      <c r="WY21" s="75"/>
      <c r="WZ21" s="75"/>
      <c r="XA21" s="75"/>
      <c r="XB21" s="75"/>
      <c r="XC21" s="75"/>
      <c r="XD21" s="75"/>
      <c r="XE21" s="75"/>
      <c r="XF21" s="75"/>
      <c r="XG21" s="75"/>
      <c r="XH21" s="75"/>
      <c r="XI21" s="75"/>
      <c r="XJ21" s="75"/>
      <c r="XK21" s="75"/>
      <c r="XL21" s="75"/>
      <c r="XM21" s="75"/>
      <c r="XN21" s="75"/>
      <c r="XO21" s="75"/>
      <c r="XP21" s="75"/>
      <c r="XQ21" s="75"/>
      <c r="XR21" s="75"/>
      <c r="XS21" s="75"/>
      <c r="XT21" s="75"/>
      <c r="XU21" s="75"/>
      <c r="XV21" s="75"/>
      <c r="XW21" s="75"/>
      <c r="XX21" s="75"/>
      <c r="XY21" s="75"/>
      <c r="XZ21" s="75"/>
      <c r="YA21" s="75"/>
      <c r="YB21" s="75"/>
      <c r="YC21" s="75"/>
      <c r="YD21" s="75"/>
      <c r="YE21" s="75"/>
      <c r="YF21" s="75"/>
      <c r="YG21" s="75"/>
      <c r="YH21" s="75"/>
      <c r="YI21" s="75"/>
      <c r="YJ21" s="75"/>
      <c r="YK21" s="75"/>
      <c r="YL21" s="75"/>
      <c r="YM21" s="75"/>
      <c r="YN21" s="75"/>
      <c r="YO21" s="75"/>
      <c r="YP21" s="75"/>
      <c r="YQ21" s="75"/>
      <c r="YR21" s="75"/>
      <c r="YS21" s="75"/>
      <c r="YT21" s="75"/>
      <c r="YU21" s="75"/>
      <c r="YV21" s="75"/>
      <c r="YW21" s="75"/>
      <c r="YX21" s="75"/>
      <c r="YY21" s="75"/>
      <c r="YZ21" s="75"/>
      <c r="ZA21" s="75"/>
      <c r="ZB21" s="75"/>
      <c r="ZC21" s="75"/>
      <c r="ZD21" s="75"/>
      <c r="ZE21" s="75"/>
      <c r="ZF21" s="75"/>
      <c r="ZG21" s="75"/>
      <c r="ZH21" s="75"/>
      <c r="ZI21" s="75"/>
      <c r="ZJ21" s="75"/>
      <c r="ZK21" s="75"/>
      <c r="ZL21" s="75"/>
      <c r="ZM21" s="75"/>
      <c r="ZN21" s="75"/>
      <c r="ZO21" s="75"/>
      <c r="ZP21" s="75"/>
      <c r="ZQ21" s="75"/>
      <c r="ZR21" s="75"/>
      <c r="ZS21" s="75"/>
      <c r="ZT21" s="75"/>
      <c r="ZU21" s="75"/>
      <c r="ZV21" s="75"/>
      <c r="ZW21" s="75"/>
      <c r="ZX21" s="75"/>
      <c r="ZY21" s="75"/>
      <c r="ZZ21" s="75"/>
      <c r="AAA21" s="75"/>
      <c r="AAB21" s="75"/>
      <c r="AAC21" s="75"/>
      <c r="AAD21" s="75"/>
      <c r="AAE21" s="75"/>
      <c r="AAF21" s="75"/>
      <c r="AAG21" s="75"/>
      <c r="AAH21" s="75"/>
      <c r="AAI21" s="75"/>
      <c r="AAJ21" s="75"/>
      <c r="AAK21" s="75"/>
      <c r="AAL21" s="75"/>
      <c r="AAM21" s="75"/>
      <c r="AAN21" s="75"/>
      <c r="AAO21" s="75"/>
      <c r="AAP21" s="75"/>
      <c r="AAQ21" s="75"/>
      <c r="AAR21" s="75"/>
      <c r="AAS21" s="75"/>
      <c r="AAT21" s="75"/>
      <c r="AAU21" s="75"/>
      <c r="AAV21" s="75"/>
      <c r="AAW21" s="75"/>
      <c r="AAX21" s="75"/>
      <c r="AAY21" s="75"/>
      <c r="AAZ21" s="75"/>
      <c r="ABA21" s="75"/>
      <c r="ABB21" s="75"/>
      <c r="ABC21" s="75"/>
    </row>
    <row r="22" spans="1:731">
      <c r="A22" s="75" t="s">
        <v>60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  <c r="BE22" s="75"/>
      <c r="BF22" s="75"/>
      <c r="BG22" s="75"/>
      <c r="BH22" s="75"/>
      <c r="BI22" s="75"/>
      <c r="BJ22" s="75"/>
      <c r="BK22" s="75"/>
      <c r="BL22" s="75"/>
      <c r="BM22" s="75"/>
      <c r="BN22" s="75"/>
      <c r="BO22" s="75"/>
      <c r="BP22" s="75"/>
      <c r="BQ22" s="75"/>
      <c r="BR22" s="75"/>
      <c r="BS22" s="75"/>
      <c r="BT22" s="75"/>
      <c r="BU22" s="75"/>
      <c r="BV22" s="75"/>
      <c r="BW22" s="75"/>
      <c r="BX22" s="75"/>
      <c r="BY22" s="75"/>
      <c r="BZ22" s="75"/>
      <c r="CA22" s="75"/>
      <c r="CB22" s="75"/>
      <c r="CC22" s="75"/>
      <c r="CD22" s="75"/>
      <c r="CE22" s="75"/>
      <c r="CF22" s="75"/>
      <c r="CG22" s="75"/>
      <c r="CH22" s="75"/>
      <c r="CI22" s="75"/>
      <c r="CJ22" s="75"/>
      <c r="CK22" s="75"/>
      <c r="CL22" s="75"/>
      <c r="CM22" s="75"/>
      <c r="CN22" s="75"/>
      <c r="CO22" s="75"/>
      <c r="CP22" s="75"/>
      <c r="CQ22" s="75"/>
      <c r="CR22" s="75"/>
      <c r="CS22" s="75"/>
      <c r="CT22" s="75"/>
      <c r="CU22" s="75"/>
      <c r="CV22" s="75"/>
      <c r="CW22" s="75"/>
      <c r="CX22" s="75"/>
      <c r="CY22" s="75"/>
      <c r="CZ22" s="75"/>
      <c r="DA22" s="75"/>
      <c r="DB22" s="75"/>
      <c r="DC22" s="75"/>
      <c r="DD22" s="75"/>
      <c r="DE22" s="75"/>
      <c r="DF22" s="75"/>
      <c r="DG22" s="75"/>
      <c r="DH22" s="75"/>
      <c r="DI22" s="75"/>
      <c r="DJ22" s="75"/>
      <c r="DK22" s="75"/>
      <c r="DL22" s="75"/>
      <c r="DM22" s="75"/>
      <c r="DN22" s="75"/>
      <c r="DO22" s="75"/>
      <c r="DP22" s="75"/>
      <c r="DQ22" s="75"/>
      <c r="DR22" s="75"/>
      <c r="DS22" s="75"/>
      <c r="DT22" s="75"/>
      <c r="DU22" s="75"/>
      <c r="DV22" s="75"/>
      <c r="DW22" s="75"/>
      <c r="DX22" s="75"/>
      <c r="DY22" s="75"/>
      <c r="DZ22" s="75"/>
      <c r="EA22" s="75"/>
      <c r="EB22" s="75"/>
      <c r="EC22" s="75"/>
      <c r="ED22" s="75"/>
      <c r="EE22" s="75"/>
      <c r="EF22" s="75"/>
      <c r="EG22" s="75"/>
      <c r="EH22" s="75"/>
      <c r="EI22" s="75"/>
      <c r="EJ22" s="75"/>
      <c r="EK22" s="75"/>
      <c r="EL22" s="75"/>
      <c r="EM22" s="75"/>
      <c r="EN22" s="75"/>
      <c r="EO22" s="75"/>
      <c r="EP22" s="75"/>
      <c r="EQ22" s="75"/>
      <c r="ER22" s="75"/>
      <c r="ES22" s="75"/>
      <c r="ET22" s="75"/>
      <c r="EU22" s="75"/>
      <c r="EV22" s="75"/>
      <c r="EW22" s="75"/>
      <c r="EX22" s="75"/>
      <c r="EY22" s="75"/>
      <c r="EZ22" s="75"/>
      <c r="FA22" s="75"/>
      <c r="FB22" s="75"/>
      <c r="FC22" s="75"/>
      <c r="FD22" s="75"/>
      <c r="FE22" s="75"/>
      <c r="FF22" s="75"/>
      <c r="FG22" s="75"/>
      <c r="FH22" s="75"/>
      <c r="FI22" s="75"/>
      <c r="FJ22" s="75"/>
      <c r="FK22" s="75"/>
      <c r="FL22" s="75"/>
      <c r="FM22" s="75"/>
      <c r="FN22" s="75"/>
      <c r="FO22" s="75"/>
      <c r="FP22" s="75"/>
      <c r="FQ22" s="75"/>
      <c r="FR22" s="75"/>
      <c r="FS22" s="75"/>
      <c r="FT22" s="75"/>
      <c r="FU22" s="75"/>
      <c r="FV22" s="75"/>
      <c r="FW22" s="75"/>
      <c r="FX22" s="75"/>
      <c r="FY22" s="75"/>
      <c r="FZ22" s="75"/>
      <c r="GA22" s="75"/>
      <c r="GB22" s="75"/>
      <c r="GC22" s="75"/>
      <c r="GD22" s="75"/>
      <c r="GE22" s="75"/>
      <c r="GF22" s="75"/>
      <c r="GG22" s="75"/>
      <c r="GH22" s="75"/>
      <c r="GI22" s="75"/>
      <c r="GJ22" s="75"/>
      <c r="GK22" s="75"/>
      <c r="GL22" s="75"/>
      <c r="GM22" s="75"/>
      <c r="GN22" s="75"/>
      <c r="GO22" s="75"/>
      <c r="GP22" s="75"/>
      <c r="GQ22" s="75"/>
      <c r="GR22" s="75"/>
      <c r="GS22" s="75"/>
      <c r="GT22" s="75"/>
      <c r="GU22" s="75"/>
      <c r="GV22" s="75"/>
      <c r="GW22" s="75"/>
      <c r="GX22" s="75"/>
      <c r="GY22" s="75"/>
      <c r="GZ22" s="75"/>
      <c r="HA22" s="75"/>
      <c r="HB22" s="75"/>
      <c r="HC22" s="75"/>
      <c r="HD22" s="75"/>
      <c r="HE22" s="75"/>
      <c r="HF22" s="75"/>
      <c r="HG22" s="75"/>
      <c r="HH22" s="75"/>
      <c r="HI22" s="75"/>
      <c r="HJ22" s="75"/>
      <c r="HK22" s="75"/>
      <c r="HL22" s="75"/>
      <c r="HM22" s="75"/>
      <c r="HN22" s="75"/>
      <c r="HO22" s="75"/>
      <c r="HP22" s="75"/>
      <c r="HQ22" s="75"/>
      <c r="HR22" s="75"/>
      <c r="HS22" s="75"/>
      <c r="HT22" s="75"/>
      <c r="HU22" s="75"/>
      <c r="HV22" s="75"/>
      <c r="HW22" s="75"/>
      <c r="HX22" s="75"/>
      <c r="HY22" s="75"/>
      <c r="HZ22" s="75"/>
      <c r="IA22" s="75"/>
      <c r="IB22" s="75"/>
      <c r="IC22" s="75"/>
      <c r="ID22" s="75"/>
      <c r="IE22" s="75"/>
      <c r="IF22" s="75"/>
      <c r="IG22" s="75"/>
      <c r="IH22" s="75"/>
      <c r="II22" s="75"/>
      <c r="IJ22" s="75"/>
      <c r="IK22" s="75"/>
      <c r="IL22" s="75"/>
      <c r="IM22" s="75"/>
      <c r="IN22" s="75"/>
      <c r="IO22" s="75"/>
      <c r="IP22" s="75"/>
      <c r="IQ22" s="75"/>
      <c r="IR22" s="75"/>
      <c r="IS22" s="75"/>
      <c r="IT22" s="75"/>
      <c r="IU22" s="75"/>
      <c r="IV22" s="75"/>
      <c r="IW22" s="75"/>
      <c r="IX22" s="75"/>
      <c r="IY22" s="75"/>
      <c r="IZ22" s="75"/>
      <c r="JA22" s="75"/>
      <c r="JB22" s="75"/>
      <c r="JC22" s="75"/>
      <c r="JD22" s="75"/>
      <c r="JE22" s="75"/>
      <c r="JF22" s="75"/>
      <c r="JG22" s="75"/>
      <c r="JH22" s="75"/>
      <c r="JI22" s="75"/>
      <c r="JJ22" s="75"/>
      <c r="JK22" s="75"/>
      <c r="JL22" s="75"/>
      <c r="JM22" s="75"/>
      <c r="JN22" s="75"/>
      <c r="JO22" s="75"/>
      <c r="JP22" s="75"/>
      <c r="JQ22" s="75"/>
      <c r="JR22" s="75"/>
      <c r="JS22" s="75"/>
      <c r="JT22" s="75"/>
      <c r="JU22" s="75"/>
      <c r="JV22" s="75"/>
      <c r="JW22" s="75"/>
      <c r="JX22" s="75"/>
      <c r="JY22" s="75"/>
      <c r="JZ22" s="75"/>
      <c r="KA22" s="75"/>
      <c r="KB22" s="75"/>
      <c r="KC22" s="75"/>
      <c r="KD22" s="75"/>
      <c r="KE22" s="75"/>
      <c r="KF22" s="75"/>
      <c r="KG22" s="75"/>
      <c r="KH22" s="75"/>
      <c r="KI22" s="75"/>
      <c r="KJ22" s="75"/>
      <c r="KK22" s="75"/>
      <c r="KL22" s="75"/>
      <c r="KM22" s="75"/>
      <c r="KN22" s="75"/>
      <c r="KO22" s="75"/>
      <c r="KP22" s="75"/>
      <c r="KQ22" s="75"/>
      <c r="KR22" s="75"/>
      <c r="KS22" s="75"/>
      <c r="KT22" s="75"/>
      <c r="KU22" s="75"/>
      <c r="KV22" s="75"/>
      <c r="KW22" s="75"/>
      <c r="KX22" s="75"/>
      <c r="KY22" s="75"/>
      <c r="KZ22" s="75"/>
      <c r="LA22" s="75"/>
      <c r="LB22" s="75"/>
      <c r="LC22" s="75"/>
      <c r="LD22" s="75"/>
      <c r="LE22" s="75"/>
      <c r="LF22" s="75"/>
      <c r="LG22" s="75"/>
      <c r="LH22" s="75"/>
      <c r="LI22" s="75"/>
      <c r="LJ22" s="75"/>
      <c r="LK22" s="75"/>
      <c r="LL22" s="75"/>
      <c r="LM22" s="75"/>
      <c r="LN22" s="75"/>
      <c r="LO22" s="75"/>
      <c r="LP22" s="75"/>
      <c r="LQ22" s="75"/>
      <c r="LR22" s="75"/>
      <c r="LS22" s="75"/>
      <c r="LT22" s="75"/>
      <c r="LU22" s="75"/>
      <c r="LV22" s="75"/>
      <c r="LW22" s="75"/>
      <c r="LX22" s="75"/>
      <c r="LY22" s="75"/>
      <c r="LZ22" s="75"/>
      <c r="MA22" s="75"/>
      <c r="MB22" s="75"/>
      <c r="MC22" s="75"/>
      <c r="MD22" s="75"/>
      <c r="ME22" s="75"/>
      <c r="MF22" s="75"/>
      <c r="MG22" s="75"/>
      <c r="MH22" s="75"/>
      <c r="MI22" s="75"/>
      <c r="MJ22" s="75"/>
      <c r="MK22" s="75"/>
      <c r="ML22" s="75"/>
      <c r="MM22" s="75"/>
      <c r="MN22" s="75"/>
      <c r="MO22" s="75"/>
      <c r="MP22" s="75"/>
      <c r="MQ22" s="75"/>
      <c r="MR22" s="75"/>
      <c r="MS22" s="75"/>
      <c r="MT22" s="75"/>
      <c r="MU22" s="75"/>
      <c r="MV22" s="75"/>
      <c r="MW22" s="75"/>
      <c r="MX22" s="75"/>
      <c r="MY22" s="75"/>
      <c r="MZ22" s="75"/>
      <c r="NA22" s="75"/>
      <c r="NB22" s="75"/>
      <c r="NC22" s="75"/>
      <c r="ND22" s="75"/>
      <c r="NE22" s="75"/>
      <c r="NF22" s="75"/>
      <c r="NG22" s="75"/>
      <c r="NH22" s="75"/>
      <c r="NI22" s="75"/>
      <c r="NJ22" s="75"/>
      <c r="NK22" s="75"/>
      <c r="NL22" s="75"/>
      <c r="NM22" s="75"/>
      <c r="NN22" s="75"/>
      <c r="NO22" s="75"/>
      <c r="NP22" s="75"/>
      <c r="NQ22" s="75"/>
      <c r="NR22" s="75"/>
      <c r="NS22" s="75"/>
      <c r="NT22" s="75"/>
      <c r="NU22" s="75"/>
      <c r="NV22" s="75"/>
      <c r="NW22" s="75"/>
      <c r="NX22" s="75"/>
      <c r="NY22" s="75"/>
      <c r="NZ22" s="75"/>
      <c r="OA22" s="75"/>
      <c r="OB22" s="75"/>
      <c r="OC22" s="75"/>
      <c r="OD22" s="75"/>
      <c r="OE22" s="75"/>
      <c r="OF22" s="75"/>
      <c r="OG22" s="75"/>
      <c r="OH22" s="75"/>
      <c r="OI22" s="75"/>
      <c r="OJ22" s="75"/>
      <c r="OK22" s="75"/>
      <c r="OL22" s="75"/>
      <c r="OM22" s="75"/>
      <c r="ON22" s="75"/>
      <c r="OO22" s="75"/>
      <c r="OP22" s="75"/>
      <c r="OQ22" s="75"/>
      <c r="OR22" s="75"/>
      <c r="OS22" s="75"/>
      <c r="OT22" s="75"/>
      <c r="OU22" s="75"/>
      <c r="OV22" s="75"/>
      <c r="OW22" s="75"/>
      <c r="OX22" s="75"/>
      <c r="OY22" s="75"/>
      <c r="OZ22" s="75"/>
      <c r="PA22" s="75"/>
      <c r="PB22" s="75"/>
      <c r="PC22" s="75"/>
      <c r="PD22" s="75"/>
      <c r="PE22" s="75"/>
      <c r="PF22" s="75"/>
      <c r="PG22" s="75"/>
      <c r="PH22" s="75"/>
      <c r="PI22" s="75"/>
      <c r="PJ22" s="75"/>
      <c r="PK22" s="75"/>
      <c r="PL22" s="75"/>
      <c r="PM22" s="75"/>
      <c r="PN22" s="75"/>
      <c r="PO22" s="75"/>
      <c r="PP22" s="75"/>
      <c r="PQ22" s="75"/>
      <c r="PR22" s="75"/>
      <c r="PS22" s="75"/>
      <c r="PT22" s="75"/>
      <c r="PU22" s="75"/>
      <c r="PV22" s="75"/>
      <c r="PW22" s="75"/>
      <c r="PX22" s="75"/>
      <c r="PY22" s="75"/>
      <c r="PZ22" s="75"/>
      <c r="QA22" s="75"/>
      <c r="QB22" s="75"/>
      <c r="QC22" s="75"/>
      <c r="QD22" s="75"/>
      <c r="QE22" s="75"/>
      <c r="QF22" s="75"/>
      <c r="QG22" s="75"/>
      <c r="QH22" s="75"/>
      <c r="QI22" s="75"/>
      <c r="QJ22" s="75"/>
      <c r="QK22" s="75"/>
      <c r="QL22" s="75"/>
      <c r="QM22" s="75"/>
      <c r="QN22" s="75"/>
      <c r="QO22" s="75"/>
      <c r="QP22" s="75"/>
      <c r="QQ22" s="75"/>
      <c r="QR22" s="75"/>
      <c r="QS22" s="75"/>
      <c r="QT22" s="75"/>
      <c r="QU22" s="75"/>
      <c r="QV22" s="75"/>
      <c r="QW22" s="75"/>
      <c r="QX22" s="75"/>
      <c r="QY22" s="75"/>
      <c r="QZ22" s="75"/>
      <c r="RA22" s="75"/>
      <c r="RB22" s="75"/>
      <c r="RC22" s="75"/>
      <c r="RD22" s="75"/>
      <c r="RE22" s="75"/>
      <c r="RF22" s="75"/>
      <c r="RG22" s="75"/>
      <c r="RH22" s="75"/>
      <c r="RI22" s="75"/>
      <c r="RJ22" s="75"/>
      <c r="RK22" s="75"/>
      <c r="RL22" s="75"/>
      <c r="RM22" s="75"/>
      <c r="RN22" s="75"/>
      <c r="RO22" s="75"/>
      <c r="RP22" s="75"/>
      <c r="RQ22" s="75"/>
      <c r="RR22" s="75"/>
      <c r="RS22" s="75"/>
      <c r="RT22" s="75"/>
      <c r="RU22" s="75"/>
      <c r="RV22" s="75"/>
      <c r="RW22" s="75"/>
      <c r="RX22" s="75"/>
      <c r="RY22" s="75"/>
      <c r="RZ22" s="75"/>
      <c r="SA22" s="75"/>
      <c r="SB22" s="75"/>
      <c r="SC22" s="75"/>
      <c r="SD22" s="75"/>
      <c r="SE22" s="75"/>
      <c r="SF22" s="75"/>
      <c r="SG22" s="75"/>
      <c r="SH22" s="75"/>
      <c r="SI22" s="75"/>
      <c r="SJ22" s="75"/>
      <c r="SK22" s="75"/>
      <c r="SL22" s="75"/>
      <c r="SM22" s="75"/>
      <c r="SN22" s="75"/>
      <c r="SO22" s="75"/>
      <c r="SP22" s="75"/>
      <c r="SQ22" s="75"/>
      <c r="SR22" s="75"/>
      <c r="SS22" s="75"/>
      <c r="ST22" s="75"/>
      <c r="SU22" s="75"/>
      <c r="SV22" s="75"/>
      <c r="SW22" s="75"/>
      <c r="SX22" s="75"/>
      <c r="SY22" s="75"/>
      <c r="SZ22" s="75"/>
      <c r="TA22" s="75">
        <v>6</v>
      </c>
      <c r="TB22" s="75"/>
      <c r="TC22" s="75">
        <v>10</v>
      </c>
      <c r="TD22" s="75">
        <v>10</v>
      </c>
      <c r="TE22" s="75">
        <v>10</v>
      </c>
      <c r="TF22" s="75">
        <v>10</v>
      </c>
      <c r="TG22" s="75">
        <v>10</v>
      </c>
      <c r="TH22" s="75">
        <v>18</v>
      </c>
      <c r="TI22" s="75"/>
      <c r="TJ22" s="75">
        <v>20</v>
      </c>
      <c r="TK22" s="75">
        <v>20</v>
      </c>
      <c r="TL22" s="75">
        <v>20</v>
      </c>
      <c r="TM22" s="75">
        <v>20</v>
      </c>
      <c r="TN22" s="75">
        <v>20</v>
      </c>
      <c r="TO22" s="75">
        <v>20</v>
      </c>
      <c r="TP22" s="75"/>
      <c r="TQ22" s="75">
        <v>20</v>
      </c>
      <c r="TR22" s="75">
        <v>20</v>
      </c>
      <c r="TS22" s="75">
        <v>14</v>
      </c>
      <c r="TT22" s="75">
        <v>10</v>
      </c>
      <c r="TU22" s="75">
        <v>16</v>
      </c>
      <c r="TV22" s="75">
        <v>20</v>
      </c>
      <c r="TW22" s="75"/>
      <c r="TX22" s="75">
        <v>26</v>
      </c>
      <c r="TY22" s="75">
        <v>30</v>
      </c>
      <c r="TZ22" s="75">
        <v>22</v>
      </c>
      <c r="UA22" s="75">
        <v>20</v>
      </c>
      <c r="UB22" s="75">
        <v>26</v>
      </c>
      <c r="UC22" s="75">
        <v>36</v>
      </c>
      <c r="UD22" s="75"/>
      <c r="UE22" s="75">
        <v>40</v>
      </c>
      <c r="UF22" s="75">
        <v>40</v>
      </c>
      <c r="UG22" s="75">
        <v>40</v>
      </c>
      <c r="UH22" s="75">
        <v>40</v>
      </c>
      <c r="UI22" s="75">
        <v>40</v>
      </c>
      <c r="UJ22" s="75">
        <v>40</v>
      </c>
      <c r="UK22" s="75"/>
      <c r="UL22" s="75">
        <v>40</v>
      </c>
      <c r="UM22" s="75">
        <v>34</v>
      </c>
      <c r="UN22" s="75">
        <v>30</v>
      </c>
      <c r="UO22" s="75">
        <v>24</v>
      </c>
      <c r="UP22" s="75">
        <v>20</v>
      </c>
      <c r="UQ22" s="75">
        <v>20</v>
      </c>
      <c r="UR22" s="75"/>
      <c r="US22" s="75">
        <v>20</v>
      </c>
      <c r="UT22" s="75">
        <v>14</v>
      </c>
      <c r="UU22" s="75">
        <v>4</v>
      </c>
      <c r="UV22" s="75"/>
      <c r="UW22" s="75"/>
      <c r="UX22" s="75"/>
      <c r="UY22" s="75"/>
      <c r="UZ22" s="75"/>
      <c r="VA22" s="75"/>
      <c r="VB22" s="75"/>
      <c r="VC22" s="75"/>
      <c r="VD22" s="75"/>
      <c r="VE22" s="75"/>
      <c r="VF22" s="75"/>
      <c r="VG22" s="75"/>
      <c r="VH22" s="75"/>
      <c r="VI22" s="75"/>
      <c r="VJ22" s="75"/>
      <c r="VK22" s="75"/>
      <c r="VL22" s="75"/>
      <c r="VM22" s="75"/>
      <c r="VN22" s="75"/>
      <c r="VO22" s="75"/>
      <c r="VP22" s="75"/>
      <c r="VQ22" s="75"/>
      <c r="VR22" s="75"/>
      <c r="VS22" s="75"/>
      <c r="VT22" s="75"/>
      <c r="VU22" s="75"/>
      <c r="VV22" s="75"/>
      <c r="VW22" s="75"/>
      <c r="VX22" s="75"/>
      <c r="VY22" s="75"/>
      <c r="VZ22" s="75"/>
      <c r="WA22" s="75"/>
      <c r="WB22" s="75"/>
      <c r="WC22" s="75"/>
      <c r="WD22" s="75"/>
      <c r="WE22" s="75"/>
      <c r="WF22" s="75"/>
      <c r="WG22" s="75"/>
      <c r="WH22" s="75"/>
      <c r="WI22" s="75"/>
      <c r="WJ22" s="75"/>
      <c r="WK22" s="75"/>
      <c r="WL22" s="75"/>
      <c r="WM22" s="75"/>
      <c r="WN22" s="75"/>
      <c r="WO22" s="75"/>
      <c r="WP22" s="75"/>
      <c r="WQ22" s="75"/>
      <c r="WR22" s="75"/>
      <c r="WS22" s="75"/>
      <c r="WT22" s="75"/>
      <c r="WU22" s="75"/>
      <c r="WV22" s="75"/>
      <c r="WW22" s="75"/>
      <c r="WX22" s="75"/>
      <c r="WY22" s="75"/>
      <c r="WZ22" s="75"/>
      <c r="XA22" s="75"/>
      <c r="XB22" s="75"/>
      <c r="XC22" s="75"/>
      <c r="XD22" s="75"/>
      <c r="XE22" s="75"/>
      <c r="XF22" s="75"/>
      <c r="XG22" s="75"/>
      <c r="XH22" s="75"/>
      <c r="XI22" s="75"/>
      <c r="XJ22" s="75"/>
      <c r="XK22" s="75"/>
      <c r="XL22" s="75"/>
      <c r="XM22" s="75"/>
      <c r="XN22" s="75"/>
      <c r="XO22" s="75"/>
      <c r="XP22" s="75"/>
      <c r="XQ22" s="75"/>
      <c r="XR22" s="75"/>
      <c r="XS22" s="75"/>
      <c r="XT22" s="75"/>
      <c r="XU22" s="75"/>
      <c r="XV22" s="75"/>
      <c r="XW22" s="75"/>
      <c r="XX22" s="75"/>
      <c r="XY22" s="75"/>
      <c r="XZ22" s="75"/>
      <c r="YA22" s="75"/>
      <c r="YB22" s="75"/>
      <c r="YC22" s="75"/>
      <c r="YD22" s="75"/>
      <c r="YE22" s="75"/>
      <c r="YF22" s="75"/>
      <c r="YG22" s="75"/>
      <c r="YH22" s="75"/>
      <c r="YI22" s="75"/>
      <c r="YJ22" s="75"/>
      <c r="YK22" s="75"/>
      <c r="YL22" s="75"/>
      <c r="YM22" s="75"/>
      <c r="YN22" s="75"/>
      <c r="YO22" s="75"/>
      <c r="YP22" s="75"/>
      <c r="YQ22" s="75"/>
      <c r="YR22" s="75"/>
      <c r="YS22" s="75"/>
      <c r="YT22" s="75"/>
      <c r="YU22" s="75"/>
      <c r="YV22" s="75"/>
      <c r="YW22" s="75"/>
      <c r="YX22" s="75"/>
      <c r="YY22" s="75"/>
      <c r="YZ22" s="75"/>
      <c r="ZA22" s="75"/>
      <c r="ZB22" s="75"/>
      <c r="ZC22" s="75"/>
      <c r="ZD22" s="75"/>
      <c r="ZE22" s="75"/>
      <c r="ZF22" s="75"/>
      <c r="ZG22" s="75"/>
      <c r="ZH22" s="75"/>
      <c r="ZI22" s="75"/>
      <c r="ZJ22" s="75"/>
      <c r="ZK22" s="75"/>
      <c r="ZL22" s="75"/>
      <c r="ZM22" s="75"/>
      <c r="ZN22" s="75"/>
      <c r="ZO22" s="75"/>
      <c r="ZP22" s="75"/>
      <c r="ZQ22" s="75"/>
      <c r="ZR22" s="75"/>
      <c r="ZS22" s="75"/>
      <c r="ZT22" s="75"/>
      <c r="ZU22" s="75"/>
      <c r="ZV22" s="75"/>
      <c r="ZW22" s="75"/>
      <c r="ZX22" s="75"/>
      <c r="ZY22" s="75"/>
      <c r="ZZ22" s="75"/>
      <c r="AAA22" s="75"/>
      <c r="AAB22" s="75"/>
      <c r="AAC22" s="75"/>
      <c r="AAD22" s="75"/>
      <c r="AAE22" s="75"/>
      <c r="AAF22" s="75"/>
      <c r="AAG22" s="75"/>
      <c r="AAH22" s="75"/>
      <c r="AAI22" s="75"/>
      <c r="AAJ22" s="75"/>
      <c r="AAK22" s="75"/>
      <c r="AAL22" s="75"/>
      <c r="AAM22" s="75"/>
      <c r="AAN22" s="75"/>
      <c r="AAO22" s="75"/>
      <c r="AAP22" s="75"/>
      <c r="AAQ22" s="75"/>
      <c r="AAR22" s="75"/>
      <c r="AAS22" s="75"/>
      <c r="AAT22" s="75"/>
      <c r="AAU22" s="75"/>
      <c r="AAV22" s="75"/>
      <c r="AAW22" s="75"/>
      <c r="AAX22" s="75"/>
      <c r="AAY22" s="75"/>
      <c r="AAZ22" s="75"/>
      <c r="ABA22" s="75"/>
      <c r="ABB22" s="75"/>
      <c r="ABC22" s="75"/>
    </row>
    <row r="23" spans="1:731">
      <c r="A23" s="75" t="s">
        <v>61</v>
      </c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5"/>
      <c r="BF23" s="75"/>
      <c r="BG23" s="75"/>
      <c r="BH23" s="75"/>
      <c r="BI23" s="75"/>
      <c r="BJ23" s="75"/>
      <c r="BK23" s="75"/>
      <c r="BL23" s="75"/>
      <c r="BM23" s="75"/>
      <c r="BN23" s="75"/>
      <c r="BO23" s="75"/>
      <c r="BP23" s="75"/>
      <c r="BQ23" s="75"/>
      <c r="BR23" s="75"/>
      <c r="BS23" s="75"/>
      <c r="BT23" s="75"/>
      <c r="BU23" s="75"/>
      <c r="BV23" s="75"/>
      <c r="BW23" s="75"/>
      <c r="BX23" s="75"/>
      <c r="BY23" s="75"/>
      <c r="BZ23" s="75"/>
      <c r="CA23" s="75"/>
      <c r="CB23" s="75"/>
      <c r="CC23" s="75"/>
      <c r="CD23" s="75"/>
      <c r="CE23" s="75"/>
      <c r="CF23" s="75"/>
      <c r="CG23" s="75"/>
      <c r="CH23" s="75"/>
      <c r="CI23" s="75"/>
      <c r="CJ23" s="75"/>
      <c r="CK23" s="75"/>
      <c r="CL23" s="75"/>
      <c r="CM23" s="75"/>
      <c r="CN23" s="75"/>
      <c r="CO23" s="75"/>
      <c r="CP23" s="75"/>
      <c r="CQ23" s="75"/>
      <c r="CR23" s="75"/>
      <c r="CS23" s="75"/>
      <c r="CT23" s="75"/>
      <c r="CU23" s="75"/>
      <c r="CV23" s="75"/>
      <c r="CW23" s="75"/>
      <c r="CX23" s="75"/>
      <c r="CY23" s="75"/>
      <c r="CZ23" s="75"/>
      <c r="DA23" s="75"/>
      <c r="DB23" s="75"/>
      <c r="DC23" s="75"/>
      <c r="DD23" s="75"/>
      <c r="DE23" s="75"/>
      <c r="DF23" s="75"/>
      <c r="DG23" s="75"/>
      <c r="DH23" s="75"/>
      <c r="DI23" s="75"/>
      <c r="DJ23" s="75"/>
      <c r="DK23" s="75"/>
      <c r="DL23" s="75"/>
      <c r="DM23" s="75"/>
      <c r="DN23" s="75"/>
      <c r="DO23" s="75"/>
      <c r="DP23" s="75"/>
      <c r="DQ23" s="75"/>
      <c r="DR23" s="75"/>
      <c r="DS23" s="75"/>
      <c r="DT23" s="75"/>
      <c r="DU23" s="75"/>
      <c r="DV23" s="75"/>
      <c r="DW23" s="75"/>
      <c r="DX23" s="75"/>
      <c r="DY23" s="75"/>
      <c r="DZ23" s="75"/>
      <c r="EA23" s="75"/>
      <c r="EB23" s="75"/>
      <c r="EC23" s="75"/>
      <c r="ED23" s="75"/>
      <c r="EE23" s="75"/>
      <c r="EF23" s="75"/>
      <c r="EG23" s="75"/>
      <c r="EH23" s="75"/>
      <c r="EI23" s="75"/>
      <c r="EJ23" s="75"/>
      <c r="EK23" s="75"/>
      <c r="EL23" s="75"/>
      <c r="EM23" s="75"/>
      <c r="EN23" s="75"/>
      <c r="EO23" s="75"/>
      <c r="EP23" s="75"/>
      <c r="EQ23" s="75"/>
      <c r="ER23" s="75"/>
      <c r="ES23" s="75"/>
      <c r="ET23" s="75"/>
      <c r="EU23" s="75"/>
      <c r="EV23" s="75"/>
      <c r="EW23" s="75"/>
      <c r="EX23" s="75"/>
      <c r="EY23" s="75"/>
      <c r="EZ23" s="75"/>
      <c r="FA23" s="75"/>
      <c r="FB23" s="75"/>
      <c r="FC23" s="75"/>
      <c r="FD23" s="75"/>
      <c r="FE23" s="75"/>
      <c r="FF23" s="75"/>
      <c r="FG23" s="75"/>
      <c r="FH23" s="75"/>
      <c r="FI23" s="75"/>
      <c r="FJ23" s="75"/>
      <c r="FK23" s="75"/>
      <c r="FL23" s="75"/>
      <c r="FM23" s="75"/>
      <c r="FN23" s="75"/>
      <c r="FO23" s="75"/>
      <c r="FP23" s="75"/>
      <c r="FQ23" s="75"/>
      <c r="FR23" s="75"/>
      <c r="FS23" s="75"/>
      <c r="FT23" s="75"/>
      <c r="FU23" s="75"/>
      <c r="FV23" s="75"/>
      <c r="FW23" s="75"/>
      <c r="FX23" s="75"/>
      <c r="FY23" s="75"/>
      <c r="FZ23" s="75"/>
      <c r="GA23" s="75"/>
      <c r="GB23" s="75"/>
      <c r="GC23" s="75"/>
      <c r="GD23" s="75"/>
      <c r="GE23" s="75"/>
      <c r="GF23" s="75"/>
      <c r="GG23" s="75"/>
      <c r="GH23" s="75"/>
      <c r="GI23" s="75"/>
      <c r="GJ23" s="75"/>
      <c r="GK23" s="75"/>
      <c r="GL23" s="75"/>
      <c r="GM23" s="75"/>
      <c r="GN23" s="75"/>
      <c r="GO23" s="75"/>
      <c r="GP23" s="75"/>
      <c r="GQ23" s="75"/>
      <c r="GR23" s="75"/>
      <c r="GS23" s="75"/>
      <c r="GT23" s="75"/>
      <c r="GU23" s="75"/>
      <c r="GV23" s="75"/>
      <c r="GW23" s="75"/>
      <c r="GX23" s="75"/>
      <c r="GY23" s="75"/>
      <c r="GZ23" s="75"/>
      <c r="HA23" s="75"/>
      <c r="HB23" s="75"/>
      <c r="HC23" s="75"/>
      <c r="HD23" s="75"/>
      <c r="HE23" s="75"/>
      <c r="HF23" s="75"/>
      <c r="HG23" s="75"/>
      <c r="HH23" s="75"/>
      <c r="HI23" s="75"/>
      <c r="HJ23" s="75"/>
      <c r="HK23" s="75"/>
      <c r="HL23" s="75"/>
      <c r="HM23" s="75"/>
      <c r="HN23" s="75"/>
      <c r="HO23" s="75"/>
      <c r="HP23" s="75"/>
      <c r="HQ23" s="75"/>
      <c r="HR23" s="75"/>
      <c r="HS23" s="75"/>
      <c r="HT23" s="75"/>
      <c r="HU23" s="75"/>
      <c r="HV23" s="75"/>
      <c r="HW23" s="75"/>
      <c r="HX23" s="75"/>
      <c r="HY23" s="75"/>
      <c r="HZ23" s="75"/>
      <c r="IA23" s="75"/>
      <c r="IB23" s="75"/>
      <c r="IC23" s="75"/>
      <c r="ID23" s="75"/>
      <c r="IE23" s="75"/>
      <c r="IF23" s="75"/>
      <c r="IG23" s="75"/>
      <c r="IH23" s="75"/>
      <c r="II23" s="75"/>
      <c r="IJ23" s="75"/>
      <c r="IK23" s="75"/>
      <c r="IL23" s="75"/>
      <c r="IM23" s="75"/>
      <c r="IN23" s="75"/>
      <c r="IO23" s="75"/>
      <c r="IP23" s="75"/>
      <c r="IQ23" s="75"/>
      <c r="IR23" s="75"/>
      <c r="IS23" s="75"/>
      <c r="IT23" s="75"/>
      <c r="IU23" s="75"/>
      <c r="IV23" s="75"/>
      <c r="IW23" s="75"/>
      <c r="IX23" s="75"/>
      <c r="IY23" s="75"/>
      <c r="IZ23" s="75"/>
      <c r="JA23" s="75"/>
      <c r="JB23" s="75"/>
      <c r="JC23" s="75"/>
      <c r="JD23" s="75"/>
      <c r="JE23" s="75"/>
      <c r="JF23" s="75"/>
      <c r="JG23" s="75"/>
      <c r="JH23" s="75"/>
      <c r="JI23" s="75"/>
      <c r="JJ23" s="75"/>
      <c r="JK23" s="75"/>
      <c r="JL23" s="75"/>
      <c r="JM23" s="75"/>
      <c r="JN23" s="75"/>
      <c r="JO23" s="75"/>
      <c r="JP23" s="75"/>
      <c r="JQ23" s="75"/>
      <c r="JR23" s="75"/>
      <c r="JS23" s="75"/>
      <c r="JT23" s="75"/>
      <c r="JU23" s="75"/>
      <c r="JV23" s="75"/>
      <c r="JW23" s="75"/>
      <c r="JX23" s="75"/>
      <c r="JY23" s="75"/>
      <c r="JZ23" s="75"/>
      <c r="KA23" s="75"/>
      <c r="KB23" s="75"/>
      <c r="KC23" s="75"/>
      <c r="KD23" s="75"/>
      <c r="KE23" s="75"/>
      <c r="KF23" s="75"/>
      <c r="KG23" s="75"/>
      <c r="KH23" s="75"/>
      <c r="KI23" s="75"/>
      <c r="KJ23" s="75"/>
      <c r="KK23" s="75"/>
      <c r="KL23" s="75"/>
      <c r="KM23" s="75"/>
      <c r="KN23" s="75"/>
      <c r="KO23" s="75"/>
      <c r="KP23" s="75"/>
      <c r="KQ23" s="75"/>
      <c r="KR23" s="75"/>
      <c r="KS23" s="75"/>
      <c r="KT23" s="75"/>
      <c r="KU23" s="75"/>
      <c r="KV23" s="75"/>
      <c r="KW23" s="75"/>
      <c r="KX23" s="75"/>
      <c r="KY23" s="75"/>
      <c r="KZ23" s="75"/>
      <c r="LA23" s="75"/>
      <c r="LB23" s="75"/>
      <c r="LC23" s="75"/>
      <c r="LD23" s="75"/>
      <c r="LE23" s="75"/>
      <c r="LF23" s="75"/>
      <c r="LG23" s="75"/>
      <c r="LH23" s="75"/>
      <c r="LI23" s="75"/>
      <c r="LJ23" s="75"/>
      <c r="LK23" s="75"/>
      <c r="LL23" s="75"/>
      <c r="LM23" s="75"/>
      <c r="LN23" s="75"/>
      <c r="LO23" s="75"/>
      <c r="LP23" s="75"/>
      <c r="LQ23" s="75"/>
      <c r="LR23" s="75"/>
      <c r="LS23" s="75"/>
      <c r="LT23" s="75"/>
      <c r="LU23" s="75"/>
      <c r="LV23" s="75"/>
      <c r="LW23" s="75"/>
      <c r="LX23" s="75"/>
      <c r="LY23" s="75"/>
      <c r="LZ23" s="75"/>
      <c r="MA23" s="75"/>
      <c r="MB23" s="75"/>
      <c r="MC23" s="75"/>
      <c r="MD23" s="75"/>
      <c r="ME23" s="75"/>
      <c r="MF23" s="75"/>
      <c r="MG23" s="75"/>
      <c r="MH23" s="75"/>
      <c r="MI23" s="75"/>
      <c r="MJ23" s="75"/>
      <c r="MK23" s="75"/>
      <c r="ML23" s="75"/>
      <c r="MM23" s="75"/>
      <c r="MN23" s="75"/>
      <c r="MO23" s="75"/>
      <c r="MP23" s="75"/>
      <c r="MQ23" s="75"/>
      <c r="MR23" s="75"/>
      <c r="MS23" s="75"/>
      <c r="MT23" s="75"/>
      <c r="MU23" s="75"/>
      <c r="MV23" s="75"/>
      <c r="MW23" s="75"/>
      <c r="MX23" s="75"/>
      <c r="MY23" s="75"/>
      <c r="MZ23" s="75"/>
      <c r="NA23" s="75"/>
      <c r="NB23" s="75"/>
      <c r="NC23" s="75"/>
      <c r="ND23" s="75"/>
      <c r="NE23" s="75"/>
      <c r="NF23" s="75"/>
      <c r="NG23" s="75"/>
      <c r="NH23" s="75"/>
      <c r="NI23" s="75"/>
      <c r="NJ23" s="75"/>
      <c r="NK23" s="75"/>
      <c r="NL23" s="75"/>
      <c r="NM23" s="75"/>
      <c r="NN23" s="75"/>
      <c r="NO23" s="75"/>
      <c r="NP23" s="75"/>
      <c r="NQ23" s="75"/>
      <c r="NR23" s="75"/>
      <c r="NS23" s="75"/>
      <c r="NT23" s="75"/>
      <c r="NU23" s="75"/>
      <c r="NV23" s="75"/>
      <c r="NW23" s="75"/>
      <c r="NX23" s="75"/>
      <c r="NY23" s="75"/>
      <c r="NZ23" s="75"/>
      <c r="OA23" s="75"/>
      <c r="OB23" s="75"/>
      <c r="OC23" s="75"/>
      <c r="OD23" s="75"/>
      <c r="OE23" s="75"/>
      <c r="OF23" s="75"/>
      <c r="OG23" s="75"/>
      <c r="OH23" s="75"/>
      <c r="OI23" s="75"/>
      <c r="OJ23" s="75"/>
      <c r="OK23" s="75"/>
      <c r="OL23" s="75"/>
      <c r="OM23" s="75"/>
      <c r="ON23" s="75"/>
      <c r="OO23" s="75"/>
      <c r="OP23" s="75"/>
      <c r="OQ23" s="75"/>
      <c r="OR23" s="75"/>
      <c r="OS23" s="75"/>
      <c r="OT23" s="75"/>
      <c r="OU23" s="75"/>
      <c r="OV23" s="75"/>
      <c r="OW23" s="75"/>
      <c r="OX23" s="75"/>
      <c r="OY23" s="75"/>
      <c r="OZ23" s="75"/>
      <c r="PA23" s="75"/>
      <c r="PB23" s="75"/>
      <c r="PC23" s="75"/>
      <c r="PD23" s="75"/>
      <c r="PE23" s="75"/>
      <c r="PF23" s="75"/>
      <c r="PG23" s="75"/>
      <c r="PH23" s="75"/>
      <c r="PI23" s="75"/>
      <c r="PJ23" s="75"/>
      <c r="PK23" s="75"/>
      <c r="PL23" s="75"/>
      <c r="PM23" s="75"/>
      <c r="PN23" s="75"/>
      <c r="PO23" s="75"/>
      <c r="PP23" s="75"/>
      <c r="PQ23" s="75"/>
      <c r="PR23" s="75">
        <v>10</v>
      </c>
      <c r="PS23" s="75">
        <v>10</v>
      </c>
      <c r="PT23" s="75">
        <v>10</v>
      </c>
      <c r="PU23" s="75">
        <v>10</v>
      </c>
      <c r="PV23" s="75"/>
      <c r="PW23" s="75">
        <v>10</v>
      </c>
      <c r="PX23" s="75">
        <v>10</v>
      </c>
      <c r="PY23" s="75">
        <v>10</v>
      </c>
      <c r="PZ23" s="75">
        <v>10</v>
      </c>
      <c r="QA23" s="75">
        <v>10</v>
      </c>
      <c r="QB23" s="75">
        <v>20</v>
      </c>
      <c r="QC23" s="75"/>
      <c r="QD23" s="75">
        <v>20</v>
      </c>
      <c r="QE23" s="75">
        <v>20</v>
      </c>
      <c r="QF23" s="75">
        <v>20</v>
      </c>
      <c r="QG23" s="75">
        <v>20</v>
      </c>
      <c r="QH23" s="75">
        <v>28</v>
      </c>
      <c r="QI23" s="75">
        <v>26</v>
      </c>
      <c r="QJ23" s="75"/>
      <c r="QK23" s="75">
        <v>46</v>
      </c>
      <c r="QL23" s="75">
        <v>46</v>
      </c>
      <c r="QM23" s="75">
        <v>46</v>
      </c>
      <c r="QN23" s="75">
        <v>50</v>
      </c>
      <c r="QO23" s="75">
        <v>50</v>
      </c>
      <c r="QP23" s="75">
        <v>66</v>
      </c>
      <c r="QQ23" s="75"/>
      <c r="QR23" s="75">
        <v>76</v>
      </c>
      <c r="QS23" s="75">
        <v>76</v>
      </c>
      <c r="QT23" s="75">
        <v>62</v>
      </c>
      <c r="QU23" s="75">
        <v>54</v>
      </c>
      <c r="QV23" s="75">
        <v>70</v>
      </c>
      <c r="QW23" s="75">
        <v>70</v>
      </c>
      <c r="QX23" s="75"/>
      <c r="QY23" s="75">
        <v>70</v>
      </c>
      <c r="QZ23" s="75">
        <v>74</v>
      </c>
      <c r="RA23" s="75">
        <v>74</v>
      </c>
      <c r="RB23" s="75">
        <v>50</v>
      </c>
      <c r="RC23" s="75">
        <v>58</v>
      </c>
      <c r="RD23" s="75">
        <v>78</v>
      </c>
      <c r="RE23" s="75"/>
      <c r="RF23" s="75">
        <v>98</v>
      </c>
      <c r="RG23" s="75">
        <v>98</v>
      </c>
      <c r="RH23" s="75">
        <v>78</v>
      </c>
      <c r="RI23" s="75">
        <v>72</v>
      </c>
      <c r="RJ23" s="75">
        <v>88</v>
      </c>
      <c r="RK23" s="75">
        <v>88</v>
      </c>
      <c r="RL23" s="75"/>
      <c r="RM23" s="75">
        <v>80</v>
      </c>
      <c r="RN23" s="75">
        <v>80</v>
      </c>
      <c r="RO23" s="75">
        <v>92</v>
      </c>
      <c r="RP23" s="75">
        <v>104</v>
      </c>
      <c r="RQ23" s="75">
        <v>88</v>
      </c>
      <c r="RR23" s="75">
        <v>88</v>
      </c>
      <c r="RS23" s="75"/>
      <c r="RT23" s="75">
        <v>80</v>
      </c>
      <c r="RU23" s="75">
        <v>100</v>
      </c>
      <c r="RV23" s="75">
        <v>76</v>
      </c>
      <c r="RW23" s="75">
        <v>72</v>
      </c>
      <c r="RX23" s="75">
        <v>72</v>
      </c>
      <c r="RY23" s="75">
        <v>88</v>
      </c>
      <c r="RZ23" s="75"/>
      <c r="SA23" s="75">
        <v>104</v>
      </c>
      <c r="SB23" s="75">
        <v>88</v>
      </c>
      <c r="SC23" s="75">
        <v>88</v>
      </c>
      <c r="SD23" s="75">
        <v>88</v>
      </c>
      <c r="SE23" s="75">
        <v>108</v>
      </c>
      <c r="SF23" s="75">
        <v>80</v>
      </c>
      <c r="SG23" s="75"/>
      <c r="SH23" s="75">
        <v>80</v>
      </c>
      <c r="SI23" s="75">
        <v>80</v>
      </c>
      <c r="SJ23" s="75">
        <v>96</v>
      </c>
      <c r="SK23" s="75">
        <v>78</v>
      </c>
      <c r="SL23" s="75">
        <v>72</v>
      </c>
      <c r="SM23" s="75">
        <v>64</v>
      </c>
      <c r="SN23" s="75"/>
      <c r="SO23" s="75">
        <v>64</v>
      </c>
      <c r="SP23" s="75">
        <v>64</v>
      </c>
      <c r="SQ23" s="75">
        <v>56</v>
      </c>
      <c r="SR23" s="75">
        <v>56</v>
      </c>
      <c r="SS23" s="75">
        <v>60</v>
      </c>
      <c r="ST23" s="75">
        <v>76</v>
      </c>
      <c r="SU23" s="75"/>
      <c r="SV23" s="75">
        <v>60</v>
      </c>
      <c r="SW23" s="75">
        <v>40</v>
      </c>
      <c r="SX23" s="75">
        <v>52</v>
      </c>
      <c r="SY23" s="75">
        <v>72</v>
      </c>
      <c r="SZ23" s="75">
        <v>94</v>
      </c>
      <c r="TA23" s="75">
        <v>104</v>
      </c>
      <c r="TB23" s="75"/>
      <c r="TC23" s="75">
        <v>102</v>
      </c>
      <c r="TD23" s="75">
        <v>94</v>
      </c>
      <c r="TE23" s="75">
        <v>105</v>
      </c>
      <c r="TF23" s="75">
        <v>130</v>
      </c>
      <c r="TG23" s="75">
        <v>148</v>
      </c>
      <c r="TH23" s="75">
        <v>140</v>
      </c>
      <c r="TI23" s="75"/>
      <c r="TJ23" s="75">
        <v>140</v>
      </c>
      <c r="TK23" s="75">
        <v>140</v>
      </c>
      <c r="TL23" s="75">
        <v>142</v>
      </c>
      <c r="TM23" s="75">
        <v>164</v>
      </c>
      <c r="TN23" s="75">
        <v>171</v>
      </c>
      <c r="TO23" s="75">
        <v>168</v>
      </c>
      <c r="TP23" s="75"/>
      <c r="TQ23" s="75">
        <v>164</v>
      </c>
      <c r="TR23" s="75">
        <v>144</v>
      </c>
      <c r="TS23" s="75">
        <v>146</v>
      </c>
      <c r="TT23" s="75">
        <v>156</v>
      </c>
      <c r="TU23" s="75">
        <v>156</v>
      </c>
      <c r="TV23" s="75">
        <v>182</v>
      </c>
      <c r="TW23" s="75"/>
      <c r="TX23" s="75">
        <v>176</v>
      </c>
      <c r="TY23" s="75">
        <v>158</v>
      </c>
      <c r="TZ23" s="75">
        <v>147</v>
      </c>
      <c r="UA23" s="75">
        <v>134</v>
      </c>
      <c r="UB23" s="75">
        <v>130</v>
      </c>
      <c r="UC23" s="75">
        <v>116</v>
      </c>
      <c r="UD23" s="75"/>
      <c r="UE23" s="75">
        <v>98</v>
      </c>
      <c r="UF23" s="75">
        <v>86</v>
      </c>
      <c r="UG23" s="75">
        <v>79</v>
      </c>
      <c r="UH23" s="75">
        <v>50</v>
      </c>
      <c r="UI23" s="75">
        <v>50</v>
      </c>
      <c r="UJ23" s="75">
        <v>51</v>
      </c>
      <c r="UK23" s="75"/>
      <c r="UL23" s="75">
        <v>53</v>
      </c>
      <c r="UM23" s="75">
        <v>57</v>
      </c>
      <c r="UN23" s="75">
        <v>49</v>
      </c>
      <c r="UO23" s="75">
        <v>33</v>
      </c>
      <c r="UP23" s="75">
        <v>33</v>
      </c>
      <c r="UQ23" s="75">
        <v>37</v>
      </c>
      <c r="UR23" s="75"/>
      <c r="US23" s="75">
        <v>37</v>
      </c>
      <c r="UT23" s="75">
        <v>35</v>
      </c>
      <c r="UU23" s="75">
        <v>35</v>
      </c>
      <c r="UV23" s="75">
        <v>35</v>
      </c>
      <c r="UW23" s="75">
        <v>35</v>
      </c>
      <c r="UX23" s="75">
        <v>33</v>
      </c>
      <c r="UY23" s="75"/>
      <c r="UZ23" s="75">
        <v>32</v>
      </c>
      <c r="VA23" s="75">
        <v>30</v>
      </c>
      <c r="VB23" s="75">
        <v>32</v>
      </c>
      <c r="VC23" s="75">
        <v>35</v>
      </c>
      <c r="VD23" s="75">
        <v>31</v>
      </c>
      <c r="VE23" s="75">
        <v>15</v>
      </c>
      <c r="VF23" s="75"/>
      <c r="VG23" s="75">
        <v>16</v>
      </c>
      <c r="VH23" s="75">
        <v>18</v>
      </c>
      <c r="VI23" s="75">
        <v>20</v>
      </c>
      <c r="VJ23" s="75">
        <v>20</v>
      </c>
      <c r="VK23" s="75">
        <v>21</v>
      </c>
      <c r="VL23" s="75">
        <v>21</v>
      </c>
      <c r="VM23" s="75"/>
      <c r="VN23" s="75">
        <v>18</v>
      </c>
      <c r="VO23" s="75">
        <v>15</v>
      </c>
      <c r="VP23" s="75">
        <v>16</v>
      </c>
      <c r="VQ23" s="75">
        <v>16</v>
      </c>
      <c r="VR23" s="75">
        <v>18</v>
      </c>
      <c r="VS23" s="75">
        <v>17</v>
      </c>
      <c r="VT23" s="75"/>
      <c r="VU23" s="75">
        <v>15</v>
      </c>
      <c r="VV23" s="75">
        <v>15</v>
      </c>
      <c r="VW23" s="75">
        <v>17</v>
      </c>
      <c r="VX23" s="75">
        <v>17</v>
      </c>
      <c r="VY23" s="75">
        <v>17</v>
      </c>
      <c r="VZ23" s="75">
        <v>16</v>
      </c>
      <c r="WA23" s="75"/>
      <c r="WB23" s="75">
        <v>16</v>
      </c>
      <c r="WC23" s="75">
        <v>16</v>
      </c>
      <c r="WD23" s="75">
        <v>15</v>
      </c>
      <c r="WE23" s="75">
        <v>12</v>
      </c>
      <c r="WF23" s="75">
        <v>12</v>
      </c>
      <c r="WG23" s="75">
        <v>12</v>
      </c>
      <c r="WH23" s="75"/>
      <c r="WI23" s="75">
        <v>12</v>
      </c>
      <c r="WJ23" s="75">
        <v>11</v>
      </c>
      <c r="WK23" s="75">
        <v>8</v>
      </c>
      <c r="WL23" s="75">
        <v>7</v>
      </c>
      <c r="WM23" s="75">
        <v>6</v>
      </c>
      <c r="WN23" s="75">
        <v>6</v>
      </c>
      <c r="WO23" s="75"/>
      <c r="WP23" s="75">
        <v>5</v>
      </c>
      <c r="WQ23" s="75">
        <v>4</v>
      </c>
      <c r="WR23" s="75">
        <v>3</v>
      </c>
      <c r="WS23" s="75">
        <v>3</v>
      </c>
      <c r="WT23" s="75">
        <v>4</v>
      </c>
      <c r="WU23" s="75">
        <v>3</v>
      </c>
      <c r="WV23" s="75"/>
      <c r="WW23" s="75">
        <v>3</v>
      </c>
      <c r="WX23" s="75">
        <v>2</v>
      </c>
      <c r="WY23" s="75">
        <v>2</v>
      </c>
      <c r="WZ23" s="75">
        <v>2</v>
      </c>
      <c r="XA23" s="75">
        <v>1</v>
      </c>
      <c r="XB23" s="75">
        <v>1</v>
      </c>
      <c r="XC23" s="75"/>
      <c r="XD23" s="75">
        <v>0</v>
      </c>
      <c r="XE23" s="75"/>
      <c r="XF23" s="75"/>
      <c r="XG23" s="75"/>
      <c r="XH23" s="75"/>
      <c r="XI23" s="75"/>
      <c r="XJ23" s="75"/>
      <c r="XK23" s="75"/>
      <c r="XL23" s="75"/>
      <c r="XM23" s="75"/>
      <c r="XN23" s="75"/>
      <c r="XO23" s="75"/>
      <c r="XP23" s="75"/>
      <c r="XQ23" s="75"/>
      <c r="XR23" s="75"/>
      <c r="XS23" s="75"/>
      <c r="XT23" s="75"/>
      <c r="XU23" s="75"/>
      <c r="XV23" s="75"/>
      <c r="XW23" s="75"/>
      <c r="XX23" s="75"/>
      <c r="XY23" s="75"/>
      <c r="XZ23" s="75"/>
      <c r="YA23" s="75"/>
      <c r="YB23" s="75"/>
      <c r="YC23" s="75"/>
      <c r="YD23" s="75"/>
      <c r="YE23" s="75"/>
      <c r="YF23" s="75"/>
      <c r="YG23" s="75"/>
      <c r="YH23" s="75"/>
      <c r="YI23" s="75"/>
      <c r="YJ23" s="75"/>
      <c r="YK23" s="75"/>
      <c r="YL23" s="75"/>
      <c r="YM23" s="75"/>
      <c r="YN23" s="75"/>
      <c r="YO23" s="75"/>
      <c r="YP23" s="75"/>
      <c r="YQ23" s="75"/>
      <c r="YR23" s="75"/>
      <c r="YS23" s="75"/>
      <c r="YT23" s="75"/>
      <c r="YU23" s="75"/>
      <c r="YV23" s="75"/>
      <c r="YW23" s="75"/>
      <c r="YX23" s="75"/>
      <c r="YY23" s="75"/>
      <c r="YZ23" s="75"/>
      <c r="ZA23" s="75"/>
      <c r="ZB23" s="75"/>
      <c r="ZC23" s="75"/>
      <c r="ZD23" s="75"/>
      <c r="ZE23" s="75"/>
      <c r="ZF23" s="75"/>
      <c r="ZG23" s="75"/>
      <c r="ZH23" s="75"/>
      <c r="ZI23" s="75"/>
      <c r="ZJ23" s="75"/>
      <c r="ZK23" s="75"/>
      <c r="ZL23" s="75"/>
      <c r="ZM23" s="75"/>
      <c r="ZN23" s="75"/>
      <c r="ZO23" s="75"/>
      <c r="ZP23" s="75"/>
      <c r="ZQ23" s="75"/>
      <c r="ZR23" s="75"/>
      <c r="ZS23" s="75"/>
      <c r="ZT23" s="75"/>
      <c r="ZU23" s="75"/>
      <c r="ZV23" s="75"/>
      <c r="ZW23" s="75"/>
      <c r="ZX23" s="75"/>
      <c r="ZY23" s="75"/>
      <c r="ZZ23" s="75"/>
      <c r="AAA23" s="75"/>
      <c r="AAB23" s="75"/>
      <c r="AAC23" s="75"/>
      <c r="AAD23" s="75"/>
      <c r="AAE23" s="75"/>
      <c r="AAF23" s="75"/>
      <c r="AAG23" s="75"/>
      <c r="AAH23" s="75"/>
      <c r="AAI23" s="75"/>
      <c r="AAJ23" s="75"/>
      <c r="AAK23" s="75"/>
      <c r="AAL23" s="75"/>
      <c r="AAM23" s="75"/>
      <c r="AAN23" s="75"/>
      <c r="AAO23" s="75"/>
      <c r="AAP23" s="75"/>
      <c r="AAQ23" s="75"/>
      <c r="AAR23" s="75"/>
      <c r="AAS23" s="75"/>
      <c r="AAT23" s="75"/>
      <c r="AAU23" s="75"/>
      <c r="AAV23" s="75"/>
      <c r="AAW23" s="75"/>
      <c r="AAX23" s="75"/>
      <c r="AAY23" s="75"/>
      <c r="AAZ23" s="75"/>
      <c r="ABA23" s="75"/>
      <c r="ABB23" s="75"/>
      <c r="ABC23" s="75"/>
    </row>
    <row r="24" spans="1:731">
      <c r="A24" s="75" t="s">
        <v>62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5"/>
      <c r="BF24" s="75"/>
      <c r="BG24" s="75"/>
      <c r="BH24" s="75"/>
      <c r="BI24" s="75"/>
      <c r="BJ24" s="75"/>
      <c r="BK24" s="75"/>
      <c r="BL24" s="75"/>
      <c r="BM24" s="75"/>
      <c r="BN24" s="75"/>
      <c r="BO24" s="75"/>
      <c r="BP24" s="75"/>
      <c r="BQ24" s="75"/>
      <c r="BR24" s="75"/>
      <c r="BS24" s="75"/>
      <c r="BT24" s="75"/>
      <c r="BU24" s="75"/>
      <c r="BV24" s="75"/>
      <c r="BW24" s="75"/>
      <c r="BX24" s="75"/>
      <c r="BY24" s="75"/>
      <c r="BZ24" s="75"/>
      <c r="CA24" s="75"/>
      <c r="CB24" s="75"/>
      <c r="CC24" s="75"/>
      <c r="CD24" s="75"/>
      <c r="CE24" s="75"/>
      <c r="CF24" s="75"/>
      <c r="CG24" s="75"/>
      <c r="CH24" s="75"/>
      <c r="CI24" s="75"/>
      <c r="CJ24" s="75"/>
      <c r="CK24" s="75"/>
      <c r="CL24" s="75"/>
      <c r="CM24" s="75"/>
      <c r="CN24" s="75"/>
      <c r="CO24" s="75"/>
      <c r="CP24" s="75"/>
      <c r="CQ24" s="75"/>
      <c r="CR24" s="75"/>
      <c r="CS24" s="75"/>
      <c r="CT24" s="75"/>
      <c r="CU24" s="75"/>
      <c r="CV24" s="75"/>
      <c r="CW24" s="75"/>
      <c r="CX24" s="75"/>
      <c r="CY24" s="75"/>
      <c r="CZ24" s="75"/>
      <c r="DA24" s="75"/>
      <c r="DB24" s="75"/>
      <c r="DC24" s="75"/>
      <c r="DD24" s="75"/>
      <c r="DE24" s="75"/>
      <c r="DF24" s="75"/>
      <c r="DG24" s="75"/>
      <c r="DH24" s="75"/>
      <c r="DI24" s="75"/>
      <c r="DJ24" s="75"/>
      <c r="DK24" s="75"/>
      <c r="DL24" s="75"/>
      <c r="DM24" s="75"/>
      <c r="DN24" s="75"/>
      <c r="DO24" s="75"/>
      <c r="DP24" s="75"/>
      <c r="DQ24" s="75"/>
      <c r="DR24" s="75"/>
      <c r="DS24" s="75"/>
      <c r="DT24" s="75"/>
      <c r="DU24" s="75"/>
      <c r="DV24" s="75"/>
      <c r="DW24" s="75"/>
      <c r="DX24" s="75"/>
      <c r="DY24" s="75"/>
      <c r="DZ24" s="75"/>
      <c r="EA24" s="75"/>
      <c r="EB24" s="75"/>
      <c r="EC24" s="75"/>
      <c r="ED24" s="75"/>
      <c r="EE24" s="75"/>
      <c r="EF24" s="75"/>
      <c r="EG24" s="75"/>
      <c r="EH24" s="75"/>
      <c r="EI24" s="75"/>
      <c r="EJ24" s="75"/>
      <c r="EK24" s="75"/>
      <c r="EL24" s="75"/>
      <c r="EM24" s="75"/>
      <c r="EN24" s="75"/>
      <c r="EO24" s="75"/>
      <c r="EP24" s="75"/>
      <c r="EQ24" s="75"/>
      <c r="ER24" s="75"/>
      <c r="ES24" s="75"/>
      <c r="ET24" s="75"/>
      <c r="EU24" s="75"/>
      <c r="EV24" s="75"/>
      <c r="EW24" s="75"/>
      <c r="EX24" s="75"/>
      <c r="EY24" s="75"/>
      <c r="EZ24" s="75"/>
      <c r="FA24" s="75"/>
      <c r="FB24" s="75"/>
      <c r="FC24" s="75"/>
      <c r="FD24" s="75"/>
      <c r="FE24" s="75"/>
      <c r="FF24" s="75"/>
      <c r="FG24" s="75"/>
      <c r="FH24" s="75"/>
      <c r="FI24" s="75"/>
      <c r="FJ24" s="75"/>
      <c r="FK24" s="75"/>
      <c r="FL24" s="75"/>
      <c r="FM24" s="75"/>
      <c r="FN24" s="75"/>
      <c r="FO24" s="75"/>
      <c r="FP24" s="75"/>
      <c r="FQ24" s="75"/>
      <c r="FR24" s="75"/>
      <c r="FS24" s="75"/>
      <c r="FT24" s="75"/>
      <c r="FU24" s="75"/>
      <c r="FV24" s="75"/>
      <c r="FW24" s="75"/>
      <c r="FX24" s="75"/>
      <c r="FY24" s="75"/>
      <c r="FZ24" s="75"/>
      <c r="GA24" s="75"/>
      <c r="GB24" s="75"/>
      <c r="GC24" s="75"/>
      <c r="GD24" s="75"/>
      <c r="GE24" s="75"/>
      <c r="GF24" s="75"/>
      <c r="GG24" s="75"/>
      <c r="GH24" s="75"/>
      <c r="GI24" s="75"/>
      <c r="GJ24" s="75"/>
      <c r="GK24" s="75"/>
      <c r="GL24" s="75"/>
      <c r="GM24" s="75"/>
      <c r="GN24" s="75"/>
      <c r="GO24" s="75"/>
      <c r="GP24" s="75"/>
      <c r="GQ24" s="75"/>
      <c r="GR24" s="75"/>
      <c r="GS24" s="75"/>
      <c r="GT24" s="75"/>
      <c r="GU24" s="75"/>
      <c r="GV24" s="75"/>
      <c r="GW24" s="75"/>
      <c r="GX24" s="75"/>
      <c r="GY24" s="75"/>
      <c r="GZ24" s="75"/>
      <c r="HA24" s="75"/>
      <c r="HB24" s="75"/>
      <c r="HC24" s="75"/>
      <c r="HD24" s="75"/>
      <c r="HE24" s="75"/>
      <c r="HF24" s="75"/>
      <c r="HG24" s="75"/>
      <c r="HH24" s="75"/>
      <c r="HI24" s="75"/>
      <c r="HJ24" s="75"/>
      <c r="HK24" s="75"/>
      <c r="HL24" s="75"/>
      <c r="HM24" s="75"/>
      <c r="HN24" s="75"/>
      <c r="HO24" s="75"/>
      <c r="HP24" s="75"/>
      <c r="HQ24" s="75"/>
      <c r="HR24" s="75"/>
      <c r="HS24" s="75"/>
      <c r="HT24" s="75"/>
      <c r="HU24" s="75"/>
      <c r="HV24" s="75"/>
      <c r="HW24" s="75"/>
      <c r="HX24" s="75"/>
      <c r="HY24" s="75"/>
      <c r="HZ24" s="75"/>
      <c r="IA24" s="75"/>
      <c r="IB24" s="75"/>
      <c r="IC24" s="75"/>
      <c r="ID24" s="75"/>
      <c r="IE24" s="75"/>
      <c r="IF24" s="75"/>
      <c r="IG24" s="75"/>
      <c r="IH24" s="75"/>
      <c r="II24" s="75"/>
      <c r="IJ24" s="75"/>
      <c r="IK24" s="75"/>
      <c r="IL24" s="75"/>
      <c r="IM24" s="75"/>
      <c r="IN24" s="75"/>
      <c r="IO24" s="75"/>
      <c r="IP24" s="75"/>
      <c r="IQ24" s="75"/>
      <c r="IR24" s="75"/>
      <c r="IS24" s="75"/>
      <c r="IT24" s="75"/>
      <c r="IU24" s="75"/>
      <c r="IV24" s="75"/>
      <c r="IW24" s="75"/>
      <c r="IX24" s="75"/>
      <c r="IY24" s="75"/>
      <c r="IZ24" s="75"/>
      <c r="JA24" s="75"/>
      <c r="JB24" s="75"/>
      <c r="JC24" s="75"/>
      <c r="JD24" s="75"/>
      <c r="JE24" s="75"/>
      <c r="JF24" s="75"/>
      <c r="JG24" s="75"/>
      <c r="JH24" s="75"/>
      <c r="JI24" s="75"/>
      <c r="JJ24" s="75"/>
      <c r="JK24" s="75"/>
      <c r="JL24" s="75"/>
      <c r="JM24" s="75"/>
      <c r="JN24" s="75"/>
      <c r="JO24" s="75"/>
      <c r="JP24" s="75"/>
      <c r="JQ24" s="75"/>
      <c r="JR24" s="75"/>
      <c r="JS24" s="75"/>
      <c r="JT24" s="75"/>
      <c r="JU24" s="75"/>
      <c r="JV24" s="75"/>
      <c r="JW24" s="75"/>
      <c r="JX24" s="75"/>
      <c r="JY24" s="75"/>
      <c r="JZ24" s="75"/>
      <c r="KA24" s="75"/>
      <c r="KB24" s="75"/>
      <c r="KC24" s="75"/>
      <c r="KD24" s="75"/>
      <c r="KE24" s="75"/>
      <c r="KF24" s="75"/>
      <c r="KG24" s="75"/>
      <c r="KH24" s="75"/>
      <c r="KI24" s="75"/>
      <c r="KJ24" s="75"/>
      <c r="KK24" s="75"/>
      <c r="KL24" s="75"/>
      <c r="KM24" s="75"/>
      <c r="KN24" s="75"/>
      <c r="KO24" s="75"/>
      <c r="KP24" s="75"/>
      <c r="KQ24" s="75"/>
      <c r="KR24" s="75"/>
      <c r="KS24" s="75"/>
      <c r="KT24" s="75"/>
      <c r="KU24" s="75"/>
      <c r="KV24" s="75"/>
      <c r="KW24" s="75"/>
      <c r="KX24" s="75"/>
      <c r="KY24" s="75"/>
      <c r="KZ24" s="75"/>
      <c r="LA24" s="75"/>
      <c r="LB24" s="75"/>
      <c r="LC24" s="75"/>
      <c r="LD24" s="75"/>
      <c r="LE24" s="75"/>
      <c r="LF24" s="75"/>
      <c r="LG24" s="75"/>
      <c r="LH24" s="75"/>
      <c r="LI24" s="75"/>
      <c r="LJ24" s="75"/>
      <c r="LK24" s="75"/>
      <c r="LL24" s="75"/>
      <c r="LM24" s="75"/>
      <c r="LN24" s="75"/>
      <c r="LO24" s="75"/>
      <c r="LP24" s="75"/>
      <c r="LQ24" s="75"/>
      <c r="LR24" s="75"/>
      <c r="LS24" s="75"/>
      <c r="LT24" s="75"/>
      <c r="LU24" s="75"/>
      <c r="LV24" s="75"/>
      <c r="LW24" s="75"/>
      <c r="LX24" s="75"/>
      <c r="LY24" s="75"/>
      <c r="LZ24" s="75"/>
      <c r="MA24" s="75"/>
      <c r="MB24" s="75"/>
      <c r="MC24" s="75"/>
      <c r="MD24" s="75"/>
      <c r="ME24" s="75"/>
      <c r="MF24" s="75"/>
      <c r="MG24" s="75"/>
      <c r="MH24" s="75"/>
      <c r="MI24" s="75"/>
      <c r="MJ24" s="75"/>
      <c r="MK24" s="75"/>
      <c r="ML24" s="75"/>
      <c r="MM24" s="75"/>
      <c r="MN24" s="75"/>
      <c r="MO24" s="75"/>
      <c r="MP24" s="75"/>
      <c r="MQ24" s="75"/>
      <c r="MR24" s="75"/>
      <c r="MS24" s="75"/>
      <c r="MT24" s="75"/>
      <c r="MU24" s="75"/>
      <c r="MV24" s="75"/>
      <c r="MW24" s="75"/>
      <c r="MX24" s="75"/>
      <c r="MY24" s="75"/>
      <c r="MZ24" s="75"/>
      <c r="NA24" s="75"/>
      <c r="NB24" s="75"/>
      <c r="NC24" s="75"/>
      <c r="ND24" s="75"/>
      <c r="NE24" s="75"/>
      <c r="NF24" s="75"/>
      <c r="NG24" s="75"/>
      <c r="NH24" s="75"/>
      <c r="NI24" s="75"/>
      <c r="NJ24" s="75"/>
      <c r="NK24" s="75"/>
      <c r="NL24" s="75"/>
      <c r="NM24" s="75"/>
      <c r="NN24" s="75"/>
      <c r="NO24" s="75"/>
      <c r="NP24" s="75"/>
      <c r="NQ24" s="75"/>
      <c r="NR24" s="75"/>
      <c r="NS24" s="75"/>
      <c r="NT24" s="75"/>
      <c r="NU24" s="75"/>
      <c r="NV24" s="75"/>
      <c r="NW24" s="75"/>
      <c r="NX24" s="75"/>
      <c r="NY24" s="75"/>
      <c r="NZ24" s="75"/>
      <c r="OA24" s="75"/>
      <c r="OB24" s="75"/>
      <c r="OC24" s="75"/>
      <c r="OD24" s="75"/>
      <c r="OE24" s="75"/>
      <c r="OF24" s="75"/>
      <c r="OG24" s="75"/>
      <c r="OH24" s="75"/>
      <c r="OI24" s="75"/>
      <c r="OJ24" s="75"/>
      <c r="OK24" s="75"/>
      <c r="OL24" s="75"/>
      <c r="OM24" s="75"/>
      <c r="ON24" s="75"/>
      <c r="OO24" s="75"/>
      <c r="OP24" s="75"/>
      <c r="OQ24" s="75"/>
      <c r="OR24" s="75"/>
      <c r="OS24" s="75"/>
      <c r="OT24" s="75"/>
      <c r="OU24" s="75"/>
      <c r="OV24" s="75"/>
      <c r="OW24" s="75"/>
      <c r="OX24" s="75"/>
      <c r="OY24" s="75"/>
      <c r="OZ24" s="75"/>
      <c r="PA24" s="75"/>
      <c r="PB24" s="75"/>
      <c r="PC24" s="75"/>
      <c r="PD24" s="75"/>
      <c r="PE24" s="75"/>
      <c r="PF24" s="75"/>
      <c r="PG24" s="75"/>
      <c r="PH24" s="75"/>
      <c r="PI24" s="75"/>
      <c r="PJ24" s="75"/>
      <c r="PK24" s="75"/>
      <c r="PL24" s="75"/>
      <c r="PM24" s="75"/>
      <c r="PN24" s="75"/>
      <c r="PO24" s="75"/>
      <c r="PP24" s="75"/>
      <c r="PQ24" s="75"/>
      <c r="PR24" s="75"/>
      <c r="PS24" s="75"/>
      <c r="PT24" s="75"/>
      <c r="PU24" s="75"/>
      <c r="PV24" s="75"/>
      <c r="PW24" s="75"/>
      <c r="PX24" s="75"/>
      <c r="PY24" s="75"/>
      <c r="PZ24" s="75"/>
      <c r="QA24" s="75"/>
      <c r="QB24" s="75"/>
      <c r="QC24" s="75"/>
      <c r="QD24" s="75"/>
      <c r="QE24" s="75"/>
      <c r="QF24" s="75"/>
      <c r="QG24" s="75"/>
      <c r="QH24" s="75"/>
      <c r="QI24" s="75"/>
      <c r="QJ24" s="75"/>
      <c r="QK24" s="75"/>
      <c r="QL24" s="75"/>
      <c r="QM24" s="75"/>
      <c r="QN24" s="75"/>
      <c r="QO24" s="75"/>
      <c r="QP24" s="75"/>
      <c r="QQ24" s="75"/>
      <c r="QR24" s="75"/>
      <c r="QS24" s="75"/>
      <c r="QT24" s="75"/>
      <c r="QU24" s="75"/>
      <c r="QV24" s="75"/>
      <c r="QW24" s="75"/>
      <c r="QX24" s="75"/>
      <c r="QY24" s="75"/>
      <c r="QZ24" s="75"/>
      <c r="RA24" s="75"/>
      <c r="RB24" s="75"/>
      <c r="RC24" s="75"/>
      <c r="RD24" s="75"/>
      <c r="RE24" s="75"/>
      <c r="RF24" s="75"/>
      <c r="RG24" s="75"/>
      <c r="RH24" s="75"/>
      <c r="RI24" s="75"/>
      <c r="RJ24" s="75"/>
      <c r="RK24" s="75"/>
      <c r="RL24" s="75"/>
      <c r="RM24" s="75"/>
      <c r="RN24" s="75"/>
      <c r="RO24" s="75"/>
      <c r="RP24" s="75"/>
      <c r="RQ24" s="75"/>
      <c r="RR24" s="75"/>
      <c r="RS24" s="75"/>
      <c r="RT24" s="75"/>
      <c r="RU24" s="75"/>
      <c r="RV24" s="75"/>
      <c r="RW24" s="75"/>
      <c r="RX24" s="75"/>
      <c r="RY24" s="75"/>
      <c r="RZ24" s="75"/>
      <c r="SA24" s="75"/>
      <c r="SB24" s="75"/>
      <c r="SC24" s="75"/>
      <c r="SD24" s="75"/>
      <c r="SE24" s="75"/>
      <c r="SF24" s="75"/>
      <c r="SG24" s="75"/>
      <c r="SH24" s="75"/>
      <c r="SI24" s="75"/>
      <c r="SJ24" s="75"/>
      <c r="SK24" s="75"/>
      <c r="SL24" s="75"/>
      <c r="SM24" s="75"/>
      <c r="SN24" s="75"/>
      <c r="SO24" s="75"/>
      <c r="SP24" s="75"/>
      <c r="SQ24" s="75"/>
      <c r="SR24" s="75"/>
      <c r="SS24" s="75"/>
      <c r="ST24" s="75"/>
      <c r="SU24" s="75"/>
      <c r="SV24" s="75"/>
      <c r="SW24" s="75"/>
      <c r="SX24" s="75"/>
      <c r="SY24" s="75"/>
      <c r="SZ24" s="75"/>
      <c r="TA24" s="75"/>
      <c r="TB24" s="75"/>
      <c r="TC24" s="75"/>
      <c r="TD24" s="75"/>
      <c r="TE24" s="75"/>
      <c r="TF24" s="75"/>
      <c r="TG24" s="75"/>
      <c r="TH24" s="75"/>
      <c r="TI24" s="75"/>
      <c r="TJ24" s="75"/>
      <c r="TK24" s="75"/>
      <c r="TL24" s="75"/>
      <c r="TM24" s="75"/>
      <c r="TN24" s="75"/>
      <c r="TO24" s="75"/>
      <c r="TP24" s="75"/>
      <c r="TQ24" s="75"/>
      <c r="TR24" s="75"/>
      <c r="TS24" s="75">
        <v>40</v>
      </c>
      <c r="TT24" s="75">
        <v>40</v>
      </c>
      <c r="TU24" s="75">
        <v>40</v>
      </c>
      <c r="TV24" s="75">
        <v>40</v>
      </c>
      <c r="TW24" s="75"/>
      <c r="TX24" s="75">
        <v>40</v>
      </c>
      <c r="TY24" s="75">
        <v>40</v>
      </c>
      <c r="TZ24" s="75">
        <v>80</v>
      </c>
      <c r="UA24" s="75">
        <v>93</v>
      </c>
      <c r="UB24" s="75">
        <v>93</v>
      </c>
      <c r="UC24" s="75">
        <v>93</v>
      </c>
      <c r="UD24" s="75"/>
      <c r="UE24" s="75">
        <v>93</v>
      </c>
      <c r="UF24" s="75">
        <v>93</v>
      </c>
      <c r="UG24" s="75">
        <v>93</v>
      </c>
      <c r="UH24" s="75">
        <v>93</v>
      </c>
      <c r="UI24" s="75">
        <v>93</v>
      </c>
      <c r="UJ24" s="75">
        <v>53</v>
      </c>
      <c r="UK24" s="75"/>
      <c r="UL24" s="75">
        <v>53</v>
      </c>
      <c r="UM24" s="75">
        <v>53</v>
      </c>
      <c r="UN24" s="75">
        <v>53</v>
      </c>
      <c r="UO24" s="75">
        <v>53</v>
      </c>
      <c r="UP24" s="75">
        <v>53</v>
      </c>
      <c r="UQ24" s="75">
        <v>13</v>
      </c>
      <c r="UR24" s="75"/>
      <c r="US24" s="75">
        <v>40</v>
      </c>
      <c r="UT24" s="75">
        <v>40</v>
      </c>
      <c r="UU24" s="75">
        <v>40</v>
      </c>
      <c r="UV24" s="75">
        <v>40</v>
      </c>
      <c r="UW24" s="75">
        <v>40</v>
      </c>
      <c r="UX24" s="75">
        <v>40</v>
      </c>
      <c r="UY24" s="75"/>
      <c r="UZ24" s="75">
        <v>40</v>
      </c>
      <c r="VA24" s="75">
        <v>40</v>
      </c>
      <c r="VB24" s="75">
        <v>40</v>
      </c>
      <c r="VC24" s="75">
        <v>40</v>
      </c>
      <c r="VD24" s="75">
        <v>40</v>
      </c>
      <c r="VE24" s="75">
        <v>40</v>
      </c>
      <c r="VF24" s="75"/>
      <c r="VG24" s="75">
        <v>40</v>
      </c>
      <c r="VH24" s="75">
        <v>40</v>
      </c>
      <c r="VI24" s="75">
        <v>40</v>
      </c>
      <c r="VJ24" s="75">
        <v>40</v>
      </c>
      <c r="VK24" s="75">
        <v>40</v>
      </c>
      <c r="VL24" s="75">
        <v>40</v>
      </c>
      <c r="VM24" s="75"/>
      <c r="VN24" s="75">
        <v>40</v>
      </c>
      <c r="VO24" s="75">
        <v>40</v>
      </c>
      <c r="VP24" s="75">
        <v>40</v>
      </c>
      <c r="VQ24" s="75">
        <v>40</v>
      </c>
      <c r="VR24" s="75">
        <v>40</v>
      </c>
      <c r="VS24" s="75">
        <v>40</v>
      </c>
      <c r="VT24" s="75"/>
      <c r="VU24" s="75">
        <v>40</v>
      </c>
      <c r="VV24" s="75">
        <v>40</v>
      </c>
      <c r="VW24" s="75">
        <v>40</v>
      </c>
      <c r="VX24" s="75">
        <v>40</v>
      </c>
      <c r="VY24" s="75">
        <v>40</v>
      </c>
      <c r="VZ24" s="75">
        <v>40</v>
      </c>
      <c r="WA24" s="75"/>
      <c r="WB24" s="75">
        <v>70</v>
      </c>
      <c r="WC24" s="75">
        <v>70</v>
      </c>
      <c r="WD24" s="75">
        <v>70</v>
      </c>
      <c r="WE24" s="75">
        <v>70</v>
      </c>
      <c r="WF24" s="75">
        <v>70</v>
      </c>
      <c r="WG24" s="75">
        <v>70</v>
      </c>
      <c r="WH24" s="75"/>
      <c r="WI24" s="75">
        <v>70</v>
      </c>
      <c r="WJ24" s="75">
        <v>70</v>
      </c>
      <c r="WK24" s="75">
        <v>70</v>
      </c>
      <c r="WL24" s="75">
        <v>70</v>
      </c>
      <c r="WM24" s="75">
        <v>70</v>
      </c>
      <c r="WN24" s="75">
        <v>70</v>
      </c>
      <c r="WO24" s="75"/>
      <c r="WP24" s="75">
        <v>70</v>
      </c>
      <c r="WQ24" s="75">
        <v>70</v>
      </c>
      <c r="WR24" s="75">
        <v>70</v>
      </c>
      <c r="WS24" s="75">
        <v>50</v>
      </c>
      <c r="WT24" s="75">
        <v>50</v>
      </c>
      <c r="WU24" s="75">
        <v>50</v>
      </c>
      <c r="WV24" s="75"/>
      <c r="WW24" s="75">
        <v>50</v>
      </c>
      <c r="WX24" s="75">
        <v>50</v>
      </c>
      <c r="WY24" s="75">
        <v>40</v>
      </c>
      <c r="WZ24" s="75">
        <v>40</v>
      </c>
      <c r="XA24" s="75">
        <v>40</v>
      </c>
      <c r="XB24" s="75">
        <v>40</v>
      </c>
      <c r="XC24" s="75"/>
      <c r="XD24" s="75">
        <v>40</v>
      </c>
      <c r="XE24" s="75">
        <v>40</v>
      </c>
      <c r="XF24" s="75">
        <v>40</v>
      </c>
      <c r="XG24" s="75">
        <v>40</v>
      </c>
      <c r="XH24" s="75">
        <v>40</v>
      </c>
      <c r="XI24" s="75"/>
      <c r="XJ24" s="75"/>
      <c r="XK24" s="75"/>
      <c r="XL24" s="75"/>
      <c r="XM24" s="75"/>
      <c r="XN24" s="75">
        <v>40</v>
      </c>
      <c r="XO24" s="75">
        <v>24</v>
      </c>
      <c r="XP24" s="75">
        <v>24</v>
      </c>
      <c r="XQ24" s="75"/>
      <c r="XR24" s="75">
        <v>24</v>
      </c>
      <c r="XS24" s="75">
        <v>24</v>
      </c>
      <c r="XT24" s="75">
        <v>24</v>
      </c>
      <c r="XU24" s="75">
        <v>34</v>
      </c>
      <c r="XV24" s="75">
        <v>34</v>
      </c>
      <c r="XW24" s="75">
        <v>34</v>
      </c>
      <c r="XX24" s="75"/>
      <c r="XY24" s="75">
        <v>34</v>
      </c>
      <c r="XZ24" s="75">
        <v>34</v>
      </c>
      <c r="YA24" s="75">
        <v>34</v>
      </c>
      <c r="YB24" s="75">
        <v>34</v>
      </c>
      <c r="YC24" s="75">
        <v>34</v>
      </c>
      <c r="YD24" s="75">
        <v>34</v>
      </c>
      <c r="YE24" s="75"/>
      <c r="YF24" s="75">
        <v>34</v>
      </c>
      <c r="YG24" s="75">
        <v>50</v>
      </c>
      <c r="YH24" s="75">
        <v>50</v>
      </c>
      <c r="YI24" s="75">
        <v>50</v>
      </c>
      <c r="YJ24" s="75">
        <v>50</v>
      </c>
      <c r="YK24" s="75">
        <v>50</v>
      </c>
      <c r="YL24" s="75"/>
      <c r="YM24" s="75">
        <v>50</v>
      </c>
      <c r="YN24" s="75">
        <v>50</v>
      </c>
      <c r="YO24" s="75">
        <v>50</v>
      </c>
      <c r="YP24" s="75">
        <v>50</v>
      </c>
      <c r="YQ24" s="75">
        <v>50</v>
      </c>
      <c r="YR24" s="75">
        <v>20</v>
      </c>
      <c r="YS24" s="75"/>
      <c r="YT24" s="75">
        <v>20</v>
      </c>
      <c r="YU24" s="75">
        <v>20</v>
      </c>
      <c r="YV24" s="75">
        <v>20</v>
      </c>
      <c r="YW24" s="75">
        <v>20</v>
      </c>
      <c r="YX24" s="75">
        <v>10</v>
      </c>
      <c r="YY24" s="75">
        <v>10</v>
      </c>
      <c r="YZ24" s="75"/>
      <c r="ZA24" s="75">
        <v>10</v>
      </c>
      <c r="ZB24" s="75">
        <v>10</v>
      </c>
      <c r="ZC24" s="75">
        <v>10</v>
      </c>
      <c r="ZD24" s="75">
        <v>10</v>
      </c>
      <c r="ZE24" s="75">
        <v>10</v>
      </c>
      <c r="ZF24" s="75">
        <v>10</v>
      </c>
      <c r="ZG24" s="75"/>
      <c r="ZH24" s="75">
        <v>10</v>
      </c>
      <c r="ZI24" s="75">
        <v>10</v>
      </c>
      <c r="ZJ24" s="75">
        <v>13</v>
      </c>
      <c r="ZK24" s="75">
        <v>13</v>
      </c>
      <c r="ZL24" s="75">
        <v>13</v>
      </c>
      <c r="ZM24" s="75">
        <v>13</v>
      </c>
      <c r="ZN24" s="75"/>
      <c r="ZO24" s="75">
        <v>21</v>
      </c>
      <c r="ZP24" s="75">
        <v>21</v>
      </c>
      <c r="ZQ24" s="75">
        <v>21</v>
      </c>
      <c r="ZR24" s="75">
        <v>21</v>
      </c>
      <c r="ZS24" s="75">
        <v>21</v>
      </c>
      <c r="ZT24" s="75"/>
      <c r="ZU24" s="75"/>
      <c r="ZV24" s="75"/>
      <c r="ZW24" s="75"/>
      <c r="ZX24" s="75"/>
      <c r="ZY24" s="75">
        <v>21</v>
      </c>
      <c r="ZZ24" s="75">
        <v>21</v>
      </c>
      <c r="AAA24" s="75">
        <v>21</v>
      </c>
      <c r="AAB24" s="75"/>
      <c r="AAC24" s="75">
        <v>8</v>
      </c>
      <c r="AAD24" s="75">
        <v>8</v>
      </c>
      <c r="AAE24" s="75">
        <v>6</v>
      </c>
      <c r="AAF24" s="75">
        <v>6</v>
      </c>
      <c r="AAG24" s="75">
        <v>6</v>
      </c>
      <c r="AAH24" s="75">
        <v>6</v>
      </c>
      <c r="AAI24" s="75"/>
      <c r="AAJ24" s="75">
        <v>6</v>
      </c>
      <c r="AAK24" s="75">
        <v>6</v>
      </c>
      <c r="AAL24" s="75">
        <v>6</v>
      </c>
      <c r="AAM24" s="75">
        <v>6</v>
      </c>
      <c r="AAN24" s="75">
        <v>6</v>
      </c>
      <c r="AAO24" s="75">
        <v>6</v>
      </c>
      <c r="AAP24" s="75"/>
      <c r="AAQ24" s="75">
        <v>6</v>
      </c>
      <c r="AAR24" s="75">
        <v>6</v>
      </c>
      <c r="AAS24" s="75">
        <v>6</v>
      </c>
      <c r="AAT24" s="75">
        <v>6</v>
      </c>
      <c r="AAU24" s="75"/>
      <c r="AAV24" s="75"/>
      <c r="AAW24" s="75"/>
      <c r="AAX24" s="75"/>
      <c r="AAY24" s="75"/>
      <c r="AAZ24" s="75"/>
      <c r="ABA24" s="75"/>
      <c r="ABB24" s="75"/>
      <c r="ABC24" s="75"/>
    </row>
    <row r="25" spans="1:731">
      <c r="A25" s="75" t="s">
        <v>63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5"/>
      <c r="BF25" s="75"/>
      <c r="BG25" s="75"/>
      <c r="BH25" s="75"/>
      <c r="BI25" s="75"/>
      <c r="BJ25" s="75"/>
      <c r="BK25" s="75"/>
      <c r="BL25" s="75"/>
      <c r="BM25" s="75"/>
      <c r="BN25" s="75"/>
      <c r="BO25" s="75"/>
      <c r="BP25" s="75"/>
      <c r="BQ25" s="75"/>
      <c r="BR25" s="75"/>
      <c r="BS25" s="75"/>
      <c r="BT25" s="75"/>
      <c r="BU25" s="75"/>
      <c r="BV25" s="75"/>
      <c r="BW25" s="75"/>
      <c r="BX25" s="75"/>
      <c r="BY25" s="75"/>
      <c r="BZ25" s="75"/>
      <c r="CA25" s="75"/>
      <c r="CB25" s="75"/>
      <c r="CC25" s="75"/>
      <c r="CD25" s="75"/>
      <c r="CE25" s="75"/>
      <c r="CF25" s="75"/>
      <c r="CG25" s="75"/>
      <c r="CH25" s="75"/>
      <c r="CI25" s="75"/>
      <c r="CJ25" s="75"/>
      <c r="CK25" s="75"/>
      <c r="CL25" s="75"/>
      <c r="CM25" s="75"/>
      <c r="CN25" s="75"/>
      <c r="CO25" s="75"/>
      <c r="CP25" s="75"/>
      <c r="CQ25" s="75"/>
      <c r="CR25" s="75"/>
      <c r="CS25" s="75"/>
      <c r="CT25" s="75"/>
      <c r="CU25" s="75"/>
      <c r="CV25" s="75"/>
      <c r="CW25" s="75"/>
      <c r="CX25" s="75"/>
      <c r="CY25" s="75"/>
      <c r="CZ25" s="75"/>
      <c r="DA25" s="75"/>
      <c r="DB25" s="75"/>
      <c r="DC25" s="75"/>
      <c r="DD25" s="75"/>
      <c r="DE25" s="75"/>
      <c r="DF25" s="75"/>
      <c r="DG25" s="75"/>
      <c r="DH25" s="75"/>
      <c r="DI25" s="75"/>
      <c r="DJ25" s="75"/>
      <c r="DK25" s="75"/>
      <c r="DL25" s="75"/>
      <c r="DM25" s="75"/>
      <c r="DN25" s="75"/>
      <c r="DO25" s="75"/>
      <c r="DP25" s="75"/>
      <c r="DQ25" s="75"/>
      <c r="DR25" s="75"/>
      <c r="DS25" s="75"/>
      <c r="DT25" s="75"/>
      <c r="DU25" s="75"/>
      <c r="DV25" s="75"/>
      <c r="DW25" s="75"/>
      <c r="DX25" s="75"/>
      <c r="DY25" s="75"/>
      <c r="DZ25" s="75"/>
      <c r="EA25" s="75"/>
      <c r="EB25" s="75"/>
      <c r="EC25" s="75"/>
      <c r="ED25" s="75"/>
      <c r="EE25" s="75"/>
      <c r="EF25" s="75"/>
      <c r="EG25" s="75"/>
      <c r="EH25" s="75"/>
      <c r="EI25" s="75"/>
      <c r="EJ25" s="75"/>
      <c r="EK25" s="75"/>
      <c r="EL25" s="75"/>
      <c r="EM25" s="75"/>
      <c r="EN25" s="75"/>
      <c r="EO25" s="75"/>
      <c r="EP25" s="75"/>
      <c r="EQ25" s="75"/>
      <c r="ER25" s="75"/>
      <c r="ES25" s="75"/>
      <c r="ET25" s="75"/>
      <c r="EU25" s="75"/>
      <c r="EV25" s="75"/>
      <c r="EW25" s="75"/>
      <c r="EX25" s="75"/>
      <c r="EY25" s="75"/>
      <c r="EZ25" s="75"/>
      <c r="FA25" s="75"/>
      <c r="FB25" s="75"/>
      <c r="FC25" s="75"/>
      <c r="FD25" s="75"/>
      <c r="FE25" s="75"/>
      <c r="FF25" s="75"/>
      <c r="FG25" s="75"/>
      <c r="FH25" s="75"/>
      <c r="FI25" s="75"/>
      <c r="FJ25" s="75"/>
      <c r="FK25" s="75"/>
      <c r="FL25" s="75"/>
      <c r="FM25" s="75"/>
      <c r="FN25" s="75"/>
      <c r="FO25" s="75"/>
      <c r="FP25" s="75"/>
      <c r="FQ25" s="75"/>
      <c r="FR25" s="75"/>
      <c r="FS25" s="75"/>
      <c r="FT25" s="75"/>
      <c r="FU25" s="75"/>
      <c r="FV25" s="75"/>
      <c r="FW25" s="75"/>
      <c r="FX25" s="75"/>
      <c r="FY25" s="75"/>
      <c r="FZ25" s="75"/>
      <c r="GA25" s="75"/>
      <c r="GB25" s="75"/>
      <c r="GC25" s="75"/>
      <c r="GD25" s="75"/>
      <c r="GE25" s="75"/>
      <c r="GF25" s="75"/>
      <c r="GG25" s="75"/>
      <c r="GH25" s="75"/>
      <c r="GI25" s="75"/>
      <c r="GJ25" s="75"/>
      <c r="GK25" s="75"/>
      <c r="GL25" s="75"/>
      <c r="GM25" s="75"/>
      <c r="GN25" s="75"/>
      <c r="GO25" s="75"/>
      <c r="GP25" s="75"/>
      <c r="GQ25" s="75"/>
      <c r="GR25" s="75"/>
      <c r="GS25" s="75"/>
      <c r="GT25" s="75"/>
      <c r="GU25" s="75"/>
      <c r="GV25" s="75"/>
      <c r="GW25" s="75"/>
      <c r="GX25" s="75"/>
      <c r="GY25" s="75"/>
      <c r="GZ25" s="75"/>
      <c r="HA25" s="75"/>
      <c r="HB25" s="75"/>
      <c r="HC25" s="75"/>
      <c r="HD25" s="75"/>
      <c r="HE25" s="75"/>
      <c r="HF25" s="75"/>
      <c r="HG25" s="75"/>
      <c r="HH25" s="75"/>
      <c r="HI25" s="75"/>
      <c r="HJ25" s="75"/>
      <c r="HK25" s="75"/>
      <c r="HL25" s="75"/>
      <c r="HM25" s="75"/>
      <c r="HN25" s="75"/>
      <c r="HO25" s="75"/>
      <c r="HP25" s="75"/>
      <c r="HQ25" s="75"/>
      <c r="HR25" s="75"/>
      <c r="HS25" s="75"/>
      <c r="HT25" s="75"/>
      <c r="HU25" s="75"/>
      <c r="HV25" s="75"/>
      <c r="HW25" s="75"/>
      <c r="HX25" s="75"/>
      <c r="HY25" s="75"/>
      <c r="HZ25" s="75"/>
      <c r="IA25" s="75"/>
      <c r="IB25" s="75"/>
      <c r="IC25" s="75"/>
      <c r="ID25" s="75"/>
      <c r="IE25" s="75"/>
      <c r="IF25" s="75"/>
      <c r="IG25" s="75"/>
      <c r="IH25" s="75"/>
      <c r="II25" s="75"/>
      <c r="IJ25" s="75"/>
      <c r="IK25" s="75"/>
      <c r="IL25" s="75"/>
      <c r="IM25" s="75"/>
      <c r="IN25" s="75"/>
      <c r="IO25" s="75"/>
      <c r="IP25" s="75"/>
      <c r="IQ25" s="75"/>
      <c r="IR25" s="75"/>
      <c r="IS25" s="75"/>
      <c r="IT25" s="75"/>
      <c r="IU25" s="75"/>
      <c r="IV25" s="75"/>
      <c r="IW25" s="75"/>
      <c r="IX25" s="75"/>
      <c r="IY25" s="75"/>
      <c r="IZ25" s="75"/>
      <c r="JA25" s="75"/>
      <c r="JB25" s="75"/>
      <c r="JC25" s="75"/>
      <c r="JD25" s="75"/>
      <c r="JE25" s="75"/>
      <c r="JF25" s="75"/>
      <c r="JG25" s="75"/>
      <c r="JH25" s="75"/>
      <c r="JI25" s="75"/>
      <c r="JJ25" s="75"/>
      <c r="JK25" s="75"/>
      <c r="JL25" s="75"/>
      <c r="JM25" s="75"/>
      <c r="JN25" s="75"/>
      <c r="JO25" s="75"/>
      <c r="JP25" s="75"/>
      <c r="JQ25" s="75"/>
      <c r="JR25" s="75"/>
      <c r="JS25" s="75"/>
      <c r="JT25" s="75"/>
      <c r="JU25" s="75"/>
      <c r="JV25" s="75"/>
      <c r="JW25" s="75"/>
      <c r="JX25" s="75"/>
      <c r="JY25" s="75"/>
      <c r="JZ25" s="75"/>
      <c r="KA25" s="75"/>
      <c r="KB25" s="75"/>
      <c r="KC25" s="75"/>
      <c r="KD25" s="75"/>
      <c r="KE25" s="75"/>
      <c r="KF25" s="75"/>
      <c r="KG25" s="75"/>
      <c r="KH25" s="75"/>
      <c r="KI25" s="75"/>
      <c r="KJ25" s="75"/>
      <c r="KK25" s="75"/>
      <c r="KL25" s="75"/>
      <c r="KM25" s="75"/>
      <c r="KN25" s="75"/>
      <c r="KO25" s="75"/>
      <c r="KP25" s="75"/>
      <c r="KQ25" s="75"/>
      <c r="KR25" s="75"/>
      <c r="KS25" s="75"/>
      <c r="KT25" s="75"/>
      <c r="KU25" s="75"/>
      <c r="KV25" s="75"/>
      <c r="KW25" s="75"/>
      <c r="KX25" s="75"/>
      <c r="KY25" s="75"/>
      <c r="KZ25" s="75"/>
      <c r="LA25" s="75"/>
      <c r="LB25" s="75"/>
      <c r="LC25" s="75"/>
      <c r="LD25" s="75"/>
      <c r="LE25" s="75"/>
      <c r="LF25" s="75"/>
      <c r="LG25" s="75"/>
      <c r="LH25" s="75"/>
      <c r="LI25" s="75"/>
      <c r="LJ25" s="75"/>
      <c r="LK25" s="75"/>
      <c r="LL25" s="75"/>
      <c r="LM25" s="75"/>
      <c r="LN25" s="75"/>
      <c r="LO25" s="75"/>
      <c r="LP25" s="75"/>
      <c r="LQ25" s="75"/>
      <c r="LR25" s="75"/>
      <c r="LS25" s="75"/>
      <c r="LT25" s="75"/>
      <c r="LU25" s="75"/>
      <c r="LV25" s="75"/>
      <c r="LW25" s="75"/>
      <c r="LX25" s="75"/>
      <c r="LY25" s="75"/>
      <c r="LZ25" s="75"/>
      <c r="MA25" s="75"/>
      <c r="MB25" s="75"/>
      <c r="MC25" s="75"/>
      <c r="MD25" s="75"/>
      <c r="ME25" s="75"/>
      <c r="MF25" s="75"/>
      <c r="MG25" s="75"/>
      <c r="MH25" s="75"/>
      <c r="MI25" s="75"/>
      <c r="MJ25" s="75"/>
      <c r="MK25" s="75"/>
      <c r="ML25" s="75"/>
      <c r="MM25" s="75"/>
      <c r="MN25" s="75"/>
      <c r="MO25" s="75"/>
      <c r="MP25" s="75"/>
      <c r="MQ25" s="75"/>
      <c r="MR25" s="75"/>
      <c r="MS25" s="75"/>
      <c r="MT25" s="75"/>
      <c r="MU25" s="75"/>
      <c r="MV25" s="75"/>
      <c r="MW25" s="75"/>
      <c r="MX25" s="75"/>
      <c r="MY25" s="75"/>
      <c r="MZ25" s="75"/>
      <c r="NA25" s="75"/>
      <c r="NB25" s="75"/>
      <c r="NC25" s="75"/>
      <c r="ND25" s="75"/>
      <c r="NE25" s="75"/>
      <c r="NF25" s="75"/>
      <c r="NG25" s="75"/>
      <c r="NH25" s="75"/>
      <c r="NI25" s="75"/>
      <c r="NJ25" s="75"/>
      <c r="NK25" s="75"/>
      <c r="NL25" s="75"/>
      <c r="NM25" s="75"/>
      <c r="NN25" s="75"/>
      <c r="NO25" s="75"/>
      <c r="NP25" s="75"/>
      <c r="NQ25" s="75"/>
      <c r="NR25" s="75"/>
      <c r="NS25" s="75"/>
      <c r="NT25" s="75"/>
      <c r="NU25" s="75"/>
      <c r="NV25" s="75"/>
      <c r="NW25" s="75"/>
      <c r="NX25" s="75"/>
      <c r="NY25" s="75"/>
      <c r="NZ25" s="75"/>
      <c r="OA25" s="75"/>
      <c r="OB25" s="75"/>
      <c r="OC25" s="75"/>
      <c r="OD25" s="75"/>
      <c r="OE25" s="75"/>
      <c r="OF25" s="75"/>
      <c r="OG25" s="75"/>
      <c r="OH25" s="75"/>
      <c r="OI25" s="75"/>
      <c r="OJ25" s="75"/>
      <c r="OK25" s="75"/>
      <c r="OL25" s="75"/>
      <c r="OM25" s="75"/>
      <c r="ON25" s="75"/>
      <c r="OO25" s="75"/>
      <c r="OP25" s="75"/>
      <c r="OQ25" s="75"/>
      <c r="OR25" s="75"/>
      <c r="OS25" s="75"/>
      <c r="OT25" s="75"/>
      <c r="OU25" s="75"/>
      <c r="OV25" s="75"/>
      <c r="OW25" s="75"/>
      <c r="OX25" s="75"/>
      <c r="OY25" s="75"/>
      <c r="OZ25" s="75"/>
      <c r="PA25" s="75"/>
      <c r="PB25" s="75"/>
      <c r="PC25" s="75"/>
      <c r="PD25" s="75"/>
      <c r="PE25" s="75"/>
      <c r="PF25" s="75"/>
      <c r="PG25" s="75"/>
      <c r="PH25" s="75"/>
      <c r="PI25" s="75"/>
      <c r="PJ25" s="75"/>
      <c r="PK25" s="75"/>
      <c r="PL25" s="75"/>
      <c r="PM25" s="75"/>
      <c r="PN25" s="75"/>
      <c r="PO25" s="75"/>
      <c r="PP25" s="75"/>
      <c r="PQ25" s="75"/>
      <c r="PR25" s="75"/>
      <c r="PS25" s="75"/>
      <c r="PT25" s="75"/>
      <c r="PU25" s="75"/>
      <c r="PV25" s="75"/>
      <c r="PW25" s="75"/>
      <c r="PX25" s="75"/>
      <c r="PY25" s="75"/>
      <c r="PZ25" s="75"/>
      <c r="QA25" s="75"/>
      <c r="QB25" s="75"/>
      <c r="QC25" s="75"/>
      <c r="QD25" s="75"/>
      <c r="QE25" s="75"/>
      <c r="QF25" s="75"/>
      <c r="QG25" s="75"/>
      <c r="QH25" s="75"/>
      <c r="QI25" s="75"/>
      <c r="QJ25" s="75"/>
      <c r="QK25" s="75"/>
      <c r="QL25" s="75"/>
      <c r="QM25" s="75"/>
      <c r="QN25" s="75"/>
      <c r="QO25" s="75"/>
      <c r="QP25" s="75"/>
      <c r="QQ25" s="75"/>
      <c r="QR25" s="75"/>
      <c r="QS25" s="75"/>
      <c r="QT25" s="75"/>
      <c r="QU25" s="75"/>
      <c r="QV25" s="75"/>
      <c r="QW25" s="75"/>
      <c r="QX25" s="75"/>
      <c r="QY25" s="75"/>
      <c r="QZ25" s="75"/>
      <c r="RA25" s="75"/>
      <c r="RB25" s="75"/>
      <c r="RC25" s="75"/>
      <c r="RD25" s="75"/>
      <c r="RE25" s="75"/>
      <c r="RF25" s="75"/>
      <c r="RG25" s="75"/>
      <c r="RH25" s="75"/>
      <c r="RI25" s="75"/>
      <c r="RJ25" s="75"/>
      <c r="RK25" s="75"/>
      <c r="RL25" s="75"/>
      <c r="RM25" s="75"/>
      <c r="RN25" s="75"/>
      <c r="RO25" s="75"/>
      <c r="RP25" s="75"/>
      <c r="RQ25" s="75"/>
      <c r="RR25" s="75"/>
      <c r="RS25" s="75"/>
      <c r="RT25" s="75"/>
      <c r="RU25" s="75"/>
      <c r="RV25" s="75"/>
      <c r="RW25" s="75"/>
      <c r="RX25" s="75"/>
      <c r="RY25" s="75"/>
      <c r="RZ25" s="75"/>
      <c r="SA25" s="75"/>
      <c r="SB25" s="75"/>
      <c r="SC25" s="75"/>
      <c r="SD25" s="75"/>
      <c r="SE25" s="75"/>
      <c r="SF25" s="75"/>
      <c r="SG25" s="75"/>
      <c r="SH25" s="75"/>
      <c r="SI25" s="75"/>
      <c r="SJ25" s="75"/>
      <c r="SK25" s="75"/>
      <c r="SL25" s="75"/>
      <c r="SM25" s="75"/>
      <c r="SN25" s="75"/>
      <c r="SO25" s="75"/>
      <c r="SP25" s="75"/>
      <c r="SQ25" s="75"/>
      <c r="SR25" s="75"/>
      <c r="SS25" s="75"/>
      <c r="ST25" s="75"/>
      <c r="SU25" s="75"/>
      <c r="SV25" s="75"/>
      <c r="SW25" s="75"/>
      <c r="SX25" s="75"/>
      <c r="SY25" s="75"/>
      <c r="SZ25" s="75"/>
      <c r="TA25" s="75"/>
      <c r="TB25" s="75"/>
      <c r="TC25" s="75"/>
      <c r="TD25" s="75"/>
      <c r="TE25" s="75"/>
      <c r="TF25" s="75"/>
      <c r="TG25" s="75"/>
      <c r="TH25" s="75"/>
      <c r="TI25" s="75"/>
      <c r="TJ25" s="75"/>
      <c r="TK25" s="75"/>
      <c r="TL25" s="75"/>
      <c r="TM25" s="75"/>
      <c r="TN25" s="75"/>
      <c r="TO25" s="75"/>
      <c r="TP25" s="75"/>
      <c r="TQ25" s="75"/>
      <c r="TR25" s="75"/>
      <c r="TS25" s="75"/>
      <c r="TT25" s="75"/>
      <c r="TU25" s="75"/>
      <c r="TV25" s="75"/>
      <c r="TW25" s="75"/>
      <c r="TX25" s="75"/>
      <c r="TY25" s="75"/>
      <c r="TZ25" s="75"/>
      <c r="UA25" s="75"/>
      <c r="UB25" s="75"/>
      <c r="UC25" s="75">
        <v>2</v>
      </c>
      <c r="UD25" s="75"/>
      <c r="UE25" s="75">
        <v>4</v>
      </c>
      <c r="UF25" s="75">
        <v>4</v>
      </c>
      <c r="UG25" s="75">
        <v>4</v>
      </c>
      <c r="UH25" s="75">
        <v>4</v>
      </c>
      <c r="UI25" s="75">
        <v>4</v>
      </c>
      <c r="UJ25" s="75">
        <v>7</v>
      </c>
      <c r="UK25" s="75"/>
      <c r="UL25" s="75">
        <v>8</v>
      </c>
      <c r="UM25" s="75">
        <v>11</v>
      </c>
      <c r="UN25" s="75">
        <v>13</v>
      </c>
      <c r="UO25" s="75">
        <v>11</v>
      </c>
      <c r="UP25" s="75">
        <v>9</v>
      </c>
      <c r="UQ25" s="75">
        <v>9</v>
      </c>
      <c r="UR25" s="75"/>
      <c r="US25" s="75">
        <v>9</v>
      </c>
      <c r="UT25" s="75">
        <v>9</v>
      </c>
      <c r="UU25" s="75">
        <v>9</v>
      </c>
      <c r="UV25" s="75">
        <v>6</v>
      </c>
      <c r="UW25" s="75">
        <v>5</v>
      </c>
      <c r="UX25" s="75">
        <v>2</v>
      </c>
      <c r="UY25" s="75"/>
      <c r="UZ25" s="75"/>
      <c r="VA25" s="75"/>
      <c r="VB25" s="75"/>
      <c r="VC25" s="75"/>
      <c r="VD25" s="75"/>
      <c r="VE25" s="75"/>
      <c r="VF25" s="75"/>
      <c r="VG25" s="75"/>
      <c r="VH25" s="75"/>
      <c r="VI25" s="75"/>
      <c r="VJ25" s="75">
        <v>3</v>
      </c>
      <c r="VK25" s="75">
        <v>5</v>
      </c>
      <c r="VL25" s="75">
        <v>5</v>
      </c>
      <c r="VM25" s="75"/>
      <c r="VN25" s="75">
        <v>5</v>
      </c>
      <c r="VO25" s="75">
        <v>5</v>
      </c>
      <c r="VP25" s="75">
        <v>5</v>
      </c>
      <c r="VQ25" s="75">
        <v>5</v>
      </c>
      <c r="VR25" s="75">
        <v>5</v>
      </c>
      <c r="VS25" s="75">
        <v>5</v>
      </c>
      <c r="VT25" s="75"/>
      <c r="VU25" s="75">
        <v>5</v>
      </c>
      <c r="VV25" s="75">
        <v>2</v>
      </c>
      <c r="VW25" s="75"/>
      <c r="VX25" s="75"/>
      <c r="VY25" s="75"/>
      <c r="VZ25" s="75"/>
      <c r="WA25" s="75"/>
      <c r="WB25" s="75"/>
      <c r="WC25" s="75"/>
      <c r="WD25" s="75"/>
      <c r="WE25" s="75"/>
      <c r="WF25" s="75"/>
      <c r="WG25" s="75"/>
      <c r="WH25" s="75"/>
      <c r="WI25" s="75"/>
      <c r="WJ25" s="75"/>
      <c r="WK25" s="75"/>
      <c r="WL25" s="75"/>
      <c r="WM25" s="75"/>
      <c r="WN25" s="75"/>
      <c r="WO25" s="75"/>
      <c r="WP25" s="75"/>
      <c r="WQ25" s="75"/>
      <c r="WR25" s="75"/>
      <c r="WS25" s="75"/>
      <c r="WT25" s="75"/>
      <c r="WU25" s="75"/>
      <c r="WV25" s="75"/>
      <c r="WW25" s="75"/>
      <c r="WX25" s="75"/>
      <c r="WY25" s="75"/>
      <c r="WZ25" s="75"/>
      <c r="XA25" s="75"/>
      <c r="XB25" s="75"/>
      <c r="XC25" s="75"/>
      <c r="XD25" s="75"/>
      <c r="XE25" s="75"/>
      <c r="XF25" s="75"/>
      <c r="XG25" s="75"/>
      <c r="XH25" s="75"/>
      <c r="XI25" s="75"/>
      <c r="XJ25" s="75"/>
      <c r="XK25" s="75"/>
      <c r="XL25" s="75"/>
      <c r="XM25" s="75"/>
      <c r="XN25" s="75"/>
      <c r="XO25" s="75"/>
      <c r="XP25" s="75"/>
      <c r="XQ25" s="75"/>
      <c r="XR25" s="75"/>
      <c r="XS25" s="75"/>
      <c r="XT25" s="75"/>
      <c r="XU25" s="75"/>
      <c r="XV25" s="75"/>
      <c r="XW25" s="75"/>
      <c r="XX25" s="75"/>
      <c r="XY25" s="75"/>
      <c r="XZ25" s="75"/>
      <c r="YA25" s="75"/>
      <c r="YB25" s="75"/>
      <c r="YC25" s="75"/>
      <c r="YD25" s="75"/>
      <c r="YE25" s="75"/>
      <c r="YF25" s="75"/>
      <c r="YG25" s="75"/>
      <c r="YH25" s="75"/>
      <c r="YI25" s="75"/>
      <c r="YJ25" s="75"/>
      <c r="YK25" s="75"/>
      <c r="YL25" s="75"/>
      <c r="YM25" s="75"/>
      <c r="YN25" s="75"/>
      <c r="YO25" s="75"/>
      <c r="YP25" s="75"/>
      <c r="YQ25" s="75"/>
      <c r="YR25" s="75"/>
      <c r="YS25" s="75"/>
      <c r="YT25" s="75"/>
      <c r="YU25" s="75"/>
      <c r="YV25" s="75"/>
      <c r="YW25" s="75"/>
      <c r="YX25" s="75"/>
      <c r="YY25" s="75"/>
      <c r="YZ25" s="75"/>
      <c r="ZA25" s="75"/>
      <c r="ZB25" s="75"/>
      <c r="ZC25" s="75"/>
      <c r="ZD25" s="75"/>
      <c r="ZE25" s="75"/>
      <c r="ZF25" s="75"/>
      <c r="ZG25" s="75"/>
      <c r="ZH25" s="75"/>
      <c r="ZI25" s="75"/>
      <c r="ZJ25" s="75"/>
      <c r="ZK25" s="75"/>
      <c r="ZL25" s="75"/>
      <c r="ZM25" s="75"/>
      <c r="ZN25" s="75"/>
      <c r="ZO25" s="75"/>
      <c r="ZP25" s="75"/>
      <c r="ZQ25" s="75"/>
      <c r="ZR25" s="75"/>
      <c r="ZS25" s="75"/>
      <c r="ZT25" s="75"/>
      <c r="ZU25" s="75"/>
      <c r="ZV25" s="75"/>
      <c r="ZW25" s="75"/>
      <c r="ZX25" s="75"/>
      <c r="ZY25" s="75"/>
      <c r="ZZ25" s="75"/>
      <c r="AAA25" s="75"/>
      <c r="AAB25" s="75"/>
      <c r="AAC25" s="75"/>
      <c r="AAD25" s="75"/>
      <c r="AAE25" s="75"/>
      <c r="AAF25" s="75"/>
      <c r="AAG25" s="75"/>
      <c r="AAH25" s="75"/>
      <c r="AAI25" s="75"/>
      <c r="AAJ25" s="75"/>
      <c r="AAK25" s="75"/>
      <c r="AAL25" s="75"/>
      <c r="AAM25" s="75"/>
      <c r="AAN25" s="75"/>
      <c r="AAO25" s="75"/>
      <c r="AAP25" s="75"/>
      <c r="AAQ25" s="75"/>
      <c r="AAR25" s="75"/>
      <c r="AAS25" s="75"/>
      <c r="AAT25" s="75"/>
      <c r="AAU25" s="75"/>
      <c r="AAV25" s="75"/>
      <c r="AAW25" s="75"/>
      <c r="AAX25" s="75"/>
      <c r="AAY25" s="75"/>
      <c r="AAZ25" s="75"/>
      <c r="ABA25" s="75"/>
      <c r="ABB25" s="75"/>
      <c r="ABC25" s="75"/>
    </row>
    <row r="26" spans="1:731">
      <c r="A26" s="75" t="s">
        <v>64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75"/>
      <c r="BL26" s="75"/>
      <c r="BM26" s="75"/>
      <c r="BN26" s="75"/>
      <c r="BO26" s="75"/>
      <c r="BP26" s="75"/>
      <c r="BQ26" s="75"/>
      <c r="BR26" s="75"/>
      <c r="BS26" s="75"/>
      <c r="BT26" s="75"/>
      <c r="BU26" s="75"/>
      <c r="BV26" s="75"/>
      <c r="BW26" s="75"/>
      <c r="BX26" s="75"/>
      <c r="BY26" s="75"/>
      <c r="BZ26" s="75"/>
      <c r="CA26" s="75"/>
      <c r="CB26" s="75"/>
      <c r="CC26" s="75"/>
      <c r="CD26" s="75"/>
      <c r="CE26" s="75"/>
      <c r="CF26" s="75"/>
      <c r="CG26" s="75"/>
      <c r="CH26" s="75"/>
      <c r="CI26" s="75"/>
      <c r="CJ26" s="75"/>
      <c r="CK26" s="75"/>
      <c r="CL26" s="75"/>
      <c r="CM26" s="75"/>
      <c r="CN26" s="75"/>
      <c r="CO26" s="75"/>
      <c r="CP26" s="75"/>
      <c r="CQ26" s="75"/>
      <c r="CR26" s="75"/>
      <c r="CS26" s="75"/>
      <c r="CT26" s="75"/>
      <c r="CU26" s="75"/>
      <c r="CV26" s="75"/>
      <c r="CW26" s="75"/>
      <c r="CX26" s="75"/>
      <c r="CY26" s="75"/>
      <c r="CZ26" s="75"/>
      <c r="DA26" s="75"/>
      <c r="DB26" s="75"/>
      <c r="DC26" s="75"/>
      <c r="DD26" s="75"/>
      <c r="DE26" s="75"/>
      <c r="DF26" s="75"/>
      <c r="DG26" s="75"/>
      <c r="DH26" s="75"/>
      <c r="DI26" s="75"/>
      <c r="DJ26" s="75"/>
      <c r="DK26" s="75"/>
      <c r="DL26" s="75"/>
      <c r="DM26" s="75"/>
      <c r="DN26" s="75"/>
      <c r="DO26" s="75"/>
      <c r="DP26" s="75"/>
      <c r="DQ26" s="75"/>
      <c r="DR26" s="75"/>
      <c r="DS26" s="75"/>
      <c r="DT26" s="75"/>
      <c r="DU26" s="75"/>
      <c r="DV26" s="75"/>
      <c r="DW26" s="75"/>
      <c r="DX26" s="75"/>
      <c r="DY26" s="75"/>
      <c r="DZ26" s="75"/>
      <c r="EA26" s="75"/>
      <c r="EB26" s="75"/>
      <c r="EC26" s="75"/>
      <c r="ED26" s="75"/>
      <c r="EE26" s="75"/>
      <c r="EF26" s="75"/>
      <c r="EG26" s="75"/>
      <c r="EH26" s="75"/>
      <c r="EI26" s="75"/>
      <c r="EJ26" s="75"/>
      <c r="EK26" s="75"/>
      <c r="EL26" s="75"/>
      <c r="EM26" s="75"/>
      <c r="EN26" s="75"/>
      <c r="EO26" s="75"/>
      <c r="EP26" s="75"/>
      <c r="EQ26" s="75"/>
      <c r="ER26" s="75"/>
      <c r="ES26" s="75"/>
      <c r="ET26" s="75"/>
      <c r="EU26" s="75"/>
      <c r="EV26" s="75"/>
      <c r="EW26" s="75"/>
      <c r="EX26" s="75"/>
      <c r="EY26" s="75"/>
      <c r="EZ26" s="75"/>
      <c r="FA26" s="75"/>
      <c r="FB26" s="75"/>
      <c r="FC26" s="75"/>
      <c r="FD26" s="75"/>
      <c r="FE26" s="75"/>
      <c r="FF26" s="75"/>
      <c r="FG26" s="75"/>
      <c r="FH26" s="75"/>
      <c r="FI26" s="75"/>
      <c r="FJ26" s="75"/>
      <c r="FK26" s="75"/>
      <c r="FL26" s="75"/>
      <c r="FM26" s="75"/>
      <c r="FN26" s="75"/>
      <c r="FO26" s="75"/>
      <c r="FP26" s="75"/>
      <c r="FQ26" s="75"/>
      <c r="FR26" s="75"/>
      <c r="FS26" s="75"/>
      <c r="FT26" s="75"/>
      <c r="FU26" s="75"/>
      <c r="FV26" s="75"/>
      <c r="FW26" s="75"/>
      <c r="FX26" s="75"/>
      <c r="FY26" s="75"/>
      <c r="FZ26" s="75"/>
      <c r="GA26" s="75"/>
      <c r="GB26" s="75"/>
      <c r="GC26" s="75"/>
      <c r="GD26" s="75"/>
      <c r="GE26" s="75"/>
      <c r="GF26" s="75"/>
      <c r="GG26" s="75"/>
      <c r="GH26" s="75"/>
      <c r="GI26" s="75"/>
      <c r="GJ26" s="75"/>
      <c r="GK26" s="75"/>
      <c r="GL26" s="75"/>
      <c r="GM26" s="75"/>
      <c r="GN26" s="75"/>
      <c r="GO26" s="75"/>
      <c r="GP26" s="75"/>
      <c r="GQ26" s="75"/>
      <c r="GR26" s="75"/>
      <c r="GS26" s="75"/>
      <c r="GT26" s="75"/>
      <c r="GU26" s="75"/>
      <c r="GV26" s="75"/>
      <c r="GW26" s="75"/>
      <c r="GX26" s="75"/>
      <c r="GY26" s="75"/>
      <c r="GZ26" s="75"/>
      <c r="HA26" s="75"/>
      <c r="HB26" s="75"/>
      <c r="HC26" s="75"/>
      <c r="HD26" s="75"/>
      <c r="HE26" s="75"/>
      <c r="HF26" s="75"/>
      <c r="HG26" s="75">
        <v>20</v>
      </c>
      <c r="HH26" s="75">
        <v>20</v>
      </c>
      <c r="HI26" s="75">
        <v>20</v>
      </c>
      <c r="HJ26" s="75">
        <v>20</v>
      </c>
      <c r="HK26" s="75">
        <v>20</v>
      </c>
      <c r="HL26" s="75">
        <v>20</v>
      </c>
      <c r="HM26" s="75"/>
      <c r="HN26" s="75">
        <v>20</v>
      </c>
      <c r="HO26" s="75"/>
      <c r="HP26" s="75">
        <v>20</v>
      </c>
      <c r="HQ26" s="75">
        <v>20</v>
      </c>
      <c r="HR26" s="75">
        <v>20</v>
      </c>
      <c r="HS26" s="75">
        <v>20</v>
      </c>
      <c r="HT26" s="75"/>
      <c r="HU26" s="75"/>
      <c r="HV26" s="75"/>
      <c r="HW26" s="75"/>
      <c r="HX26" s="75"/>
      <c r="HY26" s="75"/>
      <c r="HZ26" s="75"/>
      <c r="IA26" s="75"/>
      <c r="IB26" s="75"/>
      <c r="IC26" s="75"/>
      <c r="ID26" s="75"/>
      <c r="IE26" s="75">
        <v>20</v>
      </c>
      <c r="IF26" s="75">
        <v>20</v>
      </c>
      <c r="IG26" s="75">
        <v>40</v>
      </c>
      <c r="IH26" s="75"/>
      <c r="II26" s="75">
        <v>40</v>
      </c>
      <c r="IJ26" s="75">
        <v>40</v>
      </c>
      <c r="IK26" s="75">
        <v>40</v>
      </c>
      <c r="IL26" s="75">
        <v>40</v>
      </c>
      <c r="IM26" s="75">
        <v>20</v>
      </c>
      <c r="IN26" s="75">
        <v>40</v>
      </c>
      <c r="IO26" s="75"/>
      <c r="IP26" s="75">
        <v>20</v>
      </c>
      <c r="IQ26" s="75">
        <v>20</v>
      </c>
      <c r="IR26" s="75">
        <v>20</v>
      </c>
      <c r="IS26" s="75"/>
      <c r="IT26" s="75"/>
      <c r="IU26" s="75"/>
      <c r="IV26" s="75"/>
      <c r="IW26" s="75"/>
      <c r="IX26" s="75"/>
      <c r="IY26" s="75"/>
      <c r="IZ26" s="75"/>
      <c r="JA26" s="75"/>
      <c r="JB26" s="75"/>
      <c r="JC26" s="75"/>
      <c r="JD26" s="75">
        <v>20</v>
      </c>
      <c r="JE26" s="75">
        <v>40</v>
      </c>
      <c r="JF26" s="75">
        <v>40</v>
      </c>
      <c r="JG26" s="75">
        <v>40</v>
      </c>
      <c r="JH26" s="75">
        <v>40</v>
      </c>
      <c r="JI26" s="75">
        <v>40</v>
      </c>
      <c r="JJ26" s="75"/>
      <c r="JK26" s="75">
        <v>40</v>
      </c>
      <c r="JL26" s="75">
        <v>20</v>
      </c>
      <c r="JM26" s="75">
        <v>20</v>
      </c>
      <c r="JN26" s="75">
        <v>20</v>
      </c>
      <c r="JO26" s="75">
        <v>20</v>
      </c>
      <c r="JP26" s="75">
        <v>40</v>
      </c>
      <c r="JQ26" s="75"/>
      <c r="JR26" s="75"/>
      <c r="JS26" s="75"/>
      <c r="JT26" s="75"/>
      <c r="JU26" s="75"/>
      <c r="JV26" s="75">
        <v>40</v>
      </c>
      <c r="JW26" s="75">
        <v>40</v>
      </c>
      <c r="JX26" s="75"/>
      <c r="JY26" s="75">
        <v>40</v>
      </c>
      <c r="JZ26" s="75">
        <v>50</v>
      </c>
      <c r="KA26" s="75">
        <v>50</v>
      </c>
      <c r="KB26" s="75">
        <v>50</v>
      </c>
      <c r="KC26" s="75">
        <v>50</v>
      </c>
      <c r="KD26" s="75">
        <v>50</v>
      </c>
      <c r="KE26" s="75"/>
      <c r="KF26" s="75">
        <v>50</v>
      </c>
      <c r="KG26" s="75">
        <v>90</v>
      </c>
      <c r="KH26" s="75">
        <v>90</v>
      </c>
      <c r="KI26" s="75">
        <v>100</v>
      </c>
      <c r="KJ26" s="75">
        <v>80</v>
      </c>
      <c r="KK26" s="75">
        <v>68</v>
      </c>
      <c r="KL26" s="75"/>
      <c r="KM26" s="75">
        <v>68</v>
      </c>
      <c r="KN26" s="75">
        <v>68</v>
      </c>
      <c r="KO26" s="75">
        <v>28</v>
      </c>
      <c r="KP26" s="75">
        <v>48</v>
      </c>
      <c r="KQ26" s="75">
        <v>38</v>
      </c>
      <c r="KR26" s="75">
        <v>38</v>
      </c>
      <c r="KS26" s="75"/>
      <c r="KT26" s="75">
        <v>38</v>
      </c>
      <c r="KU26" s="75">
        <v>26</v>
      </c>
      <c r="KV26" s="75">
        <v>26</v>
      </c>
      <c r="KW26" s="75">
        <v>18</v>
      </c>
      <c r="KX26" s="75">
        <v>28</v>
      </c>
      <c r="KY26" s="75">
        <v>38</v>
      </c>
      <c r="KZ26" s="75"/>
      <c r="LA26" s="75">
        <v>28</v>
      </c>
      <c r="LB26" s="75">
        <v>28</v>
      </c>
      <c r="LC26" s="75">
        <v>28</v>
      </c>
      <c r="LD26" s="75">
        <v>28</v>
      </c>
      <c r="LE26" s="75">
        <v>48</v>
      </c>
      <c r="LF26" s="75">
        <v>40</v>
      </c>
      <c r="LG26" s="75"/>
      <c r="LH26" s="75">
        <v>40</v>
      </c>
      <c r="LI26" s="75">
        <v>40</v>
      </c>
      <c r="LJ26" s="75">
        <v>50</v>
      </c>
      <c r="LK26" s="75">
        <v>58</v>
      </c>
      <c r="LL26" s="75">
        <v>58</v>
      </c>
      <c r="LM26" s="75">
        <v>38</v>
      </c>
      <c r="LN26" s="75"/>
      <c r="LO26" s="75">
        <v>38</v>
      </c>
      <c r="LP26" s="75">
        <v>28</v>
      </c>
      <c r="LQ26" s="75">
        <v>18</v>
      </c>
      <c r="LR26" s="75">
        <v>28</v>
      </c>
      <c r="LS26" s="75">
        <v>28</v>
      </c>
      <c r="LT26" s="75">
        <v>28</v>
      </c>
      <c r="LU26" s="75"/>
      <c r="LV26" s="75">
        <v>18</v>
      </c>
      <c r="LW26" s="75">
        <v>10</v>
      </c>
      <c r="LX26" s="75">
        <v>10</v>
      </c>
      <c r="LY26" s="75">
        <v>10</v>
      </c>
      <c r="LZ26" s="75">
        <v>10</v>
      </c>
      <c r="MA26" s="75">
        <v>30</v>
      </c>
      <c r="MB26" s="75"/>
      <c r="MC26" s="75">
        <v>60</v>
      </c>
      <c r="MD26" s="75">
        <v>70</v>
      </c>
      <c r="ME26" s="75">
        <v>70</v>
      </c>
      <c r="MF26" s="75">
        <v>74</v>
      </c>
      <c r="MG26" s="75"/>
      <c r="MH26" s="75"/>
      <c r="MI26" s="75"/>
      <c r="MJ26" s="75"/>
      <c r="MK26" s="75"/>
      <c r="ML26" s="75">
        <v>80</v>
      </c>
      <c r="MM26" s="75">
        <v>80</v>
      </c>
      <c r="MN26" s="75">
        <v>80</v>
      </c>
      <c r="MO26" s="75">
        <v>54</v>
      </c>
      <c r="MP26" s="75"/>
      <c r="MQ26" s="75">
        <v>60</v>
      </c>
      <c r="MR26" s="75">
        <v>89</v>
      </c>
      <c r="MS26" s="75">
        <v>89</v>
      </c>
      <c r="MT26" s="75">
        <v>89</v>
      </c>
      <c r="MU26" s="75">
        <v>91</v>
      </c>
      <c r="MV26" s="75">
        <v>104</v>
      </c>
      <c r="MW26" s="75"/>
      <c r="MX26" s="75">
        <v>109</v>
      </c>
      <c r="MY26" s="75">
        <v>125</v>
      </c>
      <c r="MZ26" s="75">
        <v>115</v>
      </c>
      <c r="NA26" s="75">
        <v>119</v>
      </c>
      <c r="NB26" s="75">
        <v>125</v>
      </c>
      <c r="NC26" s="75">
        <v>118</v>
      </c>
      <c r="ND26" s="75"/>
      <c r="NE26" s="75">
        <v>114</v>
      </c>
      <c r="NF26" s="75">
        <v>88</v>
      </c>
      <c r="NG26" s="75">
        <v>104</v>
      </c>
      <c r="NH26" s="75">
        <v>129</v>
      </c>
      <c r="NI26" s="75">
        <v>116</v>
      </c>
      <c r="NJ26" s="75">
        <v>142</v>
      </c>
      <c r="NK26" s="75"/>
      <c r="NL26" s="75">
        <v>152</v>
      </c>
      <c r="NM26" s="75">
        <v>160</v>
      </c>
      <c r="NN26" s="75">
        <v>176</v>
      </c>
      <c r="NO26" s="75">
        <v>174</v>
      </c>
      <c r="NP26" s="75">
        <v>176</v>
      </c>
      <c r="NQ26" s="75">
        <v>186</v>
      </c>
      <c r="NR26" s="75"/>
      <c r="NS26" s="75">
        <v>166</v>
      </c>
      <c r="NT26" s="75">
        <v>152</v>
      </c>
      <c r="NU26" s="75">
        <v>148</v>
      </c>
      <c r="NV26" s="75">
        <v>176</v>
      </c>
      <c r="NW26" s="75">
        <v>176</v>
      </c>
      <c r="NX26" s="75">
        <v>164</v>
      </c>
      <c r="NY26" s="75"/>
      <c r="NZ26" s="75">
        <v>154</v>
      </c>
      <c r="OA26" s="75">
        <v>160</v>
      </c>
      <c r="OB26" s="75">
        <v>144</v>
      </c>
      <c r="OC26" s="75">
        <v>148</v>
      </c>
      <c r="OD26" s="75">
        <v>142</v>
      </c>
      <c r="OE26" s="75">
        <v>148</v>
      </c>
      <c r="OF26" s="75"/>
      <c r="OG26" s="75">
        <v>140</v>
      </c>
      <c r="OH26" s="75">
        <v>124</v>
      </c>
      <c r="OI26" s="75">
        <v>120</v>
      </c>
      <c r="OJ26" s="75">
        <v>112</v>
      </c>
      <c r="OK26" s="75">
        <v>132</v>
      </c>
      <c r="OL26" s="75">
        <v>144</v>
      </c>
      <c r="OM26" s="75"/>
      <c r="ON26" s="75">
        <v>158</v>
      </c>
      <c r="OO26" s="75">
        <v>152</v>
      </c>
      <c r="OP26" s="75">
        <v>161</v>
      </c>
      <c r="OQ26" s="75">
        <v>156</v>
      </c>
      <c r="OR26" s="75">
        <v>156</v>
      </c>
      <c r="OS26" s="75">
        <v>150</v>
      </c>
      <c r="OT26" s="75"/>
      <c r="OU26" s="75">
        <v>174</v>
      </c>
      <c r="OV26" s="75">
        <v>224</v>
      </c>
      <c r="OW26" s="75">
        <v>211</v>
      </c>
      <c r="OX26" s="75">
        <v>211</v>
      </c>
      <c r="OY26" s="75">
        <v>211</v>
      </c>
      <c r="OZ26" s="75">
        <v>209</v>
      </c>
      <c r="PA26" s="75"/>
      <c r="PB26" s="75">
        <v>210</v>
      </c>
      <c r="PC26" s="75">
        <v>221</v>
      </c>
      <c r="PD26" s="75">
        <v>211</v>
      </c>
      <c r="PE26" s="75">
        <v>211</v>
      </c>
      <c r="PF26" s="75">
        <v>203</v>
      </c>
      <c r="PG26" s="75">
        <v>195</v>
      </c>
      <c r="PH26" s="75"/>
      <c r="PI26" s="75">
        <v>187</v>
      </c>
      <c r="PJ26" s="75">
        <v>181</v>
      </c>
      <c r="PK26" s="75">
        <v>200</v>
      </c>
      <c r="PL26" s="75">
        <v>213</v>
      </c>
      <c r="PM26" s="75">
        <v>185</v>
      </c>
      <c r="PN26" s="75">
        <v>179</v>
      </c>
      <c r="PO26" s="75"/>
      <c r="PP26" s="75">
        <v>221</v>
      </c>
      <c r="PQ26" s="75">
        <v>231</v>
      </c>
      <c r="PR26" s="75">
        <v>237</v>
      </c>
      <c r="PS26" s="75">
        <v>223</v>
      </c>
      <c r="PT26" s="75">
        <v>215</v>
      </c>
      <c r="PU26" s="75">
        <v>235</v>
      </c>
      <c r="PV26" s="75"/>
      <c r="PW26" s="75">
        <v>268</v>
      </c>
      <c r="PX26" s="75">
        <v>249</v>
      </c>
      <c r="PY26" s="75">
        <v>252</v>
      </c>
      <c r="PZ26" s="75">
        <v>268</v>
      </c>
      <c r="QA26" s="75">
        <v>259</v>
      </c>
      <c r="QB26" s="75">
        <v>270</v>
      </c>
      <c r="QC26" s="75"/>
      <c r="QD26" s="75">
        <v>261</v>
      </c>
      <c r="QE26" s="75">
        <v>273</v>
      </c>
      <c r="QF26" s="75">
        <v>297</v>
      </c>
      <c r="QG26" s="75">
        <v>290</v>
      </c>
      <c r="QH26" s="75">
        <v>287</v>
      </c>
      <c r="QI26" s="75">
        <v>306</v>
      </c>
      <c r="QJ26" s="75"/>
      <c r="QK26" s="75">
        <v>309</v>
      </c>
      <c r="QL26" s="75">
        <v>308</v>
      </c>
      <c r="QM26" s="75">
        <v>368</v>
      </c>
      <c r="QN26" s="75">
        <v>342</v>
      </c>
      <c r="QO26" s="75">
        <v>381</v>
      </c>
      <c r="QP26" s="75">
        <v>389</v>
      </c>
      <c r="QQ26" s="75"/>
      <c r="QR26" s="75">
        <v>409</v>
      </c>
      <c r="QS26" s="75">
        <v>449</v>
      </c>
      <c r="QT26" s="75">
        <v>451</v>
      </c>
      <c r="QU26" s="75">
        <v>442</v>
      </c>
      <c r="QV26" s="75">
        <v>429</v>
      </c>
      <c r="QW26" s="75">
        <v>438</v>
      </c>
      <c r="QX26" s="75"/>
      <c r="QY26" s="75">
        <v>444</v>
      </c>
      <c r="QZ26" s="75">
        <v>493</v>
      </c>
      <c r="RA26" s="75">
        <v>470</v>
      </c>
      <c r="RB26" s="75">
        <v>471</v>
      </c>
      <c r="RC26" s="75">
        <v>500</v>
      </c>
      <c r="RD26" s="75">
        <v>465</v>
      </c>
      <c r="RE26" s="75"/>
      <c r="RF26" s="75">
        <v>459</v>
      </c>
      <c r="RG26" s="75">
        <v>480</v>
      </c>
      <c r="RH26" s="75">
        <v>496</v>
      </c>
      <c r="RI26" s="75">
        <v>518</v>
      </c>
      <c r="RJ26" s="75">
        <v>490</v>
      </c>
      <c r="RK26" s="75">
        <v>494</v>
      </c>
      <c r="RL26" s="75"/>
      <c r="RM26" s="75">
        <v>495</v>
      </c>
      <c r="RN26" s="75">
        <v>509</v>
      </c>
      <c r="RO26" s="75">
        <v>498</v>
      </c>
      <c r="RP26" s="75">
        <v>488</v>
      </c>
      <c r="RQ26" s="75">
        <v>433</v>
      </c>
      <c r="RR26" s="75">
        <v>418</v>
      </c>
      <c r="RS26" s="75"/>
      <c r="RT26" s="75">
        <v>467</v>
      </c>
      <c r="RU26" s="75">
        <v>410</v>
      </c>
      <c r="RV26" s="75">
        <v>400</v>
      </c>
      <c r="RW26" s="75">
        <v>410</v>
      </c>
      <c r="RX26" s="75">
        <v>408</v>
      </c>
      <c r="RY26" s="75">
        <v>354</v>
      </c>
      <c r="RZ26" s="75"/>
      <c r="SA26" s="75">
        <v>338</v>
      </c>
      <c r="SB26" s="75">
        <v>377</v>
      </c>
      <c r="SC26" s="75">
        <v>397</v>
      </c>
      <c r="SD26" s="75">
        <v>443</v>
      </c>
      <c r="SE26" s="75">
        <v>448</v>
      </c>
      <c r="SF26" s="75">
        <v>452</v>
      </c>
      <c r="SG26" s="75"/>
      <c r="SH26" s="75">
        <v>453</v>
      </c>
      <c r="SI26" s="75">
        <v>438</v>
      </c>
      <c r="SJ26" s="75">
        <v>435</v>
      </c>
      <c r="SK26" s="75">
        <v>406</v>
      </c>
      <c r="SL26" s="75">
        <v>403</v>
      </c>
      <c r="SM26" s="75">
        <v>364</v>
      </c>
      <c r="SN26" s="75"/>
      <c r="SO26" s="75">
        <v>318</v>
      </c>
      <c r="SP26" s="75">
        <v>256</v>
      </c>
      <c r="SQ26" s="75">
        <v>242</v>
      </c>
      <c r="SR26" s="75">
        <v>223</v>
      </c>
      <c r="SS26" s="75">
        <v>213</v>
      </c>
      <c r="ST26" s="75">
        <v>202</v>
      </c>
      <c r="SU26" s="75"/>
      <c r="SV26" s="75">
        <v>192</v>
      </c>
      <c r="SW26" s="75">
        <v>178</v>
      </c>
      <c r="SX26" s="75">
        <v>182</v>
      </c>
      <c r="SY26" s="75">
        <v>233</v>
      </c>
      <c r="SZ26" s="75">
        <v>347</v>
      </c>
      <c r="TA26" s="75">
        <v>359</v>
      </c>
      <c r="TB26" s="75"/>
      <c r="TC26" s="75">
        <v>361</v>
      </c>
      <c r="TD26" s="75">
        <v>364</v>
      </c>
      <c r="TE26" s="75">
        <v>353</v>
      </c>
      <c r="TF26" s="75">
        <v>335</v>
      </c>
      <c r="TG26" s="75">
        <v>341</v>
      </c>
      <c r="TH26" s="75">
        <v>331</v>
      </c>
      <c r="TI26" s="75"/>
      <c r="TJ26" s="75">
        <v>319</v>
      </c>
      <c r="TK26" s="75">
        <v>256</v>
      </c>
      <c r="TL26" s="75">
        <v>228</v>
      </c>
      <c r="TM26" s="75">
        <v>204</v>
      </c>
      <c r="TN26" s="75">
        <v>266</v>
      </c>
      <c r="TO26" s="75">
        <v>267</v>
      </c>
      <c r="TP26" s="75"/>
      <c r="TQ26" s="75">
        <v>272</v>
      </c>
      <c r="TR26" s="75">
        <v>204</v>
      </c>
      <c r="TS26" s="75">
        <v>186</v>
      </c>
      <c r="TT26" s="75">
        <v>196</v>
      </c>
      <c r="TU26" s="75">
        <v>220</v>
      </c>
      <c r="TV26" s="75">
        <v>224</v>
      </c>
      <c r="TW26" s="75"/>
      <c r="TX26" s="75">
        <v>238</v>
      </c>
      <c r="TY26" s="75">
        <v>236</v>
      </c>
      <c r="TZ26" s="75">
        <v>258</v>
      </c>
      <c r="UA26" s="75">
        <v>258</v>
      </c>
      <c r="UB26" s="75">
        <v>258</v>
      </c>
      <c r="UC26" s="75">
        <v>258</v>
      </c>
      <c r="UD26" s="75"/>
      <c r="UE26" s="75">
        <v>260</v>
      </c>
      <c r="UF26" s="75">
        <v>268</v>
      </c>
      <c r="UG26" s="75">
        <v>298</v>
      </c>
      <c r="UH26" s="75">
        <v>270</v>
      </c>
      <c r="UI26" s="75">
        <v>296</v>
      </c>
      <c r="UJ26" s="75">
        <v>322</v>
      </c>
      <c r="UK26" s="75"/>
      <c r="UL26" s="75">
        <v>320</v>
      </c>
      <c r="UM26" s="75">
        <v>300</v>
      </c>
      <c r="UN26" s="75">
        <v>312</v>
      </c>
      <c r="UO26" s="75">
        <v>306</v>
      </c>
      <c r="UP26" s="75">
        <v>300</v>
      </c>
      <c r="UQ26" s="75">
        <v>286</v>
      </c>
      <c r="UR26" s="75"/>
      <c r="US26" s="75">
        <v>288</v>
      </c>
      <c r="UT26" s="75">
        <v>292</v>
      </c>
      <c r="UU26" s="75">
        <v>308</v>
      </c>
      <c r="UV26" s="75">
        <v>334</v>
      </c>
      <c r="UW26" s="75">
        <v>346</v>
      </c>
      <c r="UX26" s="75">
        <v>310</v>
      </c>
      <c r="UY26" s="75"/>
      <c r="UZ26" s="75">
        <v>314</v>
      </c>
      <c r="VA26" s="75">
        <v>290</v>
      </c>
      <c r="VB26" s="75">
        <v>286</v>
      </c>
      <c r="VC26" s="75">
        <v>286</v>
      </c>
      <c r="VD26" s="75">
        <v>298</v>
      </c>
      <c r="VE26" s="75">
        <v>282</v>
      </c>
      <c r="VF26" s="75"/>
      <c r="VG26" s="75">
        <v>282</v>
      </c>
      <c r="VH26" s="75">
        <v>306</v>
      </c>
      <c r="VI26" s="75">
        <v>304</v>
      </c>
      <c r="VJ26" s="75">
        <v>302</v>
      </c>
      <c r="VK26" s="75">
        <v>298</v>
      </c>
      <c r="VL26" s="75">
        <v>282</v>
      </c>
      <c r="VM26" s="75"/>
      <c r="VN26" s="75">
        <v>241</v>
      </c>
      <c r="VO26" s="75">
        <v>138</v>
      </c>
      <c r="VP26" s="75">
        <v>136</v>
      </c>
      <c r="VQ26" s="75">
        <v>134</v>
      </c>
      <c r="VR26" s="75">
        <v>152</v>
      </c>
      <c r="VS26" s="75">
        <v>144</v>
      </c>
      <c r="VT26" s="75"/>
      <c r="VU26" s="75">
        <v>140</v>
      </c>
      <c r="VV26" s="75">
        <v>124</v>
      </c>
      <c r="VW26" s="75">
        <v>124</v>
      </c>
      <c r="VX26" s="75">
        <v>140</v>
      </c>
      <c r="VY26" s="75">
        <v>120</v>
      </c>
      <c r="VZ26" s="75">
        <v>114</v>
      </c>
      <c r="WA26" s="75"/>
      <c r="WB26" s="75">
        <v>114</v>
      </c>
      <c r="WC26" s="75">
        <v>114</v>
      </c>
      <c r="WD26" s="75">
        <v>114</v>
      </c>
      <c r="WE26" s="75">
        <v>150</v>
      </c>
      <c r="WF26" s="75">
        <v>150</v>
      </c>
      <c r="WG26" s="75">
        <v>150</v>
      </c>
      <c r="WH26" s="75"/>
      <c r="WI26" s="75">
        <v>144</v>
      </c>
      <c r="WJ26" s="75">
        <v>100</v>
      </c>
      <c r="WK26" s="75">
        <v>100</v>
      </c>
      <c r="WL26" s="75">
        <v>100</v>
      </c>
      <c r="WM26" s="75">
        <v>100</v>
      </c>
      <c r="WN26" s="75">
        <v>106</v>
      </c>
      <c r="WO26" s="75"/>
      <c r="WP26" s="75">
        <v>114</v>
      </c>
      <c r="WQ26" s="75">
        <v>196</v>
      </c>
      <c r="WR26" s="75">
        <v>200</v>
      </c>
      <c r="WS26" s="75">
        <v>200</v>
      </c>
      <c r="WT26" s="75">
        <v>218</v>
      </c>
      <c r="WU26" s="75">
        <v>236</v>
      </c>
      <c r="WV26" s="75"/>
      <c r="WW26" s="75">
        <v>212</v>
      </c>
      <c r="WX26" s="75">
        <v>238</v>
      </c>
      <c r="WY26" s="75">
        <v>250</v>
      </c>
      <c r="WZ26" s="75">
        <v>252</v>
      </c>
      <c r="XA26" s="75">
        <v>252</v>
      </c>
      <c r="XB26" s="75">
        <v>266</v>
      </c>
      <c r="XC26" s="75"/>
      <c r="XD26" s="75">
        <v>282</v>
      </c>
      <c r="XE26" s="75">
        <v>290</v>
      </c>
      <c r="XF26" s="75">
        <v>284</v>
      </c>
      <c r="XG26" s="75">
        <v>256</v>
      </c>
      <c r="XH26" s="75">
        <v>154</v>
      </c>
      <c r="XI26" s="75"/>
      <c r="XJ26" s="75"/>
      <c r="XK26" s="75"/>
      <c r="XL26" s="75"/>
      <c r="XM26" s="75"/>
      <c r="XN26" s="75">
        <v>150</v>
      </c>
      <c r="XO26" s="75">
        <v>150</v>
      </c>
      <c r="XP26" s="75">
        <v>126</v>
      </c>
      <c r="XQ26" s="75"/>
      <c r="XR26" s="75">
        <v>92</v>
      </c>
      <c r="XS26" s="75">
        <v>62</v>
      </c>
      <c r="XT26" s="75">
        <v>20</v>
      </c>
      <c r="XU26" s="75"/>
      <c r="XV26" s="75"/>
      <c r="XW26" s="75"/>
      <c r="XX26" s="75"/>
      <c r="XY26" s="75"/>
      <c r="XZ26" s="75"/>
      <c r="YA26" s="75"/>
      <c r="YB26" s="75"/>
      <c r="YC26" s="75"/>
      <c r="YD26" s="75"/>
      <c r="YE26" s="75"/>
      <c r="YF26" s="75"/>
      <c r="YG26" s="75"/>
      <c r="YH26" s="75"/>
      <c r="YI26" s="75"/>
      <c r="YJ26" s="75"/>
      <c r="YK26" s="75"/>
      <c r="YL26" s="75"/>
      <c r="YM26" s="75"/>
      <c r="YN26" s="75"/>
      <c r="YO26" s="75"/>
      <c r="YP26" s="75"/>
      <c r="YQ26" s="75"/>
      <c r="YR26" s="75"/>
      <c r="YS26" s="75"/>
      <c r="YT26" s="75"/>
      <c r="YU26" s="75"/>
      <c r="YV26" s="75"/>
      <c r="YW26" s="75"/>
      <c r="YX26" s="75"/>
      <c r="YY26" s="75"/>
      <c r="YZ26" s="75"/>
      <c r="ZA26" s="75"/>
      <c r="ZB26" s="75"/>
      <c r="ZC26" s="75"/>
      <c r="ZD26" s="75"/>
      <c r="ZE26" s="75"/>
      <c r="ZF26" s="75"/>
      <c r="ZG26" s="75"/>
      <c r="ZH26" s="75"/>
      <c r="ZI26" s="75"/>
      <c r="ZJ26" s="75"/>
      <c r="ZK26" s="75"/>
      <c r="ZL26" s="75"/>
      <c r="ZM26" s="75"/>
      <c r="ZN26" s="75"/>
      <c r="ZO26" s="75"/>
      <c r="ZP26" s="75"/>
      <c r="ZQ26" s="75"/>
      <c r="ZR26" s="75"/>
      <c r="ZS26" s="75"/>
      <c r="ZT26" s="75"/>
      <c r="ZU26" s="75"/>
      <c r="ZV26" s="75"/>
      <c r="ZW26" s="75"/>
      <c r="ZX26" s="75"/>
      <c r="ZY26" s="75"/>
      <c r="ZZ26" s="75"/>
      <c r="AAA26" s="75"/>
      <c r="AAB26" s="75"/>
      <c r="AAC26" s="75"/>
      <c r="AAD26" s="75"/>
      <c r="AAE26" s="75"/>
      <c r="AAF26" s="75"/>
      <c r="AAG26" s="75"/>
      <c r="AAH26" s="75"/>
      <c r="AAI26" s="75"/>
      <c r="AAJ26" s="75"/>
      <c r="AAK26" s="75"/>
      <c r="AAL26" s="75"/>
      <c r="AAM26" s="75"/>
      <c r="AAN26" s="75"/>
      <c r="AAO26" s="75"/>
      <c r="AAP26" s="75"/>
      <c r="AAQ26" s="75"/>
      <c r="AAR26" s="75"/>
      <c r="AAS26" s="75"/>
      <c r="AAT26" s="75"/>
      <c r="AAU26" s="75"/>
      <c r="AAV26" s="75"/>
      <c r="AAW26" s="75"/>
      <c r="AAX26" s="75"/>
      <c r="AAY26" s="75"/>
      <c r="AAZ26" s="75"/>
      <c r="ABA26" s="75"/>
      <c r="ABB26" s="75"/>
      <c r="ABC26" s="75"/>
    </row>
    <row r="27" spans="1:731">
      <c r="A27" s="75" t="s">
        <v>65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5"/>
      <c r="BF27" s="75"/>
      <c r="BG27" s="75"/>
      <c r="BH27" s="75"/>
      <c r="BI27" s="75"/>
      <c r="BJ27" s="75"/>
      <c r="BK27" s="75"/>
      <c r="BL27" s="75"/>
      <c r="BM27" s="75"/>
      <c r="BN27" s="75"/>
      <c r="BO27" s="75"/>
      <c r="BP27" s="75"/>
      <c r="BQ27" s="75"/>
      <c r="BR27" s="75"/>
      <c r="BS27" s="75"/>
      <c r="BT27" s="75"/>
      <c r="BU27" s="75"/>
      <c r="BV27" s="75"/>
      <c r="BW27" s="75"/>
      <c r="BX27" s="75"/>
      <c r="BY27" s="75"/>
      <c r="BZ27" s="75"/>
      <c r="CA27" s="75"/>
      <c r="CB27" s="75"/>
      <c r="CC27" s="75"/>
      <c r="CD27" s="75"/>
      <c r="CE27" s="75"/>
      <c r="CF27" s="75"/>
      <c r="CG27" s="75"/>
      <c r="CH27" s="75"/>
      <c r="CI27" s="75"/>
      <c r="CJ27" s="75"/>
      <c r="CK27" s="75"/>
      <c r="CL27" s="75"/>
      <c r="CM27" s="75"/>
      <c r="CN27" s="75"/>
      <c r="CO27" s="75"/>
      <c r="CP27" s="75"/>
      <c r="CQ27" s="75"/>
      <c r="CR27" s="75"/>
      <c r="CS27" s="75"/>
      <c r="CT27" s="75"/>
      <c r="CU27" s="75"/>
      <c r="CV27" s="75"/>
      <c r="CW27" s="75"/>
      <c r="CX27" s="75"/>
      <c r="CY27" s="75"/>
      <c r="CZ27" s="75"/>
      <c r="DA27" s="75"/>
      <c r="DB27" s="75"/>
      <c r="DC27" s="75"/>
      <c r="DD27" s="75"/>
      <c r="DE27" s="75"/>
      <c r="DF27" s="75"/>
      <c r="DG27" s="75"/>
      <c r="DH27" s="75"/>
      <c r="DI27" s="75"/>
      <c r="DJ27" s="75"/>
      <c r="DK27" s="75"/>
      <c r="DL27" s="75"/>
      <c r="DM27" s="75"/>
      <c r="DN27" s="75"/>
      <c r="DO27" s="75"/>
      <c r="DP27" s="75"/>
      <c r="DQ27" s="75"/>
      <c r="DR27" s="75"/>
      <c r="DS27" s="75"/>
      <c r="DT27" s="75"/>
      <c r="DU27" s="75"/>
      <c r="DV27" s="75"/>
      <c r="DW27" s="75"/>
      <c r="DX27" s="75"/>
      <c r="DY27" s="75"/>
      <c r="DZ27" s="75"/>
      <c r="EA27" s="75"/>
      <c r="EB27" s="75"/>
      <c r="EC27" s="75"/>
      <c r="ED27" s="75"/>
      <c r="EE27" s="75"/>
      <c r="EF27" s="75"/>
      <c r="EG27" s="75"/>
      <c r="EH27" s="75"/>
      <c r="EI27" s="75"/>
      <c r="EJ27" s="75"/>
      <c r="EK27" s="75"/>
      <c r="EL27" s="75"/>
      <c r="EM27" s="75"/>
      <c r="EN27" s="75"/>
      <c r="EO27" s="75"/>
      <c r="EP27" s="75"/>
      <c r="EQ27" s="75"/>
      <c r="ER27" s="75"/>
      <c r="ES27" s="75"/>
      <c r="ET27" s="75"/>
      <c r="EU27" s="75"/>
      <c r="EV27" s="75"/>
      <c r="EW27" s="75"/>
      <c r="EX27" s="75"/>
      <c r="EY27" s="75"/>
      <c r="EZ27" s="75"/>
      <c r="FA27" s="75"/>
      <c r="FB27" s="75"/>
      <c r="FC27" s="75"/>
      <c r="FD27" s="75"/>
      <c r="FE27" s="75"/>
      <c r="FF27" s="75">
        <v>4</v>
      </c>
      <c r="FG27" s="75">
        <v>4</v>
      </c>
      <c r="FH27" s="75">
        <v>4</v>
      </c>
      <c r="FI27" s="75"/>
      <c r="FJ27" s="75">
        <v>4</v>
      </c>
      <c r="FK27" s="75">
        <v>4</v>
      </c>
      <c r="FL27" s="75">
        <v>4</v>
      </c>
      <c r="FM27" s="75">
        <v>4</v>
      </c>
      <c r="FN27" s="75">
        <v>4</v>
      </c>
      <c r="FO27" s="75">
        <v>4</v>
      </c>
      <c r="FP27" s="75"/>
      <c r="FQ27" s="75">
        <v>4</v>
      </c>
      <c r="FR27" s="75">
        <v>4</v>
      </c>
      <c r="FS27" s="75">
        <v>4</v>
      </c>
      <c r="FT27" s="75">
        <v>4</v>
      </c>
      <c r="FU27" s="75">
        <v>4</v>
      </c>
      <c r="FV27" s="75">
        <v>5</v>
      </c>
      <c r="FW27" s="75"/>
      <c r="FX27" s="75">
        <v>5</v>
      </c>
      <c r="FY27" s="75">
        <v>5</v>
      </c>
      <c r="FZ27" s="75">
        <v>5</v>
      </c>
      <c r="GA27" s="75">
        <v>5</v>
      </c>
      <c r="GB27" s="75">
        <v>5</v>
      </c>
      <c r="GC27" s="75">
        <v>5</v>
      </c>
      <c r="GD27" s="75"/>
      <c r="GE27" s="75">
        <v>5</v>
      </c>
      <c r="GF27" s="75"/>
      <c r="GG27" s="75"/>
      <c r="GH27" s="75">
        <v>4</v>
      </c>
      <c r="GI27" s="75">
        <v>4</v>
      </c>
      <c r="GJ27" s="75">
        <v>4</v>
      </c>
      <c r="GK27" s="75"/>
      <c r="GL27" s="75">
        <v>4</v>
      </c>
      <c r="GM27" s="75">
        <v>4</v>
      </c>
      <c r="GN27" s="75">
        <v>4</v>
      </c>
      <c r="GO27" s="75">
        <v>4</v>
      </c>
      <c r="GP27" s="75">
        <v>4</v>
      </c>
      <c r="GQ27" s="75">
        <v>4</v>
      </c>
      <c r="GR27" s="75"/>
      <c r="GS27" s="75">
        <v>4</v>
      </c>
      <c r="GT27" s="75">
        <v>4</v>
      </c>
      <c r="GU27" s="75">
        <v>4</v>
      </c>
      <c r="GV27" s="75">
        <v>4</v>
      </c>
      <c r="GW27" s="75">
        <v>4</v>
      </c>
      <c r="GX27" s="75"/>
      <c r="GY27" s="75"/>
      <c r="GZ27" s="75"/>
      <c r="HA27" s="75"/>
      <c r="HB27" s="75"/>
      <c r="HC27" s="75">
        <v>5</v>
      </c>
      <c r="HD27" s="75">
        <v>5</v>
      </c>
      <c r="HE27" s="75">
        <v>10</v>
      </c>
      <c r="HF27" s="75"/>
      <c r="HG27" s="75">
        <v>10</v>
      </c>
      <c r="HH27" s="75">
        <v>10</v>
      </c>
      <c r="HI27" s="75">
        <v>10</v>
      </c>
      <c r="HJ27" s="75">
        <v>10</v>
      </c>
      <c r="HK27" s="75">
        <v>10</v>
      </c>
      <c r="HL27" s="75">
        <v>10</v>
      </c>
      <c r="HM27" s="75"/>
      <c r="HN27" s="75">
        <v>10</v>
      </c>
      <c r="HO27" s="75">
        <v>10</v>
      </c>
      <c r="HP27" s="75">
        <v>10</v>
      </c>
      <c r="HQ27" s="75">
        <v>10</v>
      </c>
      <c r="HR27" s="75">
        <v>10</v>
      </c>
      <c r="HS27" s="75">
        <v>10</v>
      </c>
      <c r="HT27" s="75"/>
      <c r="HU27" s="75">
        <v>5</v>
      </c>
      <c r="HV27" s="75">
        <v>5</v>
      </c>
      <c r="HW27" s="75"/>
      <c r="HX27" s="75"/>
      <c r="HY27" s="75"/>
      <c r="HZ27" s="75"/>
      <c r="IA27" s="75"/>
      <c r="IB27" s="75"/>
      <c r="IC27" s="75"/>
      <c r="ID27" s="75"/>
      <c r="IE27" s="75"/>
      <c r="IF27" s="75"/>
      <c r="IG27" s="75"/>
      <c r="IH27" s="75"/>
      <c r="II27" s="75"/>
      <c r="IJ27" s="75"/>
      <c r="IK27" s="75"/>
      <c r="IL27" s="75"/>
      <c r="IM27" s="75"/>
      <c r="IN27" s="75"/>
      <c r="IO27" s="75"/>
      <c r="IP27" s="75"/>
      <c r="IQ27" s="75"/>
      <c r="IR27" s="75"/>
      <c r="IS27" s="75"/>
      <c r="IT27" s="75"/>
      <c r="IU27" s="75"/>
      <c r="IV27" s="75"/>
      <c r="IW27" s="75"/>
      <c r="IX27" s="75"/>
      <c r="IY27" s="75"/>
      <c r="IZ27" s="75"/>
      <c r="JA27" s="75"/>
      <c r="JB27" s="75"/>
      <c r="JC27" s="75"/>
      <c r="JD27" s="75"/>
      <c r="JE27" s="75"/>
      <c r="JF27" s="75"/>
      <c r="JG27" s="75"/>
      <c r="JH27" s="75"/>
      <c r="JI27" s="75"/>
      <c r="JJ27" s="75"/>
      <c r="JK27" s="75"/>
      <c r="JL27" s="75"/>
      <c r="JM27" s="75"/>
      <c r="JN27" s="75"/>
      <c r="JO27" s="75"/>
      <c r="JP27" s="75"/>
      <c r="JQ27" s="75"/>
      <c r="JR27" s="75"/>
      <c r="JS27" s="75"/>
      <c r="JT27" s="75"/>
      <c r="JU27" s="75"/>
      <c r="JV27" s="75"/>
      <c r="JW27" s="75"/>
      <c r="JX27" s="75"/>
      <c r="JY27" s="75"/>
      <c r="JZ27" s="75">
        <v>10</v>
      </c>
      <c r="KA27" s="75">
        <v>10</v>
      </c>
      <c r="KB27" s="75">
        <v>10</v>
      </c>
      <c r="KC27" s="75">
        <v>10</v>
      </c>
      <c r="KD27" s="75">
        <v>10</v>
      </c>
      <c r="KE27" s="75"/>
      <c r="KF27" s="75">
        <v>20</v>
      </c>
      <c r="KG27" s="75">
        <v>20</v>
      </c>
      <c r="KH27" s="75">
        <v>20</v>
      </c>
      <c r="KI27" s="75">
        <v>30</v>
      </c>
      <c r="KJ27" s="75">
        <v>30</v>
      </c>
      <c r="KK27" s="75">
        <v>30</v>
      </c>
      <c r="KL27" s="75"/>
      <c r="KM27" s="75">
        <v>30</v>
      </c>
      <c r="KN27" s="75">
        <v>30</v>
      </c>
      <c r="KO27" s="75">
        <v>40</v>
      </c>
      <c r="KP27" s="75">
        <v>40</v>
      </c>
      <c r="KQ27" s="75">
        <v>30</v>
      </c>
      <c r="KR27" s="75">
        <v>30</v>
      </c>
      <c r="KS27" s="75"/>
      <c r="KT27" s="75">
        <v>30</v>
      </c>
      <c r="KU27" s="75">
        <v>30</v>
      </c>
      <c r="KV27" s="75">
        <v>30</v>
      </c>
      <c r="KW27" s="75">
        <v>20</v>
      </c>
      <c r="KX27" s="75">
        <v>33</v>
      </c>
      <c r="KY27" s="75">
        <v>33</v>
      </c>
      <c r="KZ27" s="75"/>
      <c r="LA27" s="75">
        <v>33</v>
      </c>
      <c r="LB27" s="75">
        <v>33</v>
      </c>
      <c r="LC27" s="75">
        <v>33</v>
      </c>
      <c r="LD27" s="75">
        <v>53</v>
      </c>
      <c r="LE27" s="75">
        <v>53</v>
      </c>
      <c r="LF27" s="75">
        <v>53</v>
      </c>
      <c r="LG27" s="75"/>
      <c r="LH27" s="75">
        <v>53</v>
      </c>
      <c r="LI27" s="75">
        <v>53</v>
      </c>
      <c r="LJ27" s="75">
        <v>53</v>
      </c>
      <c r="LK27" s="75">
        <v>53</v>
      </c>
      <c r="LL27" s="75">
        <v>53</v>
      </c>
      <c r="LM27" s="75">
        <v>53</v>
      </c>
      <c r="LN27" s="75"/>
      <c r="LO27" s="75">
        <v>53</v>
      </c>
      <c r="LP27" s="75">
        <v>40</v>
      </c>
      <c r="LQ27" s="75">
        <v>40</v>
      </c>
      <c r="LR27" s="75">
        <v>43</v>
      </c>
      <c r="LS27" s="75">
        <v>43</v>
      </c>
      <c r="LT27" s="75">
        <v>43</v>
      </c>
      <c r="LU27" s="75"/>
      <c r="LV27" s="75">
        <v>23</v>
      </c>
      <c r="LW27" s="75">
        <v>23</v>
      </c>
      <c r="LX27" s="75">
        <v>33</v>
      </c>
      <c r="LY27" s="75">
        <v>33</v>
      </c>
      <c r="LZ27" s="75">
        <v>33</v>
      </c>
      <c r="MA27" s="75">
        <v>33</v>
      </c>
      <c r="MB27" s="75"/>
      <c r="MC27" s="75">
        <v>47</v>
      </c>
      <c r="MD27" s="75">
        <v>47</v>
      </c>
      <c r="ME27" s="75">
        <v>47</v>
      </c>
      <c r="MF27" s="75">
        <v>47</v>
      </c>
      <c r="MG27" s="75"/>
      <c r="MH27" s="75"/>
      <c r="MI27" s="75"/>
      <c r="MJ27" s="75"/>
      <c r="MK27" s="75"/>
      <c r="ML27" s="75">
        <v>47</v>
      </c>
      <c r="MM27" s="75">
        <v>47</v>
      </c>
      <c r="MN27" s="75">
        <v>67</v>
      </c>
      <c r="MO27" s="75">
        <v>53</v>
      </c>
      <c r="MP27" s="75"/>
      <c r="MQ27" s="75">
        <v>53</v>
      </c>
      <c r="MR27" s="75">
        <v>73</v>
      </c>
      <c r="MS27" s="75">
        <v>73</v>
      </c>
      <c r="MT27" s="75">
        <v>73</v>
      </c>
      <c r="MU27" s="75">
        <v>53</v>
      </c>
      <c r="MV27" s="75">
        <v>53</v>
      </c>
      <c r="MW27" s="75"/>
      <c r="MX27" s="75">
        <v>73</v>
      </c>
      <c r="MY27" s="75">
        <v>73</v>
      </c>
      <c r="MZ27" s="75">
        <v>79</v>
      </c>
      <c r="NA27" s="75">
        <v>99</v>
      </c>
      <c r="NB27" s="75">
        <v>111</v>
      </c>
      <c r="NC27" s="75">
        <v>119</v>
      </c>
      <c r="ND27" s="75"/>
      <c r="NE27" s="75">
        <v>127</v>
      </c>
      <c r="NF27" s="75">
        <v>107</v>
      </c>
      <c r="NG27" s="75">
        <v>127</v>
      </c>
      <c r="NH27" s="75">
        <v>139</v>
      </c>
      <c r="NI27" s="75">
        <v>143</v>
      </c>
      <c r="NJ27" s="75">
        <v>186</v>
      </c>
      <c r="NK27" s="75"/>
      <c r="NL27" s="75">
        <v>186</v>
      </c>
      <c r="NM27" s="75">
        <v>186</v>
      </c>
      <c r="NN27" s="75">
        <v>186</v>
      </c>
      <c r="NO27" s="75">
        <v>194</v>
      </c>
      <c r="NP27" s="75">
        <v>220</v>
      </c>
      <c r="NQ27" s="75">
        <v>249</v>
      </c>
      <c r="NR27" s="75"/>
      <c r="NS27" s="75">
        <v>251</v>
      </c>
      <c r="NT27" s="75">
        <v>259</v>
      </c>
      <c r="NU27" s="75">
        <v>258</v>
      </c>
      <c r="NV27" s="75">
        <v>258</v>
      </c>
      <c r="NW27" s="75">
        <v>278</v>
      </c>
      <c r="NX27" s="75">
        <v>280</v>
      </c>
      <c r="NY27" s="75"/>
      <c r="NZ27" s="75">
        <v>333</v>
      </c>
      <c r="OA27" s="75">
        <v>297</v>
      </c>
      <c r="OB27" s="75">
        <v>255</v>
      </c>
      <c r="OC27" s="75">
        <v>258</v>
      </c>
      <c r="OD27" s="75">
        <v>253</v>
      </c>
      <c r="OE27" s="75">
        <v>252</v>
      </c>
      <c r="OF27" s="75"/>
      <c r="OG27" s="75">
        <v>236</v>
      </c>
      <c r="OH27" s="75">
        <v>212</v>
      </c>
      <c r="OI27" s="75">
        <v>192</v>
      </c>
      <c r="OJ27" s="75">
        <v>202</v>
      </c>
      <c r="OK27" s="75">
        <v>160</v>
      </c>
      <c r="OL27" s="75">
        <v>141</v>
      </c>
      <c r="OM27" s="75"/>
      <c r="ON27" s="75">
        <v>167</v>
      </c>
      <c r="OO27" s="75">
        <v>191</v>
      </c>
      <c r="OP27" s="75">
        <v>203</v>
      </c>
      <c r="OQ27" s="75">
        <v>165</v>
      </c>
      <c r="OR27" s="75">
        <v>200</v>
      </c>
      <c r="OS27" s="75">
        <v>220</v>
      </c>
      <c r="OT27" s="75"/>
      <c r="OU27" s="75">
        <v>217</v>
      </c>
      <c r="OV27" s="75">
        <v>241</v>
      </c>
      <c r="OW27" s="75">
        <v>241</v>
      </c>
      <c r="OX27" s="75">
        <v>251</v>
      </c>
      <c r="OY27" s="75">
        <v>259</v>
      </c>
      <c r="OZ27" s="75">
        <v>227</v>
      </c>
      <c r="PA27" s="75"/>
      <c r="PB27" s="75">
        <v>218</v>
      </c>
      <c r="PC27" s="75">
        <v>250</v>
      </c>
      <c r="PD27" s="75">
        <v>262</v>
      </c>
      <c r="PE27" s="75">
        <v>270</v>
      </c>
      <c r="PF27" s="75">
        <v>254</v>
      </c>
      <c r="PG27" s="75">
        <v>242</v>
      </c>
      <c r="PH27" s="75"/>
      <c r="PI27" s="75">
        <v>270</v>
      </c>
      <c r="PJ27" s="75">
        <v>300</v>
      </c>
      <c r="PK27" s="75">
        <v>264</v>
      </c>
      <c r="PL27" s="75">
        <v>308</v>
      </c>
      <c r="PM27" s="75">
        <v>304</v>
      </c>
      <c r="PN27" s="75">
        <v>300</v>
      </c>
      <c r="PO27" s="75"/>
      <c r="PP27" s="75">
        <v>288</v>
      </c>
      <c r="PQ27" s="75">
        <v>268</v>
      </c>
      <c r="PR27" s="75">
        <v>266</v>
      </c>
      <c r="PS27" s="75">
        <v>252</v>
      </c>
      <c r="PT27" s="75">
        <v>230</v>
      </c>
      <c r="PU27" s="75">
        <v>160</v>
      </c>
      <c r="PV27" s="75"/>
      <c r="PW27" s="75">
        <v>172</v>
      </c>
      <c r="PX27" s="75">
        <v>202</v>
      </c>
      <c r="PY27" s="75">
        <v>200</v>
      </c>
      <c r="PZ27" s="75">
        <v>207</v>
      </c>
      <c r="QA27" s="75">
        <v>239</v>
      </c>
      <c r="QB27" s="75">
        <v>243</v>
      </c>
      <c r="QC27" s="75"/>
      <c r="QD27" s="75">
        <v>264</v>
      </c>
      <c r="QE27" s="75">
        <v>242</v>
      </c>
      <c r="QF27" s="75">
        <v>222</v>
      </c>
      <c r="QG27" s="75">
        <v>242</v>
      </c>
      <c r="QH27" s="75">
        <v>260</v>
      </c>
      <c r="QI27" s="75">
        <v>278</v>
      </c>
      <c r="QJ27" s="75"/>
      <c r="QK27" s="75">
        <v>304</v>
      </c>
      <c r="QL27" s="75">
        <v>315</v>
      </c>
      <c r="QM27" s="75">
        <v>323</v>
      </c>
      <c r="QN27" s="75">
        <v>333</v>
      </c>
      <c r="QO27" s="75">
        <v>319</v>
      </c>
      <c r="QP27" s="75">
        <v>335</v>
      </c>
      <c r="QQ27" s="75"/>
      <c r="QR27" s="75">
        <v>305</v>
      </c>
      <c r="QS27" s="75">
        <v>290</v>
      </c>
      <c r="QT27" s="75">
        <v>310</v>
      </c>
      <c r="QU27" s="75">
        <v>336</v>
      </c>
      <c r="QV27" s="75">
        <v>356</v>
      </c>
      <c r="QW27" s="75">
        <v>346</v>
      </c>
      <c r="QX27" s="75"/>
      <c r="QY27" s="75">
        <v>348</v>
      </c>
      <c r="QZ27" s="75">
        <v>378</v>
      </c>
      <c r="RA27" s="75">
        <v>406</v>
      </c>
      <c r="RB27" s="75">
        <v>401</v>
      </c>
      <c r="RC27" s="75">
        <v>441</v>
      </c>
      <c r="RD27" s="75">
        <v>446</v>
      </c>
      <c r="RE27" s="75"/>
      <c r="RF27" s="75">
        <v>446</v>
      </c>
      <c r="RG27" s="75">
        <v>456</v>
      </c>
      <c r="RH27" s="75">
        <v>446</v>
      </c>
      <c r="RI27" s="75">
        <v>440</v>
      </c>
      <c r="RJ27" s="75">
        <v>406</v>
      </c>
      <c r="RK27" s="75">
        <v>416</v>
      </c>
      <c r="RL27" s="75"/>
      <c r="RM27" s="75">
        <v>359</v>
      </c>
      <c r="RN27" s="75">
        <v>355</v>
      </c>
      <c r="RO27" s="75">
        <v>350</v>
      </c>
      <c r="RP27" s="75">
        <v>350</v>
      </c>
      <c r="RQ27" s="75">
        <v>324</v>
      </c>
      <c r="RR27" s="75">
        <v>344</v>
      </c>
      <c r="RS27" s="75"/>
      <c r="RT27" s="75">
        <v>366</v>
      </c>
      <c r="RU27" s="75">
        <v>362</v>
      </c>
      <c r="RV27" s="75">
        <v>382</v>
      </c>
      <c r="RW27" s="75">
        <v>390</v>
      </c>
      <c r="RX27" s="75">
        <v>432</v>
      </c>
      <c r="RY27" s="75">
        <v>400</v>
      </c>
      <c r="RZ27" s="75"/>
      <c r="SA27" s="75">
        <v>358</v>
      </c>
      <c r="SB27" s="75">
        <v>362</v>
      </c>
      <c r="SC27" s="75">
        <v>356</v>
      </c>
      <c r="SD27" s="75">
        <v>341</v>
      </c>
      <c r="SE27" s="75">
        <v>333</v>
      </c>
      <c r="SF27" s="75">
        <v>320</v>
      </c>
      <c r="SG27" s="75"/>
      <c r="SH27" s="75">
        <v>284</v>
      </c>
      <c r="SI27" s="75">
        <v>260</v>
      </c>
      <c r="SJ27" s="75">
        <v>190</v>
      </c>
      <c r="SK27" s="75">
        <v>174</v>
      </c>
      <c r="SL27" s="75">
        <v>178</v>
      </c>
      <c r="SM27" s="75">
        <v>150</v>
      </c>
      <c r="SN27" s="75"/>
      <c r="SO27" s="75">
        <v>165</v>
      </c>
      <c r="SP27" s="75">
        <v>165</v>
      </c>
      <c r="SQ27" s="75">
        <v>145</v>
      </c>
      <c r="SR27" s="75">
        <v>145</v>
      </c>
      <c r="SS27" s="75">
        <v>205</v>
      </c>
      <c r="ST27" s="75">
        <v>205</v>
      </c>
      <c r="SU27" s="75"/>
      <c r="SV27" s="75">
        <v>205</v>
      </c>
      <c r="SW27" s="75">
        <v>205</v>
      </c>
      <c r="SX27" s="75">
        <v>205</v>
      </c>
      <c r="SY27" s="75">
        <v>241</v>
      </c>
      <c r="SZ27" s="75">
        <v>219</v>
      </c>
      <c r="TA27" s="75">
        <v>217</v>
      </c>
      <c r="TB27" s="75"/>
      <c r="TC27" s="75">
        <v>219</v>
      </c>
      <c r="TD27" s="75">
        <v>223</v>
      </c>
      <c r="TE27" s="75">
        <v>239</v>
      </c>
      <c r="TF27" s="75">
        <v>243</v>
      </c>
      <c r="TG27" s="75">
        <v>205</v>
      </c>
      <c r="TH27" s="75">
        <v>201</v>
      </c>
      <c r="TI27" s="75"/>
      <c r="TJ27" s="75">
        <v>203</v>
      </c>
      <c r="TK27" s="75">
        <v>151</v>
      </c>
      <c r="TL27" s="75">
        <v>167</v>
      </c>
      <c r="TM27" s="75">
        <v>175</v>
      </c>
      <c r="TN27" s="75">
        <v>175</v>
      </c>
      <c r="TO27" s="75">
        <v>177</v>
      </c>
      <c r="TP27" s="75"/>
      <c r="TQ27" s="75">
        <v>152</v>
      </c>
      <c r="TR27" s="75">
        <v>187</v>
      </c>
      <c r="TS27" s="75">
        <v>184</v>
      </c>
      <c r="TT27" s="75">
        <v>184</v>
      </c>
      <c r="TU27" s="75">
        <v>183</v>
      </c>
      <c r="TV27" s="75">
        <v>185</v>
      </c>
      <c r="TW27" s="75"/>
      <c r="TX27" s="75">
        <v>189</v>
      </c>
      <c r="TY27" s="75">
        <v>189</v>
      </c>
      <c r="TZ27" s="75">
        <v>189</v>
      </c>
      <c r="UA27" s="75">
        <v>189</v>
      </c>
      <c r="UB27" s="75">
        <v>189</v>
      </c>
      <c r="UC27" s="75">
        <v>135</v>
      </c>
      <c r="UD27" s="75"/>
      <c r="UE27" s="75">
        <v>125</v>
      </c>
      <c r="UF27" s="75">
        <v>125</v>
      </c>
      <c r="UG27" s="75">
        <v>128</v>
      </c>
      <c r="UH27" s="75">
        <v>122</v>
      </c>
      <c r="UI27" s="75">
        <v>82</v>
      </c>
      <c r="UJ27" s="75">
        <v>83</v>
      </c>
      <c r="UK27" s="75"/>
      <c r="UL27" s="75">
        <v>78</v>
      </c>
      <c r="UM27" s="75">
        <v>100</v>
      </c>
      <c r="UN27" s="75">
        <v>104</v>
      </c>
      <c r="UO27" s="75">
        <v>110</v>
      </c>
      <c r="UP27" s="75">
        <v>118</v>
      </c>
      <c r="UQ27" s="75">
        <v>118</v>
      </c>
      <c r="UR27" s="75"/>
      <c r="US27" s="75">
        <v>118</v>
      </c>
      <c r="UT27" s="75">
        <v>94</v>
      </c>
      <c r="UU27" s="75">
        <v>98</v>
      </c>
      <c r="UV27" s="75">
        <v>150</v>
      </c>
      <c r="UW27" s="75">
        <v>158</v>
      </c>
      <c r="UX27" s="75">
        <v>144</v>
      </c>
      <c r="UY27" s="75"/>
      <c r="UZ27" s="75">
        <v>148</v>
      </c>
      <c r="VA27" s="75">
        <v>160</v>
      </c>
      <c r="VB27" s="75">
        <v>168</v>
      </c>
      <c r="VC27" s="75">
        <v>180</v>
      </c>
      <c r="VD27" s="75">
        <v>166</v>
      </c>
      <c r="VE27" s="75">
        <v>160</v>
      </c>
      <c r="VF27" s="75"/>
      <c r="VG27" s="75">
        <v>148</v>
      </c>
      <c r="VH27" s="75">
        <v>140</v>
      </c>
      <c r="VI27" s="75">
        <v>140</v>
      </c>
      <c r="VJ27" s="75">
        <v>134</v>
      </c>
      <c r="VK27" s="75">
        <v>124</v>
      </c>
      <c r="VL27" s="75">
        <v>120</v>
      </c>
      <c r="VM27" s="75"/>
      <c r="VN27" s="75">
        <v>68</v>
      </c>
      <c r="VO27" s="75">
        <v>60</v>
      </c>
      <c r="VP27" s="75">
        <v>60</v>
      </c>
      <c r="VQ27" s="75">
        <v>60</v>
      </c>
      <c r="VR27" s="75">
        <v>48</v>
      </c>
      <c r="VS27" s="75">
        <v>20</v>
      </c>
      <c r="VT27" s="75"/>
      <c r="VU27" s="75">
        <v>8</v>
      </c>
      <c r="VV27" s="75">
        <v>6</v>
      </c>
      <c r="VW27" s="75">
        <v>10</v>
      </c>
      <c r="VX27" s="75">
        <v>10</v>
      </c>
      <c r="VY27" s="75">
        <v>10</v>
      </c>
      <c r="VZ27" s="75">
        <v>10</v>
      </c>
      <c r="WA27" s="75"/>
      <c r="WB27" s="75">
        <v>10</v>
      </c>
      <c r="WC27" s="75">
        <v>10</v>
      </c>
      <c r="WD27" s="75">
        <v>10</v>
      </c>
      <c r="WE27" s="75">
        <v>10</v>
      </c>
      <c r="WF27" s="75">
        <v>10</v>
      </c>
      <c r="WG27" s="75">
        <v>4</v>
      </c>
      <c r="WH27" s="75"/>
      <c r="WI27" s="75"/>
      <c r="WJ27" s="75"/>
      <c r="WK27" s="75"/>
      <c r="WL27" s="75"/>
      <c r="WM27" s="75"/>
      <c r="WN27" s="75"/>
      <c r="WO27" s="75"/>
      <c r="WP27" s="75"/>
      <c r="WQ27" s="75"/>
      <c r="WR27" s="75"/>
      <c r="WS27" s="75"/>
      <c r="WT27" s="75"/>
      <c r="WU27" s="75"/>
      <c r="WV27" s="75"/>
      <c r="WW27" s="75"/>
      <c r="WX27" s="75"/>
      <c r="WY27" s="75"/>
      <c r="WZ27" s="75"/>
      <c r="XA27" s="75"/>
      <c r="XB27" s="75"/>
      <c r="XC27" s="75"/>
      <c r="XD27" s="75"/>
      <c r="XE27" s="75"/>
      <c r="XF27" s="75"/>
      <c r="XG27" s="75"/>
      <c r="XH27" s="75"/>
      <c r="XI27" s="75"/>
      <c r="XJ27" s="75"/>
      <c r="XK27" s="75"/>
      <c r="XL27" s="75"/>
      <c r="XM27" s="75"/>
      <c r="XN27" s="75"/>
      <c r="XO27" s="75"/>
      <c r="XP27" s="75">
        <v>14</v>
      </c>
      <c r="XQ27" s="75"/>
      <c r="XR27" s="75">
        <v>14</v>
      </c>
      <c r="XS27" s="75">
        <v>14</v>
      </c>
      <c r="XT27" s="75">
        <v>14</v>
      </c>
      <c r="XU27" s="75">
        <v>14</v>
      </c>
      <c r="XV27" s="75">
        <v>14</v>
      </c>
      <c r="XW27" s="75">
        <v>14</v>
      </c>
      <c r="XX27" s="75"/>
      <c r="XY27" s="75">
        <v>14</v>
      </c>
      <c r="XZ27" s="75">
        <v>14</v>
      </c>
      <c r="YA27" s="75">
        <v>14</v>
      </c>
      <c r="YB27" s="75">
        <v>14</v>
      </c>
      <c r="YC27" s="75">
        <v>14</v>
      </c>
      <c r="YD27" s="75">
        <v>14</v>
      </c>
      <c r="YE27" s="75"/>
      <c r="YF27" s="75">
        <v>14</v>
      </c>
      <c r="YG27" s="75"/>
      <c r="YH27" s="75"/>
      <c r="YI27" s="75"/>
      <c r="YJ27" s="75"/>
      <c r="YK27" s="75"/>
      <c r="YL27" s="75"/>
      <c r="YM27" s="75"/>
      <c r="YN27" s="75"/>
      <c r="YO27" s="75"/>
      <c r="YP27" s="75"/>
      <c r="YQ27" s="75"/>
      <c r="YR27" s="75"/>
      <c r="YS27" s="75"/>
      <c r="YT27" s="75"/>
      <c r="YU27" s="75"/>
      <c r="YV27" s="75"/>
      <c r="YW27" s="75"/>
      <c r="YX27" s="75"/>
      <c r="YY27" s="75"/>
      <c r="YZ27" s="75"/>
      <c r="ZA27" s="75"/>
      <c r="ZB27" s="75"/>
      <c r="ZC27" s="75"/>
      <c r="ZD27" s="75"/>
      <c r="ZE27" s="75"/>
      <c r="ZF27" s="75"/>
      <c r="ZG27" s="75"/>
      <c r="ZH27" s="75"/>
      <c r="ZI27" s="75"/>
      <c r="ZJ27" s="75"/>
      <c r="ZK27" s="75"/>
      <c r="ZL27" s="75"/>
      <c r="ZM27" s="75"/>
      <c r="ZN27" s="75"/>
      <c r="ZO27" s="75"/>
      <c r="ZP27" s="75"/>
      <c r="ZQ27" s="75"/>
      <c r="ZR27" s="75"/>
      <c r="ZS27" s="75"/>
      <c r="ZT27" s="75"/>
      <c r="ZU27" s="75"/>
      <c r="ZV27" s="75"/>
      <c r="ZW27" s="75"/>
      <c r="ZX27" s="75"/>
      <c r="ZY27" s="75"/>
      <c r="ZZ27" s="75"/>
      <c r="AAA27" s="75"/>
      <c r="AAB27" s="75"/>
      <c r="AAC27" s="75"/>
      <c r="AAD27" s="75"/>
      <c r="AAE27" s="75"/>
      <c r="AAF27" s="75"/>
      <c r="AAG27" s="75"/>
      <c r="AAH27" s="75"/>
      <c r="AAI27" s="75"/>
      <c r="AAJ27" s="75"/>
      <c r="AAK27" s="75"/>
      <c r="AAL27" s="75"/>
      <c r="AAM27" s="75"/>
      <c r="AAN27" s="75"/>
      <c r="AAO27" s="75"/>
      <c r="AAP27" s="75"/>
      <c r="AAQ27" s="75"/>
      <c r="AAR27" s="75"/>
      <c r="AAS27" s="75"/>
      <c r="AAT27" s="75"/>
      <c r="AAU27" s="75"/>
      <c r="AAV27" s="75"/>
      <c r="AAW27" s="75"/>
      <c r="AAX27" s="75"/>
      <c r="AAY27" s="75"/>
      <c r="AAZ27" s="75"/>
      <c r="ABA27" s="75"/>
      <c r="ABB27" s="75"/>
      <c r="ABC27" s="75"/>
    </row>
    <row r="28" spans="1:731">
      <c r="A28" s="75" t="s">
        <v>66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75"/>
      <c r="BI28" s="75"/>
      <c r="BJ28" s="75"/>
      <c r="BK28" s="75"/>
      <c r="BL28" s="75"/>
      <c r="BM28" s="75"/>
      <c r="BN28" s="75"/>
      <c r="BO28" s="75"/>
      <c r="BP28" s="75"/>
      <c r="BQ28" s="75"/>
      <c r="BR28" s="75"/>
      <c r="BS28" s="75"/>
      <c r="BT28" s="75"/>
      <c r="BU28" s="75"/>
      <c r="BV28" s="75"/>
      <c r="BW28" s="75"/>
      <c r="BX28" s="75"/>
      <c r="BY28" s="75"/>
      <c r="BZ28" s="75"/>
      <c r="CA28" s="75"/>
      <c r="CB28" s="75"/>
      <c r="CC28" s="75"/>
      <c r="CD28" s="75"/>
      <c r="CE28" s="75"/>
      <c r="CF28" s="75"/>
      <c r="CG28" s="75"/>
      <c r="CH28" s="75"/>
      <c r="CI28" s="75"/>
      <c r="CJ28" s="75"/>
      <c r="CK28" s="75"/>
      <c r="CL28" s="75"/>
      <c r="CM28" s="75"/>
      <c r="CN28" s="75"/>
      <c r="CO28" s="75"/>
      <c r="CP28" s="75"/>
      <c r="CQ28" s="75"/>
      <c r="CR28" s="75"/>
      <c r="CS28" s="75"/>
      <c r="CT28" s="75"/>
      <c r="CU28" s="75"/>
      <c r="CV28" s="75"/>
      <c r="CW28" s="75"/>
      <c r="CX28" s="75"/>
      <c r="CY28" s="75"/>
      <c r="CZ28" s="75"/>
      <c r="DA28" s="75"/>
      <c r="DB28" s="75"/>
      <c r="DC28" s="75"/>
      <c r="DD28" s="75"/>
      <c r="DE28" s="75"/>
      <c r="DF28" s="75"/>
      <c r="DG28" s="75"/>
      <c r="DH28" s="75"/>
      <c r="DI28" s="75"/>
      <c r="DJ28" s="75"/>
      <c r="DK28" s="75"/>
      <c r="DL28" s="75"/>
      <c r="DM28" s="75"/>
      <c r="DN28" s="75"/>
      <c r="DO28" s="75"/>
      <c r="DP28" s="75"/>
      <c r="DQ28" s="75"/>
      <c r="DR28" s="75"/>
      <c r="DS28" s="75"/>
      <c r="DT28" s="75"/>
      <c r="DU28" s="75"/>
      <c r="DV28" s="75"/>
      <c r="DW28" s="75"/>
      <c r="DX28" s="75"/>
      <c r="DY28" s="75"/>
      <c r="DZ28" s="75"/>
      <c r="EA28" s="75"/>
      <c r="EB28" s="75"/>
      <c r="EC28" s="75"/>
      <c r="ED28" s="75"/>
      <c r="EE28" s="75"/>
      <c r="EF28" s="75"/>
      <c r="EG28" s="75"/>
      <c r="EH28" s="75"/>
      <c r="EI28" s="75"/>
      <c r="EJ28" s="75"/>
      <c r="EK28" s="75"/>
      <c r="EL28" s="75"/>
      <c r="EM28" s="75"/>
      <c r="EN28" s="75"/>
      <c r="EO28" s="75"/>
      <c r="EP28" s="75"/>
      <c r="EQ28" s="75"/>
      <c r="ER28" s="75"/>
      <c r="ES28" s="75"/>
      <c r="ET28" s="75"/>
      <c r="EU28" s="75"/>
      <c r="EV28" s="75"/>
      <c r="EW28" s="75"/>
      <c r="EX28" s="75"/>
      <c r="EY28" s="75"/>
      <c r="EZ28" s="75"/>
      <c r="FA28" s="75"/>
      <c r="FB28" s="75"/>
      <c r="FC28" s="75"/>
      <c r="FD28" s="75"/>
      <c r="FE28" s="75"/>
      <c r="FF28" s="75"/>
      <c r="FG28" s="75"/>
      <c r="FH28" s="75"/>
      <c r="FI28" s="75"/>
      <c r="FJ28" s="75"/>
      <c r="FK28" s="75"/>
      <c r="FL28" s="75"/>
      <c r="FM28" s="75"/>
      <c r="FN28" s="75"/>
      <c r="FO28" s="75"/>
      <c r="FP28" s="75"/>
      <c r="FQ28" s="75"/>
      <c r="FR28" s="75"/>
      <c r="FS28" s="75"/>
      <c r="FT28" s="75"/>
      <c r="FU28" s="75"/>
      <c r="FV28" s="75"/>
      <c r="FW28" s="75"/>
      <c r="FX28" s="75"/>
      <c r="FY28" s="75"/>
      <c r="FZ28" s="75"/>
      <c r="GA28" s="75"/>
      <c r="GB28" s="75"/>
      <c r="GC28" s="75"/>
      <c r="GD28" s="75"/>
      <c r="GE28" s="75"/>
      <c r="GF28" s="75"/>
      <c r="GG28" s="75"/>
      <c r="GH28" s="75"/>
      <c r="GI28" s="75"/>
      <c r="GJ28" s="75"/>
      <c r="GK28" s="75"/>
      <c r="GL28" s="75"/>
      <c r="GM28" s="75"/>
      <c r="GN28" s="75"/>
      <c r="GO28" s="75"/>
      <c r="GP28" s="75"/>
      <c r="GQ28" s="75"/>
      <c r="GR28" s="75"/>
      <c r="GS28" s="75"/>
      <c r="GT28" s="75"/>
      <c r="GU28" s="75"/>
      <c r="GV28" s="75"/>
      <c r="GW28" s="75"/>
      <c r="GX28" s="75"/>
      <c r="GY28" s="75"/>
      <c r="GZ28" s="75"/>
      <c r="HA28" s="75"/>
      <c r="HB28" s="75"/>
      <c r="HC28" s="75"/>
      <c r="HD28" s="75"/>
      <c r="HE28" s="75"/>
      <c r="HF28" s="75"/>
      <c r="HG28" s="75"/>
      <c r="HH28" s="75"/>
      <c r="HI28" s="75"/>
      <c r="HJ28" s="75"/>
      <c r="HK28" s="75"/>
      <c r="HL28" s="75"/>
      <c r="HM28" s="75"/>
      <c r="HN28" s="75"/>
      <c r="HO28" s="75"/>
      <c r="HP28" s="75"/>
      <c r="HQ28" s="75"/>
      <c r="HR28" s="75"/>
      <c r="HS28" s="75"/>
      <c r="HT28" s="75"/>
      <c r="HU28" s="75"/>
      <c r="HV28" s="75"/>
      <c r="HW28" s="75"/>
      <c r="HX28" s="75"/>
      <c r="HY28" s="75"/>
      <c r="HZ28" s="75"/>
      <c r="IA28" s="75"/>
      <c r="IB28" s="75"/>
      <c r="IC28" s="75"/>
      <c r="ID28" s="75"/>
      <c r="IE28" s="75"/>
      <c r="IF28" s="75"/>
      <c r="IG28" s="75"/>
      <c r="IH28" s="75"/>
      <c r="II28" s="75"/>
      <c r="IJ28" s="75"/>
      <c r="IK28" s="75"/>
      <c r="IL28" s="75"/>
      <c r="IM28" s="75"/>
      <c r="IN28" s="75"/>
      <c r="IO28" s="75"/>
      <c r="IP28" s="75"/>
      <c r="IQ28" s="75"/>
      <c r="IR28" s="75"/>
      <c r="IS28" s="75"/>
      <c r="IT28" s="75"/>
      <c r="IU28" s="75"/>
      <c r="IV28" s="75"/>
      <c r="IW28" s="75"/>
      <c r="IX28" s="75"/>
      <c r="IY28" s="75"/>
      <c r="IZ28" s="75"/>
      <c r="JA28" s="75"/>
      <c r="JB28" s="75"/>
      <c r="JC28" s="75"/>
      <c r="JD28" s="75"/>
      <c r="JE28" s="75"/>
      <c r="JF28" s="75"/>
      <c r="JG28" s="75"/>
      <c r="JH28" s="75"/>
      <c r="JI28" s="75"/>
      <c r="JJ28" s="75"/>
      <c r="JK28" s="75"/>
      <c r="JL28" s="75"/>
      <c r="JM28" s="75"/>
      <c r="JN28" s="75"/>
      <c r="JO28" s="75"/>
      <c r="JP28" s="75"/>
      <c r="JQ28" s="75"/>
      <c r="JR28" s="75"/>
      <c r="JS28" s="75"/>
      <c r="JT28" s="75"/>
      <c r="JU28" s="75"/>
      <c r="JV28" s="75"/>
      <c r="JW28" s="75"/>
      <c r="JX28" s="75"/>
      <c r="JY28" s="75"/>
      <c r="JZ28" s="75"/>
      <c r="KA28" s="75"/>
      <c r="KB28" s="75"/>
      <c r="KC28" s="75"/>
      <c r="KD28" s="75"/>
      <c r="KE28" s="75"/>
      <c r="KF28" s="75"/>
      <c r="KG28" s="75"/>
      <c r="KH28" s="75"/>
      <c r="KI28" s="75"/>
      <c r="KJ28" s="75"/>
      <c r="KK28" s="75"/>
      <c r="KL28" s="75"/>
      <c r="KM28" s="75"/>
      <c r="KN28" s="75"/>
      <c r="KO28" s="75"/>
      <c r="KP28" s="75"/>
      <c r="KQ28" s="75"/>
      <c r="KR28" s="75"/>
      <c r="KS28" s="75"/>
      <c r="KT28" s="75"/>
      <c r="KU28" s="75"/>
      <c r="KV28" s="75"/>
      <c r="KW28" s="75"/>
      <c r="KX28" s="75"/>
      <c r="KY28" s="75"/>
      <c r="KZ28" s="75"/>
      <c r="LA28" s="75"/>
      <c r="LB28" s="75"/>
      <c r="LC28" s="75"/>
      <c r="LD28" s="75"/>
      <c r="LE28" s="75"/>
      <c r="LF28" s="75"/>
      <c r="LG28" s="75"/>
      <c r="LH28" s="75"/>
      <c r="LI28" s="75"/>
      <c r="LJ28" s="75"/>
      <c r="LK28" s="75"/>
      <c r="LL28" s="75"/>
      <c r="LM28" s="75"/>
      <c r="LN28" s="75"/>
      <c r="LO28" s="75"/>
      <c r="LP28" s="75"/>
      <c r="LQ28" s="75"/>
      <c r="LR28" s="75"/>
      <c r="LS28" s="75"/>
      <c r="LT28" s="75"/>
      <c r="LU28" s="75"/>
      <c r="LV28" s="75"/>
      <c r="LW28" s="75"/>
      <c r="LX28" s="75"/>
      <c r="LY28" s="75"/>
      <c r="LZ28" s="75"/>
      <c r="MA28" s="75"/>
      <c r="MB28" s="75"/>
      <c r="MC28" s="75"/>
      <c r="MD28" s="75"/>
      <c r="ME28" s="75"/>
      <c r="MF28" s="75"/>
      <c r="MG28" s="75"/>
      <c r="MH28" s="75"/>
      <c r="MI28" s="75"/>
      <c r="MJ28" s="75"/>
      <c r="MK28" s="75"/>
      <c r="ML28" s="75"/>
      <c r="MM28" s="75"/>
      <c r="MN28" s="75">
        <v>10</v>
      </c>
      <c r="MO28" s="75">
        <v>10</v>
      </c>
      <c r="MP28" s="75"/>
      <c r="MQ28" s="75">
        <v>10</v>
      </c>
      <c r="MR28" s="75">
        <v>10</v>
      </c>
      <c r="MS28" s="75">
        <v>10</v>
      </c>
      <c r="MT28" s="75">
        <v>30</v>
      </c>
      <c r="MU28" s="75">
        <v>30</v>
      </c>
      <c r="MV28" s="75">
        <v>30</v>
      </c>
      <c r="MW28" s="75"/>
      <c r="MX28" s="75">
        <v>30</v>
      </c>
      <c r="MY28" s="75">
        <v>40</v>
      </c>
      <c r="MZ28" s="75">
        <v>40</v>
      </c>
      <c r="NA28" s="75">
        <v>40</v>
      </c>
      <c r="NB28" s="75">
        <v>40</v>
      </c>
      <c r="NC28" s="75">
        <v>40</v>
      </c>
      <c r="ND28" s="75"/>
      <c r="NE28" s="75">
        <v>40</v>
      </c>
      <c r="NF28" s="75">
        <v>70</v>
      </c>
      <c r="NG28" s="75">
        <v>70</v>
      </c>
      <c r="NH28" s="75">
        <v>70</v>
      </c>
      <c r="NI28" s="75">
        <v>70</v>
      </c>
      <c r="NJ28" s="75">
        <v>70</v>
      </c>
      <c r="NK28" s="75"/>
      <c r="NL28" s="75">
        <v>60</v>
      </c>
      <c r="NM28" s="75">
        <v>60</v>
      </c>
      <c r="NN28" s="75">
        <v>80</v>
      </c>
      <c r="NO28" s="75">
        <v>80</v>
      </c>
      <c r="NP28" s="75">
        <v>90</v>
      </c>
      <c r="NQ28" s="75">
        <v>80</v>
      </c>
      <c r="NR28" s="75"/>
      <c r="NS28" s="75">
        <v>80</v>
      </c>
      <c r="NT28" s="75">
        <v>90</v>
      </c>
      <c r="NU28" s="75">
        <v>110</v>
      </c>
      <c r="NV28" s="75">
        <v>110</v>
      </c>
      <c r="NW28" s="75">
        <v>80</v>
      </c>
      <c r="NX28" s="75">
        <v>90</v>
      </c>
      <c r="NY28" s="75"/>
      <c r="NZ28" s="75">
        <v>90</v>
      </c>
      <c r="OA28" s="75">
        <v>100</v>
      </c>
      <c r="OB28" s="75">
        <v>98</v>
      </c>
      <c r="OC28" s="75">
        <v>96</v>
      </c>
      <c r="OD28" s="75">
        <v>96</v>
      </c>
      <c r="OE28" s="75">
        <v>126</v>
      </c>
      <c r="OF28" s="75"/>
      <c r="OG28" s="75">
        <v>126</v>
      </c>
      <c r="OH28" s="75">
        <v>126</v>
      </c>
      <c r="OI28" s="75">
        <v>126</v>
      </c>
      <c r="OJ28" s="75">
        <v>116</v>
      </c>
      <c r="OK28" s="75">
        <v>102</v>
      </c>
      <c r="OL28" s="75">
        <v>72</v>
      </c>
      <c r="OM28" s="75"/>
      <c r="ON28" s="75">
        <v>98</v>
      </c>
      <c r="OO28" s="75">
        <v>118</v>
      </c>
      <c r="OP28" s="75">
        <v>128</v>
      </c>
      <c r="OQ28" s="75">
        <v>108</v>
      </c>
      <c r="OR28" s="75">
        <v>118</v>
      </c>
      <c r="OS28" s="75">
        <v>124</v>
      </c>
      <c r="OT28" s="75"/>
      <c r="OU28" s="75">
        <v>124</v>
      </c>
      <c r="OV28" s="75">
        <v>120</v>
      </c>
      <c r="OW28" s="75">
        <v>82</v>
      </c>
      <c r="OX28" s="75">
        <v>82</v>
      </c>
      <c r="OY28" s="75">
        <v>104</v>
      </c>
      <c r="OZ28" s="75">
        <v>104</v>
      </c>
      <c r="PA28" s="75"/>
      <c r="PB28" s="75">
        <v>120</v>
      </c>
      <c r="PC28" s="75">
        <v>136</v>
      </c>
      <c r="PD28" s="75">
        <v>162</v>
      </c>
      <c r="PE28" s="75">
        <v>172</v>
      </c>
      <c r="PF28" s="75">
        <v>152</v>
      </c>
      <c r="PG28" s="75">
        <v>160</v>
      </c>
      <c r="PH28" s="75"/>
      <c r="PI28" s="75">
        <v>180</v>
      </c>
      <c r="PJ28" s="75">
        <v>180</v>
      </c>
      <c r="PK28" s="75">
        <v>172</v>
      </c>
      <c r="PL28" s="75">
        <v>156</v>
      </c>
      <c r="PM28" s="75">
        <v>156</v>
      </c>
      <c r="PN28" s="75">
        <v>176</v>
      </c>
      <c r="PO28" s="75"/>
      <c r="PP28" s="75">
        <v>164</v>
      </c>
      <c r="PQ28" s="75">
        <v>104</v>
      </c>
      <c r="PR28" s="75">
        <v>112</v>
      </c>
      <c r="PS28" s="75">
        <v>126</v>
      </c>
      <c r="PT28" s="75">
        <v>136</v>
      </c>
      <c r="PU28" s="75">
        <v>154</v>
      </c>
      <c r="PV28" s="75"/>
      <c r="PW28" s="75">
        <v>182</v>
      </c>
      <c r="PX28" s="75">
        <v>182</v>
      </c>
      <c r="PY28" s="75">
        <v>182</v>
      </c>
      <c r="PZ28" s="75">
        <v>142</v>
      </c>
      <c r="QA28" s="75">
        <v>142</v>
      </c>
      <c r="QB28" s="75">
        <v>138</v>
      </c>
      <c r="QC28" s="75"/>
      <c r="QD28" s="75">
        <v>204</v>
      </c>
      <c r="QE28" s="75">
        <v>200</v>
      </c>
      <c r="QF28" s="75">
        <v>200</v>
      </c>
      <c r="QG28" s="75">
        <v>200</v>
      </c>
      <c r="QH28" s="75">
        <v>200</v>
      </c>
      <c r="QI28" s="75">
        <v>214</v>
      </c>
      <c r="QJ28" s="75"/>
      <c r="QK28" s="75">
        <v>220</v>
      </c>
      <c r="QL28" s="75">
        <v>228</v>
      </c>
      <c r="QM28" s="75">
        <v>224</v>
      </c>
      <c r="QN28" s="75">
        <v>260</v>
      </c>
      <c r="QO28" s="75">
        <v>248</v>
      </c>
      <c r="QP28" s="75">
        <v>262</v>
      </c>
      <c r="QQ28" s="75"/>
      <c r="QR28" s="75">
        <v>282</v>
      </c>
      <c r="QS28" s="75">
        <v>270</v>
      </c>
      <c r="QT28" s="75">
        <v>292</v>
      </c>
      <c r="QU28" s="75">
        <v>278</v>
      </c>
      <c r="QV28" s="75">
        <v>292</v>
      </c>
      <c r="QW28" s="75">
        <v>317</v>
      </c>
      <c r="QX28" s="75"/>
      <c r="QY28" s="75">
        <v>330</v>
      </c>
      <c r="QZ28" s="75">
        <v>330</v>
      </c>
      <c r="RA28" s="75">
        <v>332</v>
      </c>
      <c r="RB28" s="75">
        <v>315</v>
      </c>
      <c r="RC28" s="75">
        <v>292</v>
      </c>
      <c r="RD28" s="75">
        <v>298</v>
      </c>
      <c r="RE28" s="75"/>
      <c r="RF28" s="75">
        <v>238</v>
      </c>
      <c r="RG28" s="75">
        <v>229</v>
      </c>
      <c r="RH28" s="75">
        <v>270</v>
      </c>
      <c r="RI28" s="75">
        <v>256</v>
      </c>
      <c r="RJ28" s="75">
        <v>262</v>
      </c>
      <c r="RK28" s="75">
        <v>322</v>
      </c>
      <c r="RL28" s="75"/>
      <c r="RM28" s="75">
        <v>288</v>
      </c>
      <c r="RN28" s="75">
        <v>298</v>
      </c>
      <c r="RO28" s="75">
        <v>291</v>
      </c>
      <c r="RP28" s="75">
        <v>290</v>
      </c>
      <c r="RQ28" s="75">
        <v>306</v>
      </c>
      <c r="RR28" s="75">
        <v>292</v>
      </c>
      <c r="RS28" s="75"/>
      <c r="RT28" s="75">
        <v>237</v>
      </c>
      <c r="RU28" s="75">
        <v>235</v>
      </c>
      <c r="RV28" s="75">
        <v>260</v>
      </c>
      <c r="RW28" s="75">
        <v>242</v>
      </c>
      <c r="RX28" s="75">
        <v>253</v>
      </c>
      <c r="RY28" s="75">
        <v>244</v>
      </c>
      <c r="RZ28" s="75"/>
      <c r="SA28" s="75">
        <v>245</v>
      </c>
      <c r="SB28" s="75">
        <v>237</v>
      </c>
      <c r="SC28" s="75">
        <v>181</v>
      </c>
      <c r="SD28" s="75">
        <v>185</v>
      </c>
      <c r="SE28" s="75">
        <v>195</v>
      </c>
      <c r="SF28" s="75">
        <v>202</v>
      </c>
      <c r="SG28" s="75"/>
      <c r="SH28" s="75">
        <v>241</v>
      </c>
      <c r="SI28" s="75">
        <v>260</v>
      </c>
      <c r="SJ28" s="75">
        <v>257</v>
      </c>
      <c r="SK28" s="75">
        <v>283</v>
      </c>
      <c r="SL28" s="75">
        <v>287</v>
      </c>
      <c r="SM28" s="75">
        <v>269</v>
      </c>
      <c r="SN28" s="75"/>
      <c r="SO28" s="75">
        <v>274</v>
      </c>
      <c r="SP28" s="75">
        <v>259</v>
      </c>
      <c r="SQ28" s="75">
        <v>265</v>
      </c>
      <c r="SR28" s="75">
        <v>258</v>
      </c>
      <c r="SS28" s="75">
        <v>245</v>
      </c>
      <c r="ST28" s="75">
        <v>215</v>
      </c>
      <c r="SU28" s="75"/>
      <c r="SV28" s="75">
        <v>228</v>
      </c>
      <c r="SW28" s="75">
        <v>194</v>
      </c>
      <c r="SX28" s="75">
        <v>204</v>
      </c>
      <c r="SY28" s="75">
        <v>190</v>
      </c>
      <c r="SZ28" s="75">
        <v>190</v>
      </c>
      <c r="TA28" s="75">
        <v>178</v>
      </c>
      <c r="TB28" s="75"/>
      <c r="TC28" s="75">
        <v>170</v>
      </c>
      <c r="TD28" s="75">
        <v>154</v>
      </c>
      <c r="TE28" s="75">
        <v>182</v>
      </c>
      <c r="TF28" s="75">
        <v>182</v>
      </c>
      <c r="TG28" s="75">
        <v>182</v>
      </c>
      <c r="TH28" s="75">
        <v>168</v>
      </c>
      <c r="TI28" s="75"/>
      <c r="TJ28" s="75">
        <v>168</v>
      </c>
      <c r="TK28" s="75">
        <v>168</v>
      </c>
      <c r="TL28" s="75">
        <v>178</v>
      </c>
      <c r="TM28" s="75">
        <v>156</v>
      </c>
      <c r="TN28" s="75">
        <v>162</v>
      </c>
      <c r="TO28" s="75">
        <v>132</v>
      </c>
      <c r="TP28" s="75"/>
      <c r="TQ28" s="75">
        <v>130</v>
      </c>
      <c r="TR28" s="75">
        <v>122</v>
      </c>
      <c r="TS28" s="75">
        <v>132</v>
      </c>
      <c r="TT28" s="75">
        <v>152</v>
      </c>
      <c r="TU28" s="75">
        <v>172</v>
      </c>
      <c r="TV28" s="75">
        <v>146</v>
      </c>
      <c r="TW28" s="75"/>
      <c r="TX28" s="75">
        <v>142</v>
      </c>
      <c r="TY28" s="75">
        <v>140</v>
      </c>
      <c r="TZ28" s="75">
        <v>140</v>
      </c>
      <c r="UA28" s="75">
        <v>148</v>
      </c>
      <c r="UB28" s="75">
        <v>138</v>
      </c>
      <c r="UC28" s="75">
        <v>128</v>
      </c>
      <c r="UD28" s="75"/>
      <c r="UE28" s="75">
        <v>126</v>
      </c>
      <c r="UF28" s="75">
        <v>106</v>
      </c>
      <c r="UG28" s="75">
        <v>116</v>
      </c>
      <c r="UH28" s="75">
        <v>116</v>
      </c>
      <c r="UI28" s="75">
        <v>122</v>
      </c>
      <c r="UJ28" s="75">
        <v>98</v>
      </c>
      <c r="UK28" s="75"/>
      <c r="UL28" s="75">
        <v>108</v>
      </c>
      <c r="UM28" s="75">
        <v>60</v>
      </c>
      <c r="UN28" s="75">
        <v>60</v>
      </c>
      <c r="UO28" s="75">
        <v>60</v>
      </c>
      <c r="UP28" s="75">
        <v>70</v>
      </c>
      <c r="UQ28" s="75">
        <v>60</v>
      </c>
      <c r="UR28" s="75"/>
      <c r="US28" s="75">
        <v>60</v>
      </c>
      <c r="UT28" s="75">
        <v>74</v>
      </c>
      <c r="UU28" s="75">
        <v>70</v>
      </c>
      <c r="UV28" s="75">
        <v>60</v>
      </c>
      <c r="UW28" s="75">
        <v>60</v>
      </c>
      <c r="UX28" s="75">
        <v>58</v>
      </c>
      <c r="UY28" s="75"/>
      <c r="UZ28" s="75">
        <v>58</v>
      </c>
      <c r="VA28" s="75">
        <v>52</v>
      </c>
      <c r="VB28" s="75">
        <v>38</v>
      </c>
      <c r="VC28" s="75">
        <v>28</v>
      </c>
      <c r="VD28" s="75">
        <v>28</v>
      </c>
      <c r="VE28" s="75">
        <v>28</v>
      </c>
      <c r="VF28" s="75"/>
      <c r="VG28" s="75">
        <v>28</v>
      </c>
      <c r="VH28" s="75">
        <v>28</v>
      </c>
      <c r="VI28" s="75">
        <v>28</v>
      </c>
      <c r="VJ28" s="75"/>
      <c r="VK28" s="75"/>
      <c r="VL28" s="75"/>
      <c r="VM28" s="75"/>
      <c r="VN28" s="75"/>
      <c r="VO28" s="75"/>
      <c r="VP28" s="75"/>
      <c r="VQ28" s="75"/>
      <c r="VR28" s="75">
        <v>12</v>
      </c>
      <c r="VS28" s="75">
        <v>20</v>
      </c>
      <c r="VT28" s="75"/>
      <c r="VU28" s="75">
        <v>32</v>
      </c>
      <c r="VV28" s="75">
        <v>40</v>
      </c>
      <c r="VW28" s="75">
        <v>40</v>
      </c>
      <c r="VX28" s="75">
        <v>40</v>
      </c>
      <c r="VY28" s="75">
        <v>40</v>
      </c>
      <c r="VZ28" s="75">
        <v>40</v>
      </c>
      <c r="WA28" s="75"/>
      <c r="WB28" s="75">
        <v>40</v>
      </c>
      <c r="WC28" s="75">
        <v>40</v>
      </c>
      <c r="WD28" s="75">
        <v>40</v>
      </c>
      <c r="WE28" s="75">
        <v>40</v>
      </c>
      <c r="WF28" s="75">
        <v>40</v>
      </c>
      <c r="WG28" s="75">
        <v>40</v>
      </c>
      <c r="WH28" s="75"/>
      <c r="WI28" s="75">
        <v>40</v>
      </c>
      <c r="WJ28" s="75">
        <v>28</v>
      </c>
      <c r="WK28" s="75">
        <v>20</v>
      </c>
      <c r="WL28" s="75">
        <v>8</v>
      </c>
      <c r="WM28" s="75"/>
      <c r="WN28" s="75"/>
      <c r="WO28" s="75"/>
      <c r="WP28" s="75"/>
      <c r="WQ28" s="75"/>
      <c r="WR28" s="75"/>
      <c r="WS28" s="75"/>
      <c r="WT28" s="75"/>
      <c r="WU28" s="75"/>
      <c r="WV28" s="75"/>
      <c r="WW28" s="75"/>
      <c r="WX28" s="75"/>
      <c r="WY28" s="75"/>
      <c r="WZ28" s="75"/>
      <c r="XA28" s="75"/>
      <c r="XB28" s="75"/>
      <c r="XC28" s="75"/>
      <c r="XD28" s="75"/>
      <c r="XE28" s="75"/>
      <c r="XF28" s="75"/>
      <c r="XG28" s="75"/>
      <c r="XH28" s="75"/>
      <c r="XI28" s="75"/>
      <c r="XJ28" s="75"/>
      <c r="XK28" s="75"/>
      <c r="XL28" s="75"/>
      <c r="XM28" s="75"/>
      <c r="XN28" s="75"/>
      <c r="XO28" s="75"/>
      <c r="XP28" s="75"/>
      <c r="XQ28" s="75"/>
      <c r="XR28" s="75"/>
      <c r="XS28" s="75"/>
      <c r="XT28" s="75"/>
      <c r="XU28" s="75"/>
      <c r="XV28" s="75"/>
      <c r="XW28" s="75"/>
      <c r="XX28" s="75"/>
      <c r="XY28" s="75"/>
      <c r="XZ28" s="75"/>
      <c r="YA28" s="75"/>
      <c r="YB28" s="75"/>
      <c r="YC28" s="75"/>
      <c r="YD28" s="75"/>
      <c r="YE28" s="75"/>
      <c r="YF28" s="75"/>
      <c r="YG28" s="75"/>
      <c r="YH28" s="75"/>
      <c r="YI28" s="75"/>
      <c r="YJ28" s="75"/>
      <c r="YK28" s="75"/>
      <c r="YL28" s="75"/>
      <c r="YM28" s="75"/>
      <c r="YN28" s="75"/>
      <c r="YO28" s="75"/>
      <c r="YP28" s="75"/>
      <c r="YQ28" s="75"/>
      <c r="YR28" s="75"/>
      <c r="YS28" s="75"/>
      <c r="YT28" s="75"/>
      <c r="YU28" s="75"/>
      <c r="YV28" s="75"/>
      <c r="YW28" s="75"/>
      <c r="YX28" s="75"/>
      <c r="YY28" s="75"/>
      <c r="YZ28" s="75"/>
      <c r="ZA28" s="75"/>
      <c r="ZB28" s="75"/>
      <c r="ZC28" s="75"/>
      <c r="ZD28" s="75"/>
      <c r="ZE28" s="75"/>
      <c r="ZF28" s="75"/>
      <c r="ZG28" s="75"/>
      <c r="ZH28" s="75"/>
      <c r="ZI28" s="75"/>
      <c r="ZJ28" s="75"/>
      <c r="ZK28" s="75"/>
      <c r="ZL28" s="75"/>
      <c r="ZM28" s="75"/>
      <c r="ZN28" s="75"/>
      <c r="ZO28" s="75"/>
      <c r="ZP28" s="75"/>
      <c r="ZQ28" s="75"/>
      <c r="ZR28" s="75"/>
      <c r="ZS28" s="75"/>
      <c r="ZT28" s="75"/>
      <c r="ZU28" s="75"/>
      <c r="ZV28" s="75"/>
      <c r="ZW28" s="75"/>
      <c r="ZX28" s="75"/>
      <c r="ZY28" s="75"/>
      <c r="ZZ28" s="75"/>
      <c r="AAA28" s="75"/>
      <c r="AAB28" s="75"/>
      <c r="AAC28" s="75"/>
      <c r="AAD28" s="75"/>
      <c r="AAE28" s="75"/>
      <c r="AAF28" s="75"/>
      <c r="AAG28" s="75"/>
      <c r="AAH28" s="75"/>
      <c r="AAI28" s="75"/>
      <c r="AAJ28" s="75"/>
      <c r="AAK28" s="75"/>
      <c r="AAL28" s="75"/>
      <c r="AAM28" s="75"/>
      <c r="AAN28" s="75"/>
      <c r="AAO28" s="75"/>
      <c r="AAP28" s="75"/>
      <c r="AAQ28" s="75"/>
      <c r="AAR28" s="75"/>
      <c r="AAS28" s="75"/>
      <c r="AAT28" s="75"/>
      <c r="AAU28" s="75"/>
      <c r="AAV28" s="75"/>
      <c r="AAW28" s="75"/>
      <c r="AAX28" s="75"/>
      <c r="AAY28" s="75"/>
      <c r="AAZ28" s="75"/>
      <c r="ABA28" s="75"/>
      <c r="ABB28" s="75"/>
      <c r="ABC28" s="75"/>
    </row>
    <row r="29" spans="1:731">
      <c r="A29" s="75" t="s">
        <v>67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5"/>
      <c r="BF29" s="75"/>
      <c r="BG29" s="75"/>
      <c r="BH29" s="75"/>
      <c r="BI29" s="75"/>
      <c r="BJ29" s="75"/>
      <c r="BK29" s="75"/>
      <c r="BL29" s="75"/>
      <c r="BM29" s="75"/>
      <c r="BN29" s="75"/>
      <c r="BO29" s="75"/>
      <c r="BP29" s="75"/>
      <c r="BQ29" s="75"/>
      <c r="BR29" s="75"/>
      <c r="BS29" s="75"/>
      <c r="BT29" s="75"/>
      <c r="BU29" s="75"/>
      <c r="BV29" s="75"/>
      <c r="BW29" s="75"/>
      <c r="BX29" s="75"/>
      <c r="BY29" s="75"/>
      <c r="BZ29" s="75"/>
      <c r="CA29" s="75"/>
      <c r="CB29" s="75"/>
      <c r="CC29" s="75"/>
      <c r="CD29" s="75"/>
      <c r="CE29" s="75"/>
      <c r="CF29" s="75"/>
      <c r="CG29" s="75"/>
      <c r="CH29" s="75"/>
      <c r="CI29" s="75"/>
      <c r="CJ29" s="75"/>
      <c r="CK29" s="75"/>
      <c r="CL29" s="75"/>
      <c r="CM29" s="75"/>
      <c r="CN29" s="75"/>
      <c r="CO29" s="75"/>
      <c r="CP29" s="75"/>
      <c r="CQ29" s="75"/>
      <c r="CR29" s="75"/>
      <c r="CS29" s="75"/>
      <c r="CT29" s="75"/>
      <c r="CU29" s="75"/>
      <c r="CV29" s="75"/>
      <c r="CW29" s="75"/>
      <c r="CX29" s="75"/>
      <c r="CY29" s="75"/>
      <c r="CZ29" s="75"/>
      <c r="DA29" s="75"/>
      <c r="DB29" s="75"/>
      <c r="DC29" s="75"/>
      <c r="DD29" s="75"/>
      <c r="DE29" s="75"/>
      <c r="DF29" s="75"/>
      <c r="DG29" s="75"/>
      <c r="DH29" s="75"/>
      <c r="DI29" s="75"/>
      <c r="DJ29" s="75"/>
      <c r="DK29" s="75"/>
      <c r="DL29" s="75"/>
      <c r="DM29" s="75"/>
      <c r="DN29" s="75"/>
      <c r="DO29" s="75"/>
      <c r="DP29" s="75"/>
      <c r="DQ29" s="75"/>
      <c r="DR29" s="75"/>
      <c r="DS29" s="75"/>
      <c r="DT29" s="75"/>
      <c r="DU29" s="75"/>
      <c r="DV29" s="75"/>
      <c r="DW29" s="75"/>
      <c r="DX29" s="75"/>
      <c r="DY29" s="75"/>
      <c r="DZ29" s="75"/>
      <c r="EA29" s="75"/>
      <c r="EB29" s="75"/>
      <c r="EC29" s="75"/>
      <c r="ED29" s="75"/>
      <c r="EE29" s="75"/>
      <c r="EF29" s="75"/>
      <c r="EG29" s="75"/>
      <c r="EH29" s="75"/>
      <c r="EI29" s="75"/>
      <c r="EJ29" s="75"/>
      <c r="EK29" s="75"/>
      <c r="EL29" s="75"/>
      <c r="EM29" s="75"/>
      <c r="EN29" s="75"/>
      <c r="EO29" s="75"/>
      <c r="EP29" s="75"/>
      <c r="EQ29" s="75"/>
      <c r="ER29" s="75"/>
      <c r="ES29" s="75"/>
      <c r="ET29" s="75"/>
      <c r="EU29" s="75"/>
      <c r="EV29" s="75"/>
      <c r="EW29" s="75"/>
      <c r="EX29" s="75"/>
      <c r="EY29" s="75"/>
      <c r="EZ29" s="75"/>
      <c r="FA29" s="75"/>
      <c r="FB29" s="75"/>
      <c r="FC29" s="75"/>
      <c r="FD29" s="75"/>
      <c r="FE29" s="75"/>
      <c r="FF29" s="75"/>
      <c r="FG29" s="75"/>
      <c r="FH29" s="75"/>
      <c r="FI29" s="75"/>
      <c r="FJ29" s="75"/>
      <c r="FK29" s="75"/>
      <c r="FL29" s="75"/>
      <c r="FM29" s="75"/>
      <c r="FN29" s="75"/>
      <c r="FO29" s="75"/>
      <c r="FP29" s="75"/>
      <c r="FQ29" s="75"/>
      <c r="FR29" s="75"/>
      <c r="FS29" s="75"/>
      <c r="FT29" s="75"/>
      <c r="FU29" s="75"/>
      <c r="FV29" s="75"/>
      <c r="FW29" s="75"/>
      <c r="FX29" s="75"/>
      <c r="FY29" s="75"/>
      <c r="FZ29" s="75"/>
      <c r="GA29" s="75"/>
      <c r="GB29" s="75"/>
      <c r="GC29" s="75"/>
      <c r="GD29" s="75"/>
      <c r="GE29" s="75"/>
      <c r="GF29" s="75"/>
      <c r="GG29" s="75"/>
      <c r="GH29" s="75"/>
      <c r="GI29" s="75"/>
      <c r="GJ29" s="75"/>
      <c r="GK29" s="75"/>
      <c r="GL29" s="75"/>
      <c r="GM29" s="75"/>
      <c r="GN29" s="75"/>
      <c r="GO29" s="75"/>
      <c r="GP29" s="75"/>
      <c r="GQ29" s="75"/>
      <c r="GR29" s="75"/>
      <c r="GS29" s="75"/>
      <c r="GT29" s="75"/>
      <c r="GU29" s="75"/>
      <c r="GV29" s="75"/>
      <c r="GW29" s="75"/>
      <c r="GX29" s="75"/>
      <c r="GY29" s="75"/>
      <c r="GZ29" s="75"/>
      <c r="HA29" s="75"/>
      <c r="HB29" s="75"/>
      <c r="HC29" s="75"/>
      <c r="HD29" s="75"/>
      <c r="HE29" s="75"/>
      <c r="HF29" s="75"/>
      <c r="HG29" s="75"/>
      <c r="HH29" s="75"/>
      <c r="HI29" s="75"/>
      <c r="HJ29" s="75"/>
      <c r="HK29" s="75"/>
      <c r="HL29" s="75"/>
      <c r="HM29" s="75"/>
      <c r="HN29" s="75"/>
      <c r="HO29" s="75"/>
      <c r="HP29" s="75"/>
      <c r="HQ29" s="75"/>
      <c r="HR29" s="75"/>
      <c r="HS29" s="75"/>
      <c r="HT29" s="75"/>
      <c r="HU29" s="75"/>
      <c r="HV29" s="75"/>
      <c r="HW29" s="75"/>
      <c r="HX29" s="75"/>
      <c r="HY29" s="75"/>
      <c r="HZ29" s="75"/>
      <c r="IA29" s="75"/>
      <c r="IB29" s="75"/>
      <c r="IC29" s="75"/>
      <c r="ID29" s="75"/>
      <c r="IE29" s="75"/>
      <c r="IF29" s="75"/>
      <c r="IG29" s="75"/>
      <c r="IH29" s="75"/>
      <c r="II29" s="75"/>
      <c r="IJ29" s="75"/>
      <c r="IK29" s="75"/>
      <c r="IL29" s="75"/>
      <c r="IM29" s="75"/>
      <c r="IN29" s="75"/>
      <c r="IO29" s="75"/>
      <c r="IP29" s="75"/>
      <c r="IQ29" s="75"/>
      <c r="IR29" s="75"/>
      <c r="IS29" s="75"/>
      <c r="IT29" s="75"/>
      <c r="IU29" s="75"/>
      <c r="IV29" s="75"/>
      <c r="IW29" s="75"/>
      <c r="IX29" s="75"/>
      <c r="IY29" s="75"/>
      <c r="IZ29" s="75"/>
      <c r="JA29" s="75"/>
      <c r="JB29" s="75"/>
      <c r="JC29" s="75"/>
      <c r="JD29" s="75"/>
      <c r="JE29" s="75"/>
      <c r="JF29" s="75"/>
      <c r="JG29" s="75"/>
      <c r="JH29" s="75"/>
      <c r="JI29" s="75"/>
      <c r="JJ29" s="75"/>
      <c r="JK29" s="75"/>
      <c r="JL29" s="75"/>
      <c r="JM29" s="75"/>
      <c r="JN29" s="75"/>
      <c r="JO29" s="75"/>
      <c r="JP29" s="75"/>
      <c r="JQ29" s="75"/>
      <c r="JR29" s="75"/>
      <c r="JS29" s="75"/>
      <c r="JT29" s="75"/>
      <c r="JU29" s="75"/>
      <c r="JV29" s="75"/>
      <c r="JW29" s="75"/>
      <c r="JX29" s="75"/>
      <c r="JY29" s="75"/>
      <c r="JZ29" s="75"/>
      <c r="KA29" s="75"/>
      <c r="KB29" s="75"/>
      <c r="KC29" s="75"/>
      <c r="KD29" s="75"/>
      <c r="KE29" s="75"/>
      <c r="KF29" s="75"/>
      <c r="KG29" s="75"/>
      <c r="KH29" s="75"/>
      <c r="KI29" s="75"/>
      <c r="KJ29" s="75"/>
      <c r="KK29" s="75"/>
      <c r="KL29" s="75"/>
      <c r="KM29" s="75"/>
      <c r="KN29" s="75"/>
      <c r="KO29" s="75"/>
      <c r="KP29" s="75"/>
      <c r="KQ29" s="75"/>
      <c r="KR29" s="75"/>
      <c r="KS29" s="75"/>
      <c r="KT29" s="75"/>
      <c r="KU29" s="75"/>
      <c r="KV29" s="75"/>
      <c r="KW29" s="75"/>
      <c r="KX29" s="75"/>
      <c r="KY29" s="75"/>
      <c r="KZ29" s="75"/>
      <c r="LA29" s="75"/>
      <c r="LB29" s="75"/>
      <c r="LC29" s="75"/>
      <c r="LD29" s="75"/>
      <c r="LE29" s="75"/>
      <c r="LF29" s="75"/>
      <c r="LG29" s="75"/>
      <c r="LH29" s="75"/>
      <c r="LI29" s="75"/>
      <c r="LJ29" s="75"/>
      <c r="LK29" s="75"/>
      <c r="LL29" s="75"/>
      <c r="LM29" s="75"/>
      <c r="LN29" s="75"/>
      <c r="LO29" s="75"/>
      <c r="LP29" s="75"/>
      <c r="LQ29" s="75"/>
      <c r="LR29" s="75"/>
      <c r="LS29" s="75"/>
      <c r="LT29" s="75"/>
      <c r="LU29" s="75"/>
      <c r="LV29" s="75"/>
      <c r="LW29" s="75"/>
      <c r="LX29" s="75"/>
      <c r="LY29" s="75"/>
      <c r="LZ29" s="75"/>
      <c r="MA29" s="75"/>
      <c r="MB29" s="75"/>
      <c r="MC29" s="75"/>
      <c r="MD29" s="75"/>
      <c r="ME29" s="75"/>
      <c r="MF29" s="75"/>
      <c r="MG29" s="75"/>
      <c r="MH29" s="75"/>
      <c r="MI29" s="75"/>
      <c r="MJ29" s="75"/>
      <c r="MK29" s="75"/>
      <c r="ML29" s="75"/>
      <c r="MM29" s="75"/>
      <c r="MN29" s="75"/>
      <c r="MO29" s="75"/>
      <c r="MP29" s="75"/>
      <c r="MQ29" s="75"/>
      <c r="MR29" s="75"/>
      <c r="MS29" s="75"/>
      <c r="MT29" s="75"/>
      <c r="MU29" s="75"/>
      <c r="MV29" s="75"/>
      <c r="MW29" s="75"/>
      <c r="MX29" s="75"/>
      <c r="MY29" s="75"/>
      <c r="MZ29" s="75"/>
      <c r="NA29" s="75"/>
      <c r="NB29" s="75"/>
      <c r="NC29" s="75"/>
      <c r="ND29" s="75"/>
      <c r="NE29" s="75"/>
      <c r="NF29" s="75"/>
      <c r="NG29" s="75"/>
      <c r="NH29" s="75"/>
      <c r="NI29" s="75"/>
      <c r="NJ29" s="75"/>
      <c r="NK29" s="75"/>
      <c r="NL29" s="75">
        <v>40</v>
      </c>
      <c r="NM29" s="75">
        <v>40</v>
      </c>
      <c r="NN29" s="75">
        <v>40</v>
      </c>
      <c r="NO29" s="75">
        <v>40</v>
      </c>
      <c r="NP29" s="75">
        <v>40</v>
      </c>
      <c r="NQ29" s="75">
        <v>40</v>
      </c>
      <c r="NR29" s="75"/>
      <c r="NS29" s="75">
        <v>40</v>
      </c>
      <c r="NT29" s="75">
        <v>40</v>
      </c>
      <c r="NU29" s="75">
        <v>40</v>
      </c>
      <c r="NV29" s="75">
        <v>40</v>
      </c>
      <c r="NW29" s="75">
        <v>90</v>
      </c>
      <c r="NX29" s="75">
        <v>90</v>
      </c>
      <c r="NY29" s="75"/>
      <c r="NZ29" s="75">
        <v>90</v>
      </c>
      <c r="OA29" s="75">
        <v>90</v>
      </c>
      <c r="OB29" s="75">
        <v>90</v>
      </c>
      <c r="OC29" s="75">
        <v>50</v>
      </c>
      <c r="OD29" s="75">
        <v>50</v>
      </c>
      <c r="OE29" s="75">
        <v>50</v>
      </c>
      <c r="OF29" s="75"/>
      <c r="OG29" s="75">
        <v>50</v>
      </c>
      <c r="OH29" s="75">
        <v>50</v>
      </c>
      <c r="OI29" s="75">
        <v>60</v>
      </c>
      <c r="OJ29" s="75">
        <v>60</v>
      </c>
      <c r="OK29" s="75">
        <v>100</v>
      </c>
      <c r="OL29" s="75">
        <v>140</v>
      </c>
      <c r="OM29" s="75"/>
      <c r="ON29" s="75">
        <v>140</v>
      </c>
      <c r="OO29" s="75">
        <v>100</v>
      </c>
      <c r="OP29" s="75">
        <v>100</v>
      </c>
      <c r="OQ29" s="75">
        <v>100</v>
      </c>
      <c r="OR29" s="75">
        <v>100</v>
      </c>
      <c r="OS29" s="75">
        <v>108</v>
      </c>
      <c r="OT29" s="75"/>
      <c r="OU29" s="75">
        <v>98</v>
      </c>
      <c r="OV29" s="75">
        <v>98</v>
      </c>
      <c r="OW29" s="75">
        <v>108</v>
      </c>
      <c r="OX29" s="75">
        <v>108</v>
      </c>
      <c r="OY29" s="75">
        <v>108</v>
      </c>
      <c r="OZ29" s="75">
        <v>108</v>
      </c>
      <c r="PA29" s="75"/>
      <c r="PB29" s="75">
        <v>108</v>
      </c>
      <c r="PC29" s="75">
        <v>68</v>
      </c>
      <c r="PD29" s="75">
        <v>28</v>
      </c>
      <c r="PE29" s="75">
        <v>28</v>
      </c>
      <c r="PF29" s="75">
        <v>58</v>
      </c>
      <c r="PG29" s="75">
        <v>58</v>
      </c>
      <c r="PH29" s="75"/>
      <c r="PI29" s="75">
        <v>58</v>
      </c>
      <c r="PJ29" s="75">
        <v>58</v>
      </c>
      <c r="PK29" s="75">
        <v>50</v>
      </c>
      <c r="PL29" s="75">
        <v>50</v>
      </c>
      <c r="PM29" s="75">
        <v>58</v>
      </c>
      <c r="PN29" s="75">
        <v>58</v>
      </c>
      <c r="PO29" s="75"/>
      <c r="PP29" s="75">
        <v>58</v>
      </c>
      <c r="PQ29" s="75">
        <v>98</v>
      </c>
      <c r="PR29" s="75">
        <v>98</v>
      </c>
      <c r="PS29" s="75">
        <v>98</v>
      </c>
      <c r="PT29" s="75">
        <v>88</v>
      </c>
      <c r="PU29" s="75">
        <v>88</v>
      </c>
      <c r="PV29" s="75"/>
      <c r="PW29" s="75">
        <v>88</v>
      </c>
      <c r="PX29" s="75">
        <v>56</v>
      </c>
      <c r="PY29" s="75">
        <v>56</v>
      </c>
      <c r="PZ29" s="75">
        <v>96</v>
      </c>
      <c r="QA29" s="75">
        <v>96</v>
      </c>
      <c r="QB29" s="75">
        <v>96</v>
      </c>
      <c r="QC29" s="75"/>
      <c r="QD29" s="75">
        <v>96</v>
      </c>
      <c r="QE29" s="75">
        <v>88</v>
      </c>
      <c r="QF29" s="75">
        <v>88</v>
      </c>
      <c r="QG29" s="75">
        <v>98</v>
      </c>
      <c r="QH29" s="75">
        <v>58</v>
      </c>
      <c r="QI29" s="75">
        <v>58</v>
      </c>
      <c r="QJ29" s="75"/>
      <c r="QK29" s="75">
        <v>58</v>
      </c>
      <c r="QL29" s="75">
        <v>58</v>
      </c>
      <c r="QM29" s="75">
        <v>58</v>
      </c>
      <c r="QN29" s="75">
        <v>58</v>
      </c>
      <c r="QO29" s="75">
        <v>50</v>
      </c>
      <c r="QP29" s="75">
        <v>50</v>
      </c>
      <c r="QQ29" s="75"/>
      <c r="QR29" s="75">
        <v>10</v>
      </c>
      <c r="QS29" s="75">
        <v>50</v>
      </c>
      <c r="QT29" s="75">
        <v>50</v>
      </c>
      <c r="QU29" s="75">
        <v>130</v>
      </c>
      <c r="QV29" s="75">
        <v>130</v>
      </c>
      <c r="QW29" s="75">
        <v>130</v>
      </c>
      <c r="QX29" s="75"/>
      <c r="QY29" s="75">
        <v>120</v>
      </c>
      <c r="QZ29" s="75">
        <v>130</v>
      </c>
      <c r="RA29" s="75">
        <v>140</v>
      </c>
      <c r="RB29" s="75">
        <v>190</v>
      </c>
      <c r="RC29" s="75">
        <v>190</v>
      </c>
      <c r="RD29" s="75">
        <v>210</v>
      </c>
      <c r="RE29" s="75"/>
      <c r="RF29" s="75">
        <v>210</v>
      </c>
      <c r="RG29" s="75">
        <v>226</v>
      </c>
      <c r="RH29" s="75">
        <v>250</v>
      </c>
      <c r="RI29" s="75">
        <v>260</v>
      </c>
      <c r="RJ29" s="75">
        <v>240</v>
      </c>
      <c r="RK29" s="75">
        <v>240</v>
      </c>
      <c r="RL29" s="75"/>
      <c r="RM29" s="75">
        <v>160</v>
      </c>
      <c r="RN29" s="75">
        <v>176</v>
      </c>
      <c r="RO29" s="75">
        <v>180</v>
      </c>
      <c r="RP29" s="75">
        <v>180</v>
      </c>
      <c r="RQ29" s="75">
        <v>190</v>
      </c>
      <c r="RR29" s="75">
        <v>236</v>
      </c>
      <c r="RS29" s="75"/>
      <c r="RT29" s="75">
        <v>186</v>
      </c>
      <c r="RU29" s="75">
        <v>210</v>
      </c>
      <c r="RV29" s="75">
        <v>206</v>
      </c>
      <c r="RW29" s="75">
        <v>206</v>
      </c>
      <c r="RX29" s="75">
        <v>194</v>
      </c>
      <c r="RY29" s="75">
        <v>200</v>
      </c>
      <c r="RZ29" s="75"/>
      <c r="SA29" s="75">
        <v>190</v>
      </c>
      <c r="SB29" s="75">
        <v>222</v>
      </c>
      <c r="SC29" s="75">
        <v>232</v>
      </c>
      <c r="SD29" s="75">
        <v>216</v>
      </c>
      <c r="SE29" s="75">
        <v>216</v>
      </c>
      <c r="SF29" s="75">
        <v>217</v>
      </c>
      <c r="SG29" s="75"/>
      <c r="SH29" s="75">
        <v>214</v>
      </c>
      <c r="SI29" s="75">
        <v>194</v>
      </c>
      <c r="SJ29" s="75">
        <v>154</v>
      </c>
      <c r="SK29" s="75">
        <v>154</v>
      </c>
      <c r="SL29" s="75">
        <v>174</v>
      </c>
      <c r="SM29" s="75">
        <v>174</v>
      </c>
      <c r="SN29" s="75"/>
      <c r="SO29" s="75">
        <v>192</v>
      </c>
      <c r="SP29" s="75">
        <v>192</v>
      </c>
      <c r="SQ29" s="75">
        <v>162</v>
      </c>
      <c r="SR29" s="75">
        <v>173</v>
      </c>
      <c r="SS29" s="75">
        <v>108</v>
      </c>
      <c r="ST29" s="75">
        <v>104</v>
      </c>
      <c r="SU29" s="75"/>
      <c r="SV29" s="75">
        <v>100</v>
      </c>
      <c r="SW29" s="75">
        <v>104</v>
      </c>
      <c r="SX29" s="75">
        <v>104</v>
      </c>
      <c r="SY29" s="75">
        <v>104</v>
      </c>
      <c r="SZ29" s="75">
        <v>104</v>
      </c>
      <c r="TA29" s="75">
        <v>104</v>
      </c>
      <c r="TB29" s="75"/>
      <c r="TC29" s="75">
        <v>116</v>
      </c>
      <c r="TD29" s="75">
        <v>108</v>
      </c>
      <c r="TE29" s="75">
        <v>88</v>
      </c>
      <c r="TF29" s="75">
        <v>86</v>
      </c>
      <c r="TG29" s="75">
        <v>72</v>
      </c>
      <c r="TH29" s="75">
        <v>56</v>
      </c>
      <c r="TI29" s="75"/>
      <c r="TJ29" s="75">
        <v>48</v>
      </c>
      <c r="TK29" s="75">
        <v>48</v>
      </c>
      <c r="TL29" s="75">
        <v>48</v>
      </c>
      <c r="TM29" s="75">
        <v>50</v>
      </c>
      <c r="TN29" s="75">
        <v>56</v>
      </c>
      <c r="TO29" s="75">
        <v>56</v>
      </c>
      <c r="TP29" s="75"/>
      <c r="TQ29" s="75">
        <v>52</v>
      </c>
      <c r="TR29" s="75">
        <v>52</v>
      </c>
      <c r="TS29" s="75">
        <v>50</v>
      </c>
      <c r="TT29" s="75">
        <v>40</v>
      </c>
      <c r="TU29" s="75">
        <v>12</v>
      </c>
      <c r="TV29" s="75">
        <v>26</v>
      </c>
      <c r="TW29" s="75"/>
      <c r="TX29" s="75">
        <v>24</v>
      </c>
      <c r="TY29" s="75">
        <v>40</v>
      </c>
      <c r="TZ29" s="75">
        <v>40</v>
      </c>
      <c r="UA29" s="75">
        <v>40</v>
      </c>
      <c r="UB29" s="75">
        <v>40</v>
      </c>
      <c r="UC29" s="75">
        <v>40</v>
      </c>
      <c r="UD29" s="75"/>
      <c r="UE29" s="75">
        <v>40</v>
      </c>
      <c r="UF29" s="75">
        <v>42</v>
      </c>
      <c r="UG29" s="75">
        <v>52</v>
      </c>
      <c r="UH29" s="75">
        <v>70</v>
      </c>
      <c r="UI29" s="75">
        <v>76</v>
      </c>
      <c r="UJ29" s="75">
        <v>76</v>
      </c>
      <c r="UK29" s="75"/>
      <c r="UL29" s="75">
        <v>76</v>
      </c>
      <c r="UM29" s="75">
        <v>72</v>
      </c>
      <c r="UN29" s="75">
        <v>60</v>
      </c>
      <c r="UO29" s="75">
        <v>71</v>
      </c>
      <c r="UP29" s="75">
        <v>50</v>
      </c>
      <c r="UQ29" s="75">
        <v>48</v>
      </c>
      <c r="UR29" s="75"/>
      <c r="US29" s="75">
        <v>42</v>
      </c>
      <c r="UT29" s="75">
        <v>43</v>
      </c>
      <c r="UU29" s="75">
        <v>46</v>
      </c>
      <c r="UV29" s="75">
        <v>46</v>
      </c>
      <c r="UW29" s="75">
        <v>48</v>
      </c>
      <c r="UX29" s="75">
        <v>44</v>
      </c>
      <c r="UY29" s="75"/>
      <c r="UZ29" s="75">
        <v>28</v>
      </c>
      <c r="VA29" s="75">
        <v>28</v>
      </c>
      <c r="VB29" s="75">
        <v>26</v>
      </c>
      <c r="VC29" s="75">
        <v>26</v>
      </c>
      <c r="VD29" s="75">
        <v>30</v>
      </c>
      <c r="VE29" s="75">
        <v>42</v>
      </c>
      <c r="VF29" s="75"/>
      <c r="VG29" s="75">
        <v>26</v>
      </c>
      <c r="VH29" s="75">
        <v>25</v>
      </c>
      <c r="VI29" s="75">
        <v>20</v>
      </c>
      <c r="VJ29" s="75">
        <v>20</v>
      </c>
      <c r="VK29" s="75">
        <v>20</v>
      </c>
      <c r="VL29" s="75">
        <v>20</v>
      </c>
      <c r="VM29" s="75"/>
      <c r="VN29" s="75">
        <v>22</v>
      </c>
      <c r="VO29" s="75">
        <v>22</v>
      </c>
      <c r="VP29" s="75">
        <v>22</v>
      </c>
      <c r="VQ29" s="75">
        <v>23</v>
      </c>
      <c r="VR29" s="75">
        <v>38</v>
      </c>
      <c r="VS29" s="75">
        <v>46</v>
      </c>
      <c r="VT29" s="75"/>
      <c r="VU29" s="75">
        <v>46</v>
      </c>
      <c r="VV29" s="75">
        <v>42</v>
      </c>
      <c r="VW29" s="75">
        <v>26</v>
      </c>
      <c r="VX29" s="75">
        <v>37</v>
      </c>
      <c r="VY29" s="75">
        <v>56</v>
      </c>
      <c r="VZ29" s="75">
        <v>60</v>
      </c>
      <c r="WA29" s="75"/>
      <c r="WB29" s="75">
        <v>60</v>
      </c>
      <c r="WC29" s="75">
        <v>60</v>
      </c>
      <c r="WD29" s="75">
        <v>60</v>
      </c>
      <c r="WE29" s="75">
        <v>76</v>
      </c>
      <c r="WF29" s="75">
        <v>80</v>
      </c>
      <c r="WG29" s="75">
        <v>80</v>
      </c>
      <c r="WH29" s="75"/>
      <c r="WI29" s="75">
        <v>80</v>
      </c>
      <c r="WJ29" s="75">
        <v>68</v>
      </c>
      <c r="WK29" s="75">
        <v>60</v>
      </c>
      <c r="WL29" s="75">
        <v>48</v>
      </c>
      <c r="WM29" s="75">
        <v>40</v>
      </c>
      <c r="WN29" s="75">
        <v>40</v>
      </c>
      <c r="WO29" s="75"/>
      <c r="WP29" s="75">
        <v>40</v>
      </c>
      <c r="WQ29" s="75">
        <v>24</v>
      </c>
      <c r="WR29" s="75">
        <v>20</v>
      </c>
      <c r="WS29" s="75">
        <v>4</v>
      </c>
      <c r="WT29" s="75"/>
      <c r="WU29" s="75"/>
      <c r="WV29" s="75"/>
      <c r="WW29" s="75"/>
      <c r="WX29" s="75"/>
      <c r="WY29" s="75"/>
      <c r="WZ29" s="75"/>
      <c r="XA29" s="75"/>
      <c r="XB29" s="75"/>
      <c r="XC29" s="75"/>
      <c r="XD29" s="75"/>
      <c r="XE29" s="75"/>
      <c r="XF29" s="75"/>
      <c r="XG29" s="75"/>
      <c r="XH29" s="75"/>
      <c r="XI29" s="75"/>
      <c r="XJ29" s="75"/>
      <c r="XK29" s="75"/>
      <c r="XL29" s="75"/>
      <c r="XM29" s="75"/>
      <c r="XN29" s="75"/>
      <c r="XO29" s="75"/>
      <c r="XP29" s="75"/>
      <c r="XQ29" s="75"/>
      <c r="XR29" s="75"/>
      <c r="XS29" s="75"/>
      <c r="XT29" s="75"/>
      <c r="XU29" s="75"/>
      <c r="XV29" s="75"/>
      <c r="XW29" s="75"/>
      <c r="XX29" s="75"/>
      <c r="XY29" s="75"/>
      <c r="XZ29" s="75"/>
      <c r="YA29" s="75"/>
      <c r="YB29" s="75"/>
      <c r="YC29" s="75"/>
      <c r="YD29" s="75"/>
      <c r="YE29" s="75"/>
      <c r="YF29" s="75"/>
      <c r="YG29" s="75"/>
      <c r="YH29" s="75"/>
      <c r="YI29" s="75"/>
      <c r="YJ29" s="75"/>
      <c r="YK29" s="75"/>
      <c r="YL29" s="75"/>
      <c r="YM29" s="75"/>
      <c r="YN29" s="75"/>
      <c r="YO29" s="75"/>
      <c r="YP29" s="75"/>
      <c r="YQ29" s="75"/>
      <c r="YR29" s="75"/>
      <c r="YS29" s="75"/>
      <c r="YT29" s="75"/>
      <c r="YU29" s="75"/>
      <c r="YV29" s="75"/>
      <c r="YW29" s="75"/>
      <c r="YX29" s="75"/>
      <c r="YY29" s="75"/>
      <c r="YZ29" s="75"/>
      <c r="ZA29" s="75"/>
      <c r="ZB29" s="75"/>
      <c r="ZC29" s="75"/>
      <c r="ZD29" s="75"/>
      <c r="ZE29" s="75"/>
      <c r="ZF29" s="75"/>
      <c r="ZG29" s="75"/>
      <c r="ZH29" s="75"/>
      <c r="ZI29" s="75"/>
      <c r="ZJ29" s="75"/>
      <c r="ZK29" s="75"/>
      <c r="ZL29" s="75"/>
      <c r="ZM29" s="75"/>
      <c r="ZN29" s="75"/>
      <c r="ZO29" s="75"/>
      <c r="ZP29" s="75"/>
      <c r="ZQ29" s="75"/>
      <c r="ZR29" s="75"/>
      <c r="ZS29" s="75"/>
      <c r="ZT29" s="75"/>
      <c r="ZU29" s="75"/>
      <c r="ZV29" s="75"/>
      <c r="ZW29" s="75"/>
      <c r="ZX29" s="75"/>
      <c r="ZY29" s="75"/>
      <c r="ZZ29" s="75"/>
      <c r="AAA29" s="75"/>
      <c r="AAB29" s="75"/>
      <c r="AAC29" s="75"/>
      <c r="AAD29" s="75"/>
      <c r="AAE29" s="75"/>
      <c r="AAF29" s="75"/>
      <c r="AAG29" s="75"/>
      <c r="AAH29" s="75"/>
      <c r="AAI29" s="75"/>
      <c r="AAJ29" s="75"/>
      <c r="AAK29" s="75"/>
      <c r="AAL29" s="75"/>
      <c r="AAM29" s="75"/>
      <c r="AAN29" s="75"/>
      <c r="AAO29" s="75"/>
      <c r="AAP29" s="75"/>
      <c r="AAQ29" s="75"/>
      <c r="AAR29" s="75"/>
      <c r="AAS29" s="75"/>
      <c r="AAT29" s="75"/>
      <c r="AAU29" s="75"/>
      <c r="AAV29" s="75"/>
      <c r="AAW29" s="75"/>
      <c r="AAX29" s="75"/>
      <c r="AAY29" s="75"/>
      <c r="AAZ29" s="75"/>
      <c r="ABA29" s="75"/>
      <c r="ABB29" s="75"/>
      <c r="ABC29" s="75"/>
    </row>
    <row r="30" spans="1:731">
      <c r="A30" s="75" t="s">
        <v>68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75"/>
      <c r="BL30" s="75"/>
      <c r="BM30" s="75"/>
      <c r="BN30" s="75"/>
      <c r="BO30" s="75"/>
      <c r="BP30" s="75"/>
      <c r="BQ30" s="75"/>
      <c r="BR30" s="75"/>
      <c r="BS30" s="75"/>
      <c r="BT30" s="75"/>
      <c r="BU30" s="75"/>
      <c r="BV30" s="75"/>
      <c r="BW30" s="75"/>
      <c r="BX30" s="75"/>
      <c r="BY30" s="75"/>
      <c r="BZ30" s="75"/>
      <c r="CA30" s="75"/>
      <c r="CB30" s="75"/>
      <c r="CC30" s="75"/>
      <c r="CD30" s="75"/>
      <c r="CE30" s="75"/>
      <c r="CF30" s="75"/>
      <c r="CG30" s="75"/>
      <c r="CH30" s="75"/>
      <c r="CI30" s="75"/>
      <c r="CJ30" s="75"/>
      <c r="CK30" s="75"/>
      <c r="CL30" s="75"/>
      <c r="CM30" s="75"/>
      <c r="CN30" s="75"/>
      <c r="CO30" s="75"/>
      <c r="CP30" s="75"/>
      <c r="CQ30" s="75"/>
      <c r="CR30" s="75"/>
      <c r="CS30" s="75"/>
      <c r="CT30" s="75"/>
      <c r="CU30" s="75"/>
      <c r="CV30" s="75"/>
      <c r="CW30" s="75"/>
      <c r="CX30" s="75"/>
      <c r="CY30" s="75"/>
      <c r="CZ30" s="75"/>
      <c r="DA30" s="75"/>
      <c r="DB30" s="75"/>
      <c r="DC30" s="75"/>
      <c r="DD30" s="75"/>
      <c r="DE30" s="75"/>
      <c r="DF30" s="75"/>
      <c r="DG30" s="75"/>
      <c r="DH30" s="75"/>
      <c r="DI30" s="75"/>
      <c r="DJ30" s="75"/>
      <c r="DK30" s="75"/>
      <c r="DL30" s="75"/>
      <c r="DM30" s="75"/>
      <c r="DN30" s="75"/>
      <c r="DO30" s="75"/>
      <c r="DP30" s="75"/>
      <c r="DQ30" s="75"/>
      <c r="DR30" s="75"/>
      <c r="DS30" s="75"/>
      <c r="DT30" s="75"/>
      <c r="DU30" s="75"/>
      <c r="DV30" s="75"/>
      <c r="DW30" s="75"/>
      <c r="DX30" s="75"/>
      <c r="DY30" s="75"/>
      <c r="DZ30" s="75"/>
      <c r="EA30" s="75"/>
      <c r="EB30" s="75"/>
      <c r="EC30" s="75"/>
      <c r="ED30" s="75"/>
      <c r="EE30" s="75"/>
      <c r="EF30" s="75"/>
      <c r="EG30" s="75"/>
      <c r="EH30" s="75"/>
      <c r="EI30" s="75"/>
      <c r="EJ30" s="75"/>
      <c r="EK30" s="75"/>
      <c r="EL30" s="75"/>
      <c r="EM30" s="75"/>
      <c r="EN30" s="75"/>
      <c r="EO30" s="75"/>
      <c r="EP30" s="75"/>
      <c r="EQ30" s="75"/>
      <c r="ER30" s="75"/>
      <c r="ES30" s="75"/>
      <c r="ET30" s="75"/>
      <c r="EU30" s="75"/>
      <c r="EV30" s="75"/>
      <c r="EW30" s="75"/>
      <c r="EX30" s="75"/>
      <c r="EY30" s="75"/>
      <c r="EZ30" s="75"/>
      <c r="FA30" s="75"/>
      <c r="FB30" s="75"/>
      <c r="FC30" s="75"/>
      <c r="FD30" s="75"/>
      <c r="FE30" s="75"/>
      <c r="FF30" s="75"/>
      <c r="FG30" s="75"/>
      <c r="FH30" s="75"/>
      <c r="FI30" s="75"/>
      <c r="FJ30" s="75"/>
      <c r="FK30" s="75"/>
      <c r="FL30" s="75"/>
      <c r="FM30" s="75"/>
      <c r="FN30" s="75"/>
      <c r="FO30" s="75"/>
      <c r="FP30" s="75"/>
      <c r="FQ30" s="75"/>
      <c r="FR30" s="75"/>
      <c r="FS30" s="75"/>
      <c r="FT30" s="75"/>
      <c r="FU30" s="75"/>
      <c r="FV30" s="75"/>
      <c r="FW30" s="75"/>
      <c r="FX30" s="75"/>
      <c r="FY30" s="75"/>
      <c r="FZ30" s="75"/>
      <c r="GA30" s="75"/>
      <c r="GB30" s="75"/>
      <c r="GC30" s="75"/>
      <c r="GD30" s="75"/>
      <c r="GE30" s="75"/>
      <c r="GF30" s="75"/>
      <c r="GG30" s="75"/>
      <c r="GH30" s="75"/>
      <c r="GI30" s="75"/>
      <c r="GJ30" s="75"/>
      <c r="GK30" s="75"/>
      <c r="GL30" s="75"/>
      <c r="GM30" s="75"/>
      <c r="GN30" s="75"/>
      <c r="GO30" s="75"/>
      <c r="GP30" s="75"/>
      <c r="GQ30" s="75"/>
      <c r="GR30" s="75"/>
      <c r="GS30" s="75"/>
      <c r="GT30" s="75"/>
      <c r="GU30" s="75"/>
      <c r="GV30" s="75"/>
      <c r="GW30" s="75"/>
      <c r="GX30" s="75"/>
      <c r="GY30" s="75"/>
      <c r="GZ30" s="75"/>
      <c r="HA30" s="75"/>
      <c r="HB30" s="75"/>
      <c r="HC30" s="75"/>
      <c r="HD30" s="75"/>
      <c r="HE30" s="75"/>
      <c r="HF30" s="75"/>
      <c r="HG30" s="75"/>
      <c r="HH30" s="75"/>
      <c r="HI30" s="75"/>
      <c r="HJ30" s="75"/>
      <c r="HK30" s="75"/>
      <c r="HL30" s="75"/>
      <c r="HM30" s="75"/>
      <c r="HN30" s="75"/>
      <c r="HO30" s="75"/>
      <c r="HP30" s="75"/>
      <c r="HQ30" s="75"/>
      <c r="HR30" s="75"/>
      <c r="HS30" s="75"/>
      <c r="HT30" s="75"/>
      <c r="HU30" s="75"/>
      <c r="HV30" s="75"/>
      <c r="HW30" s="75"/>
      <c r="HX30" s="75"/>
      <c r="HY30" s="75"/>
      <c r="HZ30" s="75"/>
      <c r="IA30" s="75"/>
      <c r="IB30" s="75"/>
      <c r="IC30" s="75"/>
      <c r="ID30" s="75"/>
      <c r="IE30" s="75"/>
      <c r="IF30" s="75"/>
      <c r="IG30" s="75"/>
      <c r="IH30" s="75"/>
      <c r="II30" s="75"/>
      <c r="IJ30" s="75"/>
      <c r="IK30" s="75"/>
      <c r="IL30" s="75"/>
      <c r="IM30" s="75"/>
      <c r="IN30" s="75"/>
      <c r="IO30" s="75"/>
      <c r="IP30" s="75"/>
      <c r="IQ30" s="75"/>
      <c r="IR30" s="75"/>
      <c r="IS30" s="75"/>
      <c r="IT30" s="75"/>
      <c r="IU30" s="75"/>
      <c r="IV30" s="75"/>
      <c r="IW30" s="75"/>
      <c r="IX30" s="75"/>
      <c r="IY30" s="75"/>
      <c r="IZ30" s="75"/>
      <c r="JA30" s="75"/>
      <c r="JB30" s="75"/>
      <c r="JC30" s="75"/>
      <c r="JD30" s="75"/>
      <c r="JE30" s="75"/>
      <c r="JF30" s="75"/>
      <c r="JG30" s="75"/>
      <c r="JH30" s="75"/>
      <c r="JI30" s="75"/>
      <c r="JJ30" s="75"/>
      <c r="JK30" s="75"/>
      <c r="JL30" s="75"/>
      <c r="JM30" s="75"/>
      <c r="JN30" s="75"/>
      <c r="JO30" s="75"/>
      <c r="JP30" s="75"/>
      <c r="JQ30" s="75"/>
      <c r="JR30" s="75"/>
      <c r="JS30" s="75"/>
      <c r="JT30" s="75"/>
      <c r="JU30" s="75"/>
      <c r="JV30" s="75"/>
      <c r="JW30" s="75"/>
      <c r="JX30" s="75"/>
      <c r="JY30" s="75"/>
      <c r="JZ30" s="75"/>
      <c r="KA30" s="75"/>
      <c r="KB30" s="75"/>
      <c r="KC30" s="75"/>
      <c r="KD30" s="75"/>
      <c r="KE30" s="75"/>
      <c r="KF30" s="75"/>
      <c r="KG30" s="75"/>
      <c r="KH30" s="75"/>
      <c r="KI30" s="75"/>
      <c r="KJ30" s="75"/>
      <c r="KK30" s="75"/>
      <c r="KL30" s="75"/>
      <c r="KM30" s="75"/>
      <c r="KN30" s="75"/>
      <c r="KO30" s="75"/>
      <c r="KP30" s="75"/>
      <c r="KQ30" s="75"/>
      <c r="KR30" s="75"/>
      <c r="KS30" s="75"/>
      <c r="KT30" s="75"/>
      <c r="KU30" s="75"/>
      <c r="KV30" s="75"/>
      <c r="KW30" s="75"/>
      <c r="KX30" s="75"/>
      <c r="KY30" s="75"/>
      <c r="KZ30" s="75"/>
      <c r="LA30" s="75"/>
      <c r="LB30" s="75"/>
      <c r="LC30" s="75"/>
      <c r="LD30" s="75"/>
      <c r="LE30" s="75"/>
      <c r="LF30" s="75"/>
      <c r="LG30" s="75"/>
      <c r="LH30" s="75"/>
      <c r="LI30" s="75"/>
      <c r="LJ30" s="75"/>
      <c r="LK30" s="75"/>
      <c r="LL30" s="75"/>
      <c r="LM30" s="75"/>
      <c r="LN30" s="75"/>
      <c r="LO30" s="75"/>
      <c r="LP30" s="75"/>
      <c r="LQ30" s="75"/>
      <c r="LR30" s="75"/>
      <c r="LS30" s="75"/>
      <c r="LT30" s="75"/>
      <c r="LU30" s="75"/>
      <c r="LV30" s="75"/>
      <c r="LW30" s="75"/>
      <c r="LX30" s="75"/>
      <c r="LY30" s="75"/>
      <c r="LZ30" s="75"/>
      <c r="MA30" s="75"/>
      <c r="MB30" s="75"/>
      <c r="MC30" s="75"/>
      <c r="MD30" s="75"/>
      <c r="ME30" s="75"/>
      <c r="MF30" s="75"/>
      <c r="MG30" s="75"/>
      <c r="MH30" s="75"/>
      <c r="MI30" s="75"/>
      <c r="MJ30" s="75"/>
      <c r="MK30" s="75"/>
      <c r="ML30" s="75"/>
      <c r="MM30" s="75"/>
      <c r="MN30" s="75"/>
      <c r="MO30" s="75"/>
      <c r="MP30" s="75"/>
      <c r="MQ30" s="75"/>
      <c r="MR30" s="75"/>
      <c r="MS30" s="75"/>
      <c r="MT30" s="75"/>
      <c r="MU30" s="75"/>
      <c r="MV30" s="75"/>
      <c r="MW30" s="75"/>
      <c r="MX30" s="75"/>
      <c r="MY30" s="75"/>
      <c r="MZ30" s="75"/>
      <c r="NA30" s="75"/>
      <c r="NB30" s="75"/>
      <c r="NC30" s="75"/>
      <c r="ND30" s="75"/>
      <c r="NE30" s="75"/>
      <c r="NF30" s="75"/>
      <c r="NG30" s="75"/>
      <c r="NH30" s="75"/>
      <c r="NI30" s="75"/>
      <c r="NJ30" s="75"/>
      <c r="NK30" s="75"/>
      <c r="NL30" s="75"/>
      <c r="NM30" s="75"/>
      <c r="NN30" s="75"/>
      <c r="NO30" s="75"/>
      <c r="NP30" s="75"/>
      <c r="NQ30" s="75"/>
      <c r="NR30" s="75"/>
      <c r="NS30" s="75"/>
      <c r="NT30" s="75"/>
      <c r="NU30" s="75"/>
      <c r="NV30" s="75"/>
      <c r="NW30" s="75"/>
      <c r="NX30" s="75"/>
      <c r="NY30" s="75"/>
      <c r="NZ30" s="75"/>
      <c r="OA30" s="75"/>
      <c r="OB30" s="75"/>
      <c r="OC30" s="75"/>
      <c r="OD30" s="75"/>
      <c r="OE30" s="75"/>
      <c r="OF30" s="75"/>
      <c r="OG30" s="75"/>
      <c r="OH30" s="75"/>
      <c r="OI30" s="75"/>
      <c r="OJ30" s="75"/>
      <c r="OK30" s="75"/>
      <c r="OL30" s="75"/>
      <c r="OM30" s="75"/>
      <c r="ON30" s="75"/>
      <c r="OO30" s="75"/>
      <c r="OP30" s="75"/>
      <c r="OQ30" s="75"/>
      <c r="OR30" s="75"/>
      <c r="OS30" s="75"/>
      <c r="OT30" s="75"/>
      <c r="OU30" s="75"/>
      <c r="OV30" s="75"/>
      <c r="OW30" s="75"/>
      <c r="OX30" s="75"/>
      <c r="OY30" s="75"/>
      <c r="OZ30" s="75"/>
      <c r="PA30" s="75"/>
      <c r="PB30" s="75"/>
      <c r="PC30" s="75"/>
      <c r="PD30" s="75"/>
      <c r="PE30" s="75"/>
      <c r="PF30" s="75"/>
      <c r="PG30" s="75"/>
      <c r="PH30" s="75"/>
      <c r="PI30" s="75"/>
      <c r="PJ30" s="75"/>
      <c r="PK30" s="75"/>
      <c r="PL30" s="75"/>
      <c r="PM30" s="75"/>
      <c r="PN30" s="75"/>
      <c r="PO30" s="75"/>
      <c r="PP30" s="75"/>
      <c r="PQ30" s="75"/>
      <c r="PR30" s="75"/>
      <c r="PS30" s="75"/>
      <c r="PT30" s="75"/>
      <c r="PU30" s="75"/>
      <c r="PV30" s="75"/>
      <c r="PW30" s="75"/>
      <c r="PX30" s="75"/>
      <c r="PY30" s="75"/>
      <c r="PZ30" s="75"/>
      <c r="QA30" s="75"/>
      <c r="QB30" s="75"/>
      <c r="QC30" s="75"/>
      <c r="QD30" s="75">
        <v>20</v>
      </c>
      <c r="QE30" s="75">
        <v>20</v>
      </c>
      <c r="QF30" s="75">
        <v>20</v>
      </c>
      <c r="QG30" s="75">
        <v>20</v>
      </c>
      <c r="QH30" s="75">
        <v>20</v>
      </c>
      <c r="QI30" s="75">
        <v>20</v>
      </c>
      <c r="QJ30" s="75"/>
      <c r="QK30" s="75">
        <v>40</v>
      </c>
      <c r="QL30" s="75">
        <v>40</v>
      </c>
      <c r="QM30" s="75">
        <v>40</v>
      </c>
      <c r="QN30" s="75">
        <v>40</v>
      </c>
      <c r="QO30" s="75">
        <v>40</v>
      </c>
      <c r="QP30" s="75">
        <v>40</v>
      </c>
      <c r="QQ30" s="75"/>
      <c r="QR30" s="75">
        <v>60</v>
      </c>
      <c r="QS30" s="75">
        <v>60</v>
      </c>
      <c r="QT30" s="75">
        <v>60</v>
      </c>
      <c r="QU30" s="75">
        <v>40</v>
      </c>
      <c r="QV30" s="75">
        <v>40</v>
      </c>
      <c r="QW30" s="75">
        <v>40</v>
      </c>
      <c r="QX30" s="75"/>
      <c r="QY30" s="75">
        <v>40</v>
      </c>
      <c r="QZ30" s="75">
        <v>40</v>
      </c>
      <c r="RA30" s="75">
        <v>40</v>
      </c>
      <c r="RB30" s="75">
        <v>20</v>
      </c>
      <c r="RC30" s="75">
        <v>20</v>
      </c>
      <c r="RD30" s="75">
        <v>20</v>
      </c>
      <c r="RE30" s="75"/>
      <c r="RF30" s="75">
        <v>20</v>
      </c>
      <c r="RG30" s="75">
        <v>20</v>
      </c>
      <c r="RH30" s="75">
        <v>20</v>
      </c>
      <c r="RI30" s="75">
        <v>8</v>
      </c>
      <c r="RJ30" s="75">
        <v>8</v>
      </c>
      <c r="RK30" s="75">
        <v>8</v>
      </c>
      <c r="RL30" s="75"/>
      <c r="RM30" s="75">
        <v>8</v>
      </c>
      <c r="RN30" s="75">
        <v>8</v>
      </c>
      <c r="RO30" s="75">
        <v>8</v>
      </c>
      <c r="RP30" s="75">
        <v>8</v>
      </c>
      <c r="RQ30" s="75">
        <v>8</v>
      </c>
      <c r="RR30" s="75">
        <v>8</v>
      </c>
      <c r="RS30" s="75"/>
      <c r="RT30" s="75">
        <v>8</v>
      </c>
      <c r="RU30" s="75">
        <v>8</v>
      </c>
      <c r="RV30" s="75">
        <v>8</v>
      </c>
      <c r="RW30" s="75">
        <v>8</v>
      </c>
      <c r="RX30" s="75">
        <v>8</v>
      </c>
      <c r="RY30" s="75"/>
      <c r="RZ30" s="75"/>
      <c r="SA30" s="75"/>
      <c r="SB30" s="75"/>
      <c r="SC30" s="75"/>
      <c r="SD30" s="75"/>
      <c r="SE30" s="75"/>
      <c r="SF30" s="75"/>
      <c r="SG30" s="75"/>
      <c r="SH30" s="75"/>
      <c r="SI30" s="75"/>
      <c r="SJ30" s="75"/>
      <c r="SK30" s="75"/>
      <c r="SL30" s="75"/>
      <c r="SM30" s="75"/>
      <c r="SN30" s="75"/>
      <c r="SO30" s="75"/>
      <c r="SP30" s="75"/>
      <c r="SQ30" s="75"/>
      <c r="SR30" s="75"/>
      <c r="SS30" s="75"/>
      <c r="ST30" s="75"/>
      <c r="SU30" s="75"/>
      <c r="SV30" s="75"/>
      <c r="SW30" s="75"/>
      <c r="SX30" s="75"/>
      <c r="SY30" s="75"/>
      <c r="SZ30" s="75"/>
      <c r="TA30" s="75"/>
      <c r="TB30" s="75"/>
      <c r="TC30" s="75"/>
      <c r="TD30" s="75"/>
      <c r="TE30" s="75"/>
      <c r="TF30" s="75"/>
      <c r="TG30" s="75"/>
      <c r="TH30" s="75"/>
      <c r="TI30" s="75"/>
      <c r="TJ30" s="75"/>
      <c r="TK30" s="75"/>
      <c r="TL30" s="75"/>
      <c r="TM30" s="75"/>
      <c r="TN30" s="75"/>
      <c r="TO30" s="75"/>
      <c r="TP30" s="75"/>
      <c r="TQ30" s="75"/>
      <c r="TR30" s="75"/>
      <c r="TS30" s="75"/>
      <c r="TT30" s="75"/>
      <c r="TU30" s="75"/>
      <c r="TV30" s="75"/>
      <c r="TW30" s="75"/>
      <c r="TX30" s="75"/>
      <c r="TY30" s="75"/>
      <c r="TZ30" s="75"/>
      <c r="UA30" s="75"/>
      <c r="UB30" s="75"/>
      <c r="UC30" s="75"/>
      <c r="UD30" s="75"/>
      <c r="UE30" s="75"/>
      <c r="UF30" s="75"/>
      <c r="UG30" s="75"/>
      <c r="UH30" s="75"/>
      <c r="UI30" s="75"/>
      <c r="UJ30" s="75"/>
      <c r="UK30" s="75"/>
      <c r="UL30" s="75"/>
      <c r="UM30" s="75"/>
      <c r="UN30" s="75"/>
      <c r="UO30" s="75"/>
      <c r="UP30" s="75"/>
      <c r="UQ30" s="75"/>
      <c r="UR30" s="75"/>
      <c r="US30" s="75"/>
      <c r="UT30" s="75"/>
      <c r="UU30" s="75"/>
      <c r="UV30" s="75"/>
      <c r="UW30" s="75"/>
      <c r="UX30" s="75"/>
      <c r="UY30" s="75"/>
      <c r="UZ30" s="75"/>
      <c r="VA30" s="75"/>
      <c r="VB30" s="75"/>
      <c r="VC30" s="75"/>
      <c r="VD30" s="75"/>
      <c r="VE30" s="75"/>
      <c r="VF30" s="75"/>
      <c r="VG30" s="75"/>
      <c r="VH30" s="75"/>
      <c r="VI30" s="75"/>
      <c r="VJ30" s="75"/>
      <c r="VK30" s="75"/>
      <c r="VL30" s="75"/>
      <c r="VM30" s="75"/>
      <c r="VN30" s="75"/>
      <c r="VO30" s="75"/>
      <c r="VP30" s="75"/>
      <c r="VQ30" s="75"/>
      <c r="VR30" s="75"/>
      <c r="VS30" s="75"/>
      <c r="VT30" s="75"/>
      <c r="VU30" s="75"/>
      <c r="VV30" s="75"/>
      <c r="VW30" s="75"/>
      <c r="VX30" s="75"/>
      <c r="VY30" s="75"/>
      <c r="VZ30" s="75"/>
      <c r="WA30" s="75"/>
      <c r="WB30" s="75"/>
      <c r="WC30" s="75"/>
      <c r="WD30" s="75"/>
      <c r="WE30" s="75"/>
      <c r="WF30" s="75"/>
      <c r="WG30" s="75"/>
      <c r="WH30" s="75"/>
      <c r="WI30" s="75"/>
      <c r="WJ30" s="75"/>
      <c r="WK30" s="75"/>
      <c r="WL30" s="75"/>
      <c r="WM30" s="75"/>
      <c r="WN30" s="75"/>
      <c r="WO30" s="75"/>
      <c r="WP30" s="75"/>
      <c r="WQ30" s="75"/>
      <c r="WR30" s="75"/>
      <c r="WS30" s="75"/>
      <c r="WT30" s="75"/>
      <c r="WU30" s="75"/>
      <c r="WV30" s="75"/>
      <c r="WW30" s="75"/>
      <c r="WX30" s="75"/>
      <c r="WY30" s="75"/>
      <c r="WZ30" s="75"/>
      <c r="XA30" s="75"/>
      <c r="XB30" s="75"/>
      <c r="XC30" s="75"/>
      <c r="XD30" s="75"/>
      <c r="XE30" s="75"/>
      <c r="XF30" s="75"/>
      <c r="XG30" s="75"/>
      <c r="XH30" s="75"/>
      <c r="XI30" s="75"/>
      <c r="XJ30" s="75"/>
      <c r="XK30" s="75"/>
      <c r="XL30" s="75"/>
      <c r="XM30" s="75"/>
      <c r="XN30" s="75"/>
      <c r="XO30" s="75"/>
      <c r="XP30" s="75"/>
      <c r="XQ30" s="75"/>
      <c r="XR30" s="75"/>
      <c r="XS30" s="75"/>
      <c r="XT30" s="75"/>
      <c r="XU30" s="75"/>
      <c r="XV30" s="75"/>
      <c r="XW30" s="75"/>
      <c r="XX30" s="75"/>
      <c r="XY30" s="75"/>
      <c r="XZ30" s="75"/>
      <c r="YA30" s="75"/>
      <c r="YB30" s="75"/>
      <c r="YC30" s="75"/>
      <c r="YD30" s="75"/>
      <c r="YE30" s="75"/>
      <c r="YF30" s="75"/>
      <c r="YG30" s="75"/>
      <c r="YH30" s="75"/>
      <c r="YI30" s="75"/>
      <c r="YJ30" s="75"/>
      <c r="YK30" s="75"/>
      <c r="YL30" s="75"/>
      <c r="YM30" s="75"/>
      <c r="YN30" s="75"/>
      <c r="YO30" s="75"/>
      <c r="YP30" s="75"/>
      <c r="YQ30" s="75"/>
      <c r="YR30" s="75"/>
      <c r="YS30" s="75"/>
      <c r="YT30" s="75"/>
      <c r="YU30" s="75"/>
      <c r="YV30" s="75"/>
      <c r="YW30" s="75"/>
      <c r="YX30" s="75"/>
      <c r="YY30" s="75"/>
      <c r="YZ30" s="75"/>
      <c r="ZA30" s="75"/>
      <c r="ZB30" s="75"/>
      <c r="ZC30" s="75"/>
      <c r="ZD30" s="75"/>
      <c r="ZE30" s="75"/>
      <c r="ZF30" s="75"/>
      <c r="ZG30" s="75"/>
      <c r="ZH30" s="75"/>
      <c r="ZI30" s="75"/>
      <c r="ZJ30" s="75"/>
      <c r="ZK30" s="75"/>
      <c r="ZL30" s="75"/>
      <c r="ZM30" s="75"/>
      <c r="ZN30" s="75"/>
      <c r="ZO30" s="75"/>
      <c r="ZP30" s="75"/>
      <c r="ZQ30" s="75"/>
      <c r="ZR30" s="75"/>
      <c r="ZS30" s="75"/>
      <c r="ZT30" s="75"/>
      <c r="ZU30" s="75"/>
      <c r="ZV30" s="75"/>
      <c r="ZW30" s="75"/>
      <c r="ZX30" s="75"/>
      <c r="ZY30" s="75"/>
      <c r="ZZ30" s="75"/>
      <c r="AAA30" s="75"/>
      <c r="AAB30" s="75"/>
      <c r="AAC30" s="75"/>
      <c r="AAD30" s="75"/>
      <c r="AAE30" s="75"/>
      <c r="AAF30" s="75"/>
      <c r="AAG30" s="75"/>
      <c r="AAH30" s="75"/>
      <c r="AAI30" s="75"/>
      <c r="AAJ30" s="75"/>
      <c r="AAK30" s="75"/>
      <c r="AAL30" s="75"/>
      <c r="AAM30" s="75"/>
      <c r="AAN30" s="75"/>
      <c r="AAO30" s="75"/>
      <c r="AAP30" s="75"/>
      <c r="AAQ30" s="75"/>
      <c r="AAR30" s="75"/>
      <c r="AAS30" s="75"/>
      <c r="AAT30" s="75"/>
      <c r="AAU30" s="75"/>
      <c r="AAV30" s="75"/>
      <c r="AAW30" s="75"/>
      <c r="AAX30" s="75"/>
      <c r="AAY30" s="75"/>
      <c r="AAZ30" s="75"/>
      <c r="ABA30" s="75"/>
      <c r="ABB30" s="75"/>
      <c r="ABC30" s="75"/>
    </row>
    <row r="31" spans="1:731">
      <c r="A31" s="75" t="s">
        <v>69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75"/>
      <c r="BL31" s="75"/>
      <c r="BM31" s="75"/>
      <c r="BN31" s="75"/>
      <c r="BO31" s="75"/>
      <c r="BP31" s="75"/>
      <c r="BQ31" s="75"/>
      <c r="BR31" s="75"/>
      <c r="BS31" s="75"/>
      <c r="BT31" s="75"/>
      <c r="BU31" s="75"/>
      <c r="BV31" s="75"/>
      <c r="BW31" s="75"/>
      <c r="BX31" s="75"/>
      <c r="BY31" s="75"/>
      <c r="BZ31" s="75"/>
      <c r="CA31" s="75"/>
      <c r="CB31" s="75"/>
      <c r="CC31" s="75"/>
      <c r="CD31" s="75"/>
      <c r="CE31" s="75"/>
      <c r="CF31" s="75"/>
      <c r="CG31" s="75"/>
      <c r="CH31" s="75"/>
      <c r="CI31" s="75"/>
      <c r="CJ31" s="75"/>
      <c r="CK31" s="75"/>
      <c r="CL31" s="75"/>
      <c r="CM31" s="75"/>
      <c r="CN31" s="75"/>
      <c r="CO31" s="75"/>
      <c r="CP31" s="75"/>
      <c r="CQ31" s="75"/>
      <c r="CR31" s="75"/>
      <c r="CS31" s="75"/>
      <c r="CT31" s="75"/>
      <c r="CU31" s="75"/>
      <c r="CV31" s="75"/>
      <c r="CW31" s="75"/>
      <c r="CX31" s="75"/>
      <c r="CY31" s="75"/>
      <c r="CZ31" s="75"/>
      <c r="DA31" s="75"/>
      <c r="DB31" s="75"/>
      <c r="DC31" s="75"/>
      <c r="DD31" s="75"/>
      <c r="DE31" s="75"/>
      <c r="DF31" s="75"/>
      <c r="DG31" s="75"/>
      <c r="DH31" s="75"/>
      <c r="DI31" s="75"/>
      <c r="DJ31" s="75"/>
      <c r="DK31" s="75"/>
      <c r="DL31" s="75"/>
      <c r="DM31" s="75"/>
      <c r="DN31" s="75"/>
      <c r="DO31" s="75"/>
      <c r="DP31" s="75"/>
      <c r="DQ31" s="75"/>
      <c r="DR31" s="75"/>
      <c r="DS31" s="75"/>
      <c r="DT31" s="75"/>
      <c r="DU31" s="75"/>
      <c r="DV31" s="75"/>
      <c r="DW31" s="75"/>
      <c r="DX31" s="75"/>
      <c r="DY31" s="75"/>
      <c r="DZ31" s="75"/>
      <c r="EA31" s="75"/>
      <c r="EB31" s="75"/>
      <c r="EC31" s="75"/>
      <c r="ED31" s="75"/>
      <c r="EE31" s="75"/>
      <c r="EF31" s="75"/>
      <c r="EG31" s="75"/>
      <c r="EH31" s="75"/>
      <c r="EI31" s="75"/>
      <c r="EJ31" s="75"/>
      <c r="EK31" s="75"/>
      <c r="EL31" s="75"/>
      <c r="EM31" s="75"/>
      <c r="EN31" s="75"/>
      <c r="EO31" s="75"/>
      <c r="EP31" s="75"/>
      <c r="EQ31" s="75"/>
      <c r="ER31" s="75"/>
      <c r="ES31" s="75"/>
      <c r="ET31" s="75"/>
      <c r="EU31" s="75"/>
      <c r="EV31" s="75"/>
      <c r="EW31" s="75"/>
      <c r="EX31" s="75"/>
      <c r="EY31" s="75"/>
      <c r="EZ31" s="75"/>
      <c r="FA31" s="75"/>
      <c r="FB31" s="75"/>
      <c r="FC31" s="75"/>
      <c r="FD31" s="75"/>
      <c r="FE31" s="75"/>
      <c r="FF31" s="75"/>
      <c r="FG31" s="75"/>
      <c r="FH31" s="75"/>
      <c r="FI31" s="75"/>
      <c r="FJ31" s="75"/>
      <c r="FK31" s="75"/>
      <c r="FL31" s="75"/>
      <c r="FM31" s="75"/>
      <c r="FN31" s="75"/>
      <c r="FO31" s="75"/>
      <c r="FP31" s="75"/>
      <c r="FQ31" s="75"/>
      <c r="FR31" s="75"/>
      <c r="FS31" s="75"/>
      <c r="FT31" s="75"/>
      <c r="FU31" s="75"/>
      <c r="FV31" s="75"/>
      <c r="FW31" s="75"/>
      <c r="FX31" s="75"/>
      <c r="FY31" s="75"/>
      <c r="FZ31" s="75"/>
      <c r="GA31" s="75"/>
      <c r="GB31" s="75"/>
      <c r="GC31" s="75"/>
      <c r="GD31" s="75"/>
      <c r="GE31" s="75"/>
      <c r="GF31" s="75"/>
      <c r="GG31" s="75"/>
      <c r="GH31" s="75"/>
      <c r="GI31" s="75"/>
      <c r="GJ31" s="75"/>
      <c r="GK31" s="75"/>
      <c r="GL31" s="75"/>
      <c r="GM31" s="75"/>
      <c r="GN31" s="75"/>
      <c r="GO31" s="75"/>
      <c r="GP31" s="75"/>
      <c r="GQ31" s="75"/>
      <c r="GR31" s="75"/>
      <c r="GS31" s="75"/>
      <c r="GT31" s="75"/>
      <c r="GU31" s="75"/>
      <c r="GV31" s="75"/>
      <c r="GW31" s="75"/>
      <c r="GX31" s="75"/>
      <c r="GY31" s="75"/>
      <c r="GZ31" s="75"/>
      <c r="HA31" s="75"/>
      <c r="HB31" s="75"/>
      <c r="HC31" s="75"/>
      <c r="HD31" s="75"/>
      <c r="HE31" s="75"/>
      <c r="HF31" s="75"/>
      <c r="HG31" s="75"/>
      <c r="HH31" s="75"/>
      <c r="HI31" s="75"/>
      <c r="HJ31" s="75"/>
      <c r="HK31" s="75"/>
      <c r="HL31" s="75"/>
      <c r="HM31" s="75"/>
      <c r="HN31" s="75"/>
      <c r="HO31" s="75"/>
      <c r="HP31" s="75"/>
      <c r="HQ31" s="75"/>
      <c r="HR31" s="75"/>
      <c r="HS31" s="75"/>
      <c r="HT31" s="75"/>
      <c r="HU31" s="75"/>
      <c r="HV31" s="75"/>
      <c r="HW31" s="75"/>
      <c r="HX31" s="75"/>
      <c r="HY31" s="75"/>
      <c r="HZ31" s="75"/>
      <c r="IA31" s="75"/>
      <c r="IB31" s="75"/>
      <c r="IC31" s="75"/>
      <c r="ID31" s="75"/>
      <c r="IE31" s="75"/>
      <c r="IF31" s="75"/>
      <c r="IG31" s="75"/>
      <c r="IH31" s="75"/>
      <c r="II31" s="75"/>
      <c r="IJ31" s="75"/>
      <c r="IK31" s="75"/>
      <c r="IL31" s="75"/>
      <c r="IM31" s="75"/>
      <c r="IN31" s="75"/>
      <c r="IO31" s="75"/>
      <c r="IP31" s="75"/>
      <c r="IQ31" s="75"/>
      <c r="IR31" s="75"/>
      <c r="IS31" s="75"/>
      <c r="IT31" s="75"/>
      <c r="IU31" s="75"/>
      <c r="IV31" s="75"/>
      <c r="IW31" s="75"/>
      <c r="IX31" s="75"/>
      <c r="IY31" s="75"/>
      <c r="IZ31" s="75"/>
      <c r="JA31" s="75"/>
      <c r="JB31" s="75"/>
      <c r="JC31" s="75"/>
      <c r="JD31" s="75"/>
      <c r="JE31" s="75"/>
      <c r="JF31" s="75"/>
      <c r="JG31" s="75"/>
      <c r="JH31" s="75"/>
      <c r="JI31" s="75"/>
      <c r="JJ31" s="75"/>
      <c r="JK31" s="75"/>
      <c r="JL31" s="75"/>
      <c r="JM31" s="75"/>
      <c r="JN31" s="75"/>
      <c r="JO31" s="75"/>
      <c r="JP31" s="75"/>
      <c r="JQ31" s="75"/>
      <c r="JR31" s="75"/>
      <c r="JS31" s="75"/>
      <c r="JT31" s="75"/>
      <c r="JU31" s="75"/>
      <c r="JV31" s="75"/>
      <c r="JW31" s="75"/>
      <c r="JX31" s="75"/>
      <c r="JY31" s="75"/>
      <c r="JZ31" s="75"/>
      <c r="KA31" s="75"/>
      <c r="KB31" s="75"/>
      <c r="KC31" s="75"/>
      <c r="KD31" s="75"/>
      <c r="KE31" s="75"/>
      <c r="KF31" s="75"/>
      <c r="KG31" s="75"/>
      <c r="KH31" s="75"/>
      <c r="KI31" s="75"/>
      <c r="KJ31" s="75"/>
      <c r="KK31" s="75"/>
      <c r="KL31" s="75"/>
      <c r="KM31" s="75"/>
      <c r="KN31" s="75"/>
      <c r="KO31" s="75"/>
      <c r="KP31" s="75"/>
      <c r="KQ31" s="75"/>
      <c r="KR31" s="75"/>
      <c r="KS31" s="75"/>
      <c r="KT31" s="75"/>
      <c r="KU31" s="75"/>
      <c r="KV31" s="75"/>
      <c r="KW31" s="75"/>
      <c r="KX31" s="75"/>
      <c r="KY31" s="75"/>
      <c r="KZ31" s="75"/>
      <c r="LA31" s="75"/>
      <c r="LB31" s="75"/>
      <c r="LC31" s="75"/>
      <c r="LD31" s="75"/>
      <c r="LE31" s="75"/>
      <c r="LF31" s="75"/>
      <c r="LG31" s="75"/>
      <c r="LH31" s="75"/>
      <c r="LI31" s="75"/>
      <c r="LJ31" s="75"/>
      <c r="LK31" s="75">
        <v>4</v>
      </c>
      <c r="LL31" s="75">
        <v>4</v>
      </c>
      <c r="LM31" s="75">
        <v>4</v>
      </c>
      <c r="LN31" s="75"/>
      <c r="LO31" s="75">
        <v>4</v>
      </c>
      <c r="LP31" s="75">
        <v>4</v>
      </c>
      <c r="LQ31" s="75">
        <v>4</v>
      </c>
      <c r="LR31" s="75">
        <v>4</v>
      </c>
      <c r="LS31" s="75">
        <v>4</v>
      </c>
      <c r="LT31" s="75">
        <v>8</v>
      </c>
      <c r="LU31" s="75"/>
      <c r="LV31" s="75">
        <v>8</v>
      </c>
      <c r="LW31" s="75">
        <v>4</v>
      </c>
      <c r="LX31" s="75">
        <v>4</v>
      </c>
      <c r="LY31" s="75">
        <v>4</v>
      </c>
      <c r="LZ31" s="75">
        <v>4</v>
      </c>
      <c r="MA31" s="75">
        <v>4</v>
      </c>
      <c r="MB31" s="75"/>
      <c r="MC31" s="75">
        <v>4</v>
      </c>
      <c r="MD31" s="75">
        <v>4</v>
      </c>
      <c r="ME31" s="75">
        <v>4</v>
      </c>
      <c r="MF31" s="75"/>
      <c r="MG31" s="75"/>
      <c r="MH31" s="75"/>
      <c r="MI31" s="75"/>
      <c r="MJ31" s="75"/>
      <c r="MK31" s="75"/>
      <c r="ML31" s="75"/>
      <c r="MM31" s="75"/>
      <c r="MN31" s="75"/>
      <c r="MO31" s="75">
        <v>6</v>
      </c>
      <c r="MP31" s="75"/>
      <c r="MQ31" s="75">
        <v>10</v>
      </c>
      <c r="MR31" s="75">
        <v>10</v>
      </c>
      <c r="MS31" s="75">
        <v>10</v>
      </c>
      <c r="MT31" s="75">
        <v>10</v>
      </c>
      <c r="MU31" s="75">
        <v>10</v>
      </c>
      <c r="MV31" s="75">
        <v>10</v>
      </c>
      <c r="MW31" s="75"/>
      <c r="MX31" s="75">
        <v>10</v>
      </c>
      <c r="MY31" s="75">
        <v>10</v>
      </c>
      <c r="MZ31" s="75">
        <v>10</v>
      </c>
      <c r="NA31" s="75">
        <v>4</v>
      </c>
      <c r="NB31" s="75"/>
      <c r="NC31" s="75"/>
      <c r="ND31" s="75"/>
      <c r="NE31" s="75"/>
      <c r="NF31" s="75"/>
      <c r="NG31" s="75"/>
      <c r="NH31" s="75"/>
      <c r="NI31" s="75">
        <v>6</v>
      </c>
      <c r="NJ31" s="75">
        <v>6</v>
      </c>
      <c r="NK31" s="75"/>
      <c r="NL31" s="75">
        <v>6</v>
      </c>
      <c r="NM31" s="75">
        <v>6</v>
      </c>
      <c r="NN31" s="75">
        <v>6</v>
      </c>
      <c r="NO31" s="75">
        <v>6</v>
      </c>
      <c r="NP31" s="75">
        <v>6</v>
      </c>
      <c r="NQ31" s="75">
        <v>6</v>
      </c>
      <c r="NR31" s="75"/>
      <c r="NS31" s="75">
        <v>6</v>
      </c>
      <c r="NT31" s="75">
        <v>12</v>
      </c>
      <c r="NU31" s="75">
        <v>6</v>
      </c>
      <c r="NV31" s="75">
        <v>6</v>
      </c>
      <c r="NW31" s="75">
        <v>6</v>
      </c>
      <c r="NX31" s="75">
        <v>6</v>
      </c>
      <c r="NY31" s="75"/>
      <c r="NZ31" s="75">
        <v>6</v>
      </c>
      <c r="OA31" s="75">
        <v>6</v>
      </c>
      <c r="OB31" s="75">
        <v>6</v>
      </c>
      <c r="OC31" s="75">
        <v>12</v>
      </c>
      <c r="OD31" s="75">
        <v>12</v>
      </c>
      <c r="OE31" s="75">
        <v>6</v>
      </c>
      <c r="OF31" s="75"/>
      <c r="OG31" s="75">
        <v>6</v>
      </c>
      <c r="OH31" s="75">
        <v>6</v>
      </c>
      <c r="OI31" s="75">
        <v>6</v>
      </c>
      <c r="OJ31" s="75">
        <v>6</v>
      </c>
      <c r="OK31" s="75">
        <v>6</v>
      </c>
      <c r="OL31" s="75">
        <v>6</v>
      </c>
      <c r="OM31" s="75"/>
      <c r="ON31" s="75">
        <v>6</v>
      </c>
      <c r="OO31" s="75"/>
      <c r="OP31" s="75"/>
      <c r="OQ31" s="75"/>
      <c r="OR31" s="75"/>
      <c r="OS31" s="75"/>
      <c r="OT31" s="75"/>
      <c r="OU31" s="75"/>
      <c r="OV31" s="75">
        <v>6</v>
      </c>
      <c r="OW31" s="75">
        <v>6</v>
      </c>
      <c r="OX31" s="75">
        <v>32</v>
      </c>
      <c r="OY31" s="75">
        <v>32</v>
      </c>
      <c r="OZ31" s="75">
        <v>32</v>
      </c>
      <c r="PA31" s="75"/>
      <c r="PB31" s="75">
        <v>32</v>
      </c>
      <c r="PC31" s="75">
        <v>32</v>
      </c>
      <c r="PD31" s="75">
        <v>38</v>
      </c>
      <c r="PE31" s="75">
        <v>62</v>
      </c>
      <c r="PF31" s="75">
        <v>62</v>
      </c>
      <c r="PG31" s="75">
        <v>56</v>
      </c>
      <c r="PH31" s="75"/>
      <c r="PI31" s="75">
        <v>56</v>
      </c>
      <c r="PJ31" s="75">
        <v>30</v>
      </c>
      <c r="PK31" s="75">
        <v>38</v>
      </c>
      <c r="PL31" s="75">
        <v>40</v>
      </c>
      <c r="PM31" s="75">
        <v>40</v>
      </c>
      <c r="PN31" s="75">
        <v>40</v>
      </c>
      <c r="PO31" s="75"/>
      <c r="PP31" s="75">
        <v>40</v>
      </c>
      <c r="PQ31" s="75">
        <v>20</v>
      </c>
      <c r="PR31" s="75">
        <v>20</v>
      </c>
      <c r="PS31" s="75">
        <v>20</v>
      </c>
      <c r="PT31" s="75">
        <v>20</v>
      </c>
      <c r="PU31" s="75">
        <v>34</v>
      </c>
      <c r="PV31" s="75"/>
      <c r="PW31" s="75">
        <v>30</v>
      </c>
      <c r="PX31" s="75">
        <v>30</v>
      </c>
      <c r="PY31" s="75">
        <v>30</v>
      </c>
      <c r="PZ31" s="75">
        <v>30</v>
      </c>
      <c r="QA31" s="75">
        <v>30</v>
      </c>
      <c r="QB31" s="75">
        <v>22</v>
      </c>
      <c r="QC31" s="75"/>
      <c r="QD31" s="75">
        <v>20</v>
      </c>
      <c r="QE31" s="75">
        <v>20</v>
      </c>
      <c r="QF31" s="75">
        <v>20</v>
      </c>
      <c r="QG31" s="75"/>
      <c r="QH31" s="75"/>
      <c r="QI31" s="75"/>
      <c r="QJ31" s="75"/>
      <c r="QK31" s="75"/>
      <c r="QL31" s="75"/>
      <c r="QM31" s="75"/>
      <c r="QN31" s="75"/>
      <c r="QO31" s="75"/>
      <c r="QP31" s="75"/>
      <c r="QQ31" s="75"/>
      <c r="QR31" s="75">
        <v>40</v>
      </c>
      <c r="QS31" s="75">
        <v>40</v>
      </c>
      <c r="QT31" s="75">
        <v>40</v>
      </c>
      <c r="QU31" s="75">
        <v>40</v>
      </c>
      <c r="QV31" s="75">
        <v>40</v>
      </c>
      <c r="QW31" s="75">
        <v>44</v>
      </c>
      <c r="QX31" s="75"/>
      <c r="QY31" s="75">
        <v>44</v>
      </c>
      <c r="QZ31" s="75">
        <v>46</v>
      </c>
      <c r="RA31" s="75">
        <v>58</v>
      </c>
      <c r="RB31" s="75">
        <v>58</v>
      </c>
      <c r="RC31" s="75">
        <v>64</v>
      </c>
      <c r="RD31" s="75">
        <v>68</v>
      </c>
      <c r="RE31" s="75"/>
      <c r="RF31" s="75">
        <v>68</v>
      </c>
      <c r="RG31" s="75">
        <v>78</v>
      </c>
      <c r="RH31" s="75">
        <v>78</v>
      </c>
      <c r="RI31" s="75">
        <v>40</v>
      </c>
      <c r="RJ31" s="75">
        <v>44</v>
      </c>
      <c r="RK31" s="75">
        <v>42</v>
      </c>
      <c r="RL31" s="75"/>
      <c r="RM31" s="75">
        <v>60</v>
      </c>
      <c r="RN31" s="75">
        <v>60</v>
      </c>
      <c r="RO31" s="75">
        <v>60</v>
      </c>
      <c r="RP31" s="75">
        <v>100</v>
      </c>
      <c r="RQ31" s="75">
        <v>100</v>
      </c>
      <c r="RR31" s="75">
        <v>90</v>
      </c>
      <c r="RS31" s="75"/>
      <c r="RT31" s="75">
        <v>90</v>
      </c>
      <c r="RU31" s="75">
        <v>124</v>
      </c>
      <c r="RV31" s="75">
        <v>120</v>
      </c>
      <c r="RW31" s="75">
        <v>120</v>
      </c>
      <c r="RX31" s="75">
        <v>110</v>
      </c>
      <c r="RY31" s="75">
        <v>120</v>
      </c>
      <c r="RZ31" s="75"/>
      <c r="SA31" s="75">
        <v>114</v>
      </c>
      <c r="SB31" s="75">
        <v>116</v>
      </c>
      <c r="SC31" s="75">
        <v>140</v>
      </c>
      <c r="SD31" s="75">
        <v>130</v>
      </c>
      <c r="SE31" s="75">
        <v>140</v>
      </c>
      <c r="SF31" s="75">
        <v>146</v>
      </c>
      <c r="SG31" s="75"/>
      <c r="SH31" s="75">
        <v>116</v>
      </c>
      <c r="SI31" s="75">
        <v>120</v>
      </c>
      <c r="SJ31" s="75">
        <v>130</v>
      </c>
      <c r="SK31" s="75">
        <v>150</v>
      </c>
      <c r="SL31" s="75">
        <v>126</v>
      </c>
      <c r="SM31" s="75">
        <v>130</v>
      </c>
      <c r="SN31" s="75"/>
      <c r="SO31" s="75">
        <v>124</v>
      </c>
      <c r="SP31" s="75">
        <v>148</v>
      </c>
      <c r="SQ31" s="75">
        <v>138</v>
      </c>
      <c r="SR31" s="75">
        <v>148</v>
      </c>
      <c r="SS31" s="75">
        <v>142</v>
      </c>
      <c r="ST31" s="75">
        <v>144</v>
      </c>
      <c r="SU31" s="75"/>
      <c r="SV31" s="75">
        <v>130</v>
      </c>
      <c r="SW31" s="75">
        <v>120</v>
      </c>
      <c r="SX31" s="75">
        <v>114</v>
      </c>
      <c r="SY31" s="75">
        <v>104</v>
      </c>
      <c r="SZ31" s="75">
        <v>94</v>
      </c>
      <c r="TA31" s="75">
        <v>80</v>
      </c>
      <c r="TB31" s="75"/>
      <c r="TC31" s="75">
        <v>64</v>
      </c>
      <c r="TD31" s="75">
        <v>48</v>
      </c>
      <c r="TE31" s="75">
        <v>44</v>
      </c>
      <c r="TF31" s="75">
        <v>38</v>
      </c>
      <c r="TG31" s="75">
        <v>14</v>
      </c>
      <c r="TH31" s="75">
        <v>14</v>
      </c>
      <c r="TI31" s="75"/>
      <c r="TJ31" s="75">
        <v>8</v>
      </c>
      <c r="TK31" s="75">
        <v>8</v>
      </c>
      <c r="TL31" s="75">
        <v>12</v>
      </c>
      <c r="TM31" s="75">
        <v>12</v>
      </c>
      <c r="TN31" s="75">
        <v>8</v>
      </c>
      <c r="TO31" s="75">
        <v>8</v>
      </c>
      <c r="TP31" s="75"/>
      <c r="TQ31" s="75"/>
      <c r="TR31" s="75"/>
      <c r="TS31" s="75"/>
      <c r="TT31" s="75"/>
      <c r="TU31" s="75"/>
      <c r="TV31" s="75"/>
      <c r="TW31" s="75"/>
      <c r="TX31" s="75">
        <v>2</v>
      </c>
      <c r="TY31" s="75">
        <v>2</v>
      </c>
      <c r="TZ31" s="75">
        <v>2</v>
      </c>
      <c r="UA31" s="75">
        <v>2</v>
      </c>
      <c r="UB31" s="75">
        <v>2</v>
      </c>
      <c r="UC31" s="75">
        <v>2</v>
      </c>
      <c r="UD31" s="75"/>
      <c r="UE31" s="75">
        <v>2</v>
      </c>
      <c r="UF31" s="75">
        <v>2</v>
      </c>
      <c r="UG31" s="75">
        <v>4</v>
      </c>
      <c r="UH31" s="75">
        <v>4</v>
      </c>
      <c r="UI31" s="75">
        <v>2</v>
      </c>
      <c r="UJ31" s="75">
        <v>2</v>
      </c>
      <c r="UK31" s="75"/>
      <c r="UL31" s="75"/>
      <c r="UM31" s="75"/>
      <c r="UN31" s="75"/>
      <c r="UO31" s="75"/>
      <c r="UP31" s="75"/>
      <c r="UQ31" s="75"/>
      <c r="UR31" s="75"/>
      <c r="US31" s="75"/>
      <c r="UT31" s="75"/>
      <c r="UU31" s="75"/>
      <c r="UV31" s="75"/>
      <c r="UW31" s="75"/>
      <c r="UX31" s="75"/>
      <c r="UY31" s="75"/>
      <c r="UZ31" s="75"/>
      <c r="VA31" s="75"/>
      <c r="VB31" s="75"/>
      <c r="VC31" s="75"/>
      <c r="VD31" s="75"/>
      <c r="VE31" s="75"/>
      <c r="VF31" s="75"/>
      <c r="VG31" s="75"/>
      <c r="VH31" s="75"/>
      <c r="VI31" s="75"/>
      <c r="VJ31" s="75"/>
      <c r="VK31" s="75"/>
      <c r="VL31" s="75"/>
      <c r="VM31" s="75"/>
      <c r="VN31" s="75"/>
      <c r="VO31" s="75"/>
      <c r="VP31" s="75"/>
      <c r="VQ31" s="75"/>
      <c r="VR31" s="75"/>
      <c r="VS31" s="75"/>
      <c r="VT31" s="75"/>
      <c r="VU31" s="75"/>
      <c r="VV31" s="75"/>
      <c r="VW31" s="75"/>
      <c r="VX31" s="75"/>
      <c r="VY31" s="75"/>
      <c r="VZ31" s="75"/>
      <c r="WA31" s="75"/>
      <c r="WB31" s="75"/>
      <c r="WC31" s="75"/>
      <c r="WD31" s="75"/>
      <c r="WE31" s="75"/>
      <c r="WF31" s="75"/>
      <c r="WG31" s="75"/>
      <c r="WH31" s="75"/>
      <c r="WI31" s="75"/>
      <c r="WJ31" s="75"/>
      <c r="WK31" s="75"/>
      <c r="WL31" s="75"/>
      <c r="WM31" s="75"/>
      <c r="WN31" s="75"/>
      <c r="WO31" s="75"/>
      <c r="WP31" s="75"/>
      <c r="WQ31" s="75"/>
      <c r="WR31" s="75"/>
      <c r="WS31" s="75"/>
      <c r="WT31" s="75"/>
      <c r="WU31" s="75"/>
      <c r="WV31" s="75"/>
      <c r="WW31" s="75"/>
      <c r="WX31" s="75"/>
      <c r="WY31" s="75"/>
      <c r="WZ31" s="75"/>
      <c r="XA31" s="75"/>
      <c r="XB31" s="75"/>
      <c r="XC31" s="75"/>
      <c r="XD31" s="75"/>
      <c r="XE31" s="75"/>
      <c r="XF31" s="75"/>
      <c r="XG31" s="75"/>
      <c r="XH31" s="75"/>
      <c r="XI31" s="75"/>
      <c r="XJ31" s="75"/>
      <c r="XK31" s="75"/>
      <c r="XL31" s="75"/>
      <c r="XM31" s="75"/>
      <c r="XN31" s="75"/>
      <c r="XO31" s="75"/>
      <c r="XP31" s="75"/>
      <c r="XQ31" s="75"/>
      <c r="XR31" s="75"/>
      <c r="XS31" s="75"/>
      <c r="XT31" s="75"/>
      <c r="XU31" s="75"/>
      <c r="XV31" s="75"/>
      <c r="XW31" s="75"/>
      <c r="XX31" s="75"/>
      <c r="XY31" s="75"/>
      <c r="XZ31" s="75"/>
      <c r="YA31" s="75"/>
      <c r="YB31" s="75"/>
      <c r="YC31" s="75"/>
      <c r="YD31" s="75"/>
      <c r="YE31" s="75"/>
      <c r="YF31" s="75"/>
      <c r="YG31" s="75"/>
      <c r="YH31" s="75"/>
      <c r="YI31" s="75"/>
      <c r="YJ31" s="75"/>
      <c r="YK31" s="75"/>
      <c r="YL31" s="75"/>
      <c r="YM31" s="75"/>
      <c r="YN31" s="75"/>
      <c r="YO31" s="75"/>
      <c r="YP31" s="75"/>
      <c r="YQ31" s="75"/>
      <c r="YR31" s="75"/>
      <c r="YS31" s="75"/>
      <c r="YT31" s="75"/>
      <c r="YU31" s="75"/>
      <c r="YV31" s="75"/>
      <c r="YW31" s="75"/>
      <c r="YX31" s="75"/>
      <c r="YY31" s="75"/>
      <c r="YZ31" s="75"/>
      <c r="ZA31" s="75"/>
      <c r="ZB31" s="75"/>
      <c r="ZC31" s="75"/>
      <c r="ZD31" s="75"/>
      <c r="ZE31" s="75"/>
      <c r="ZF31" s="75"/>
      <c r="ZG31" s="75"/>
      <c r="ZH31" s="75"/>
      <c r="ZI31" s="75"/>
      <c r="ZJ31" s="75"/>
      <c r="ZK31" s="75"/>
      <c r="ZL31" s="75"/>
      <c r="ZM31" s="75"/>
      <c r="ZN31" s="75"/>
      <c r="ZO31" s="75"/>
      <c r="ZP31" s="75"/>
      <c r="ZQ31" s="75"/>
      <c r="ZR31" s="75"/>
      <c r="ZS31" s="75"/>
      <c r="ZT31" s="75"/>
      <c r="ZU31" s="75"/>
      <c r="ZV31" s="75"/>
      <c r="ZW31" s="75"/>
      <c r="ZX31" s="75"/>
      <c r="ZY31" s="75"/>
      <c r="ZZ31" s="75"/>
      <c r="AAA31" s="75"/>
      <c r="AAB31" s="75"/>
      <c r="AAC31" s="75"/>
      <c r="AAD31" s="75"/>
      <c r="AAE31" s="75"/>
      <c r="AAF31" s="75"/>
      <c r="AAG31" s="75"/>
      <c r="AAH31" s="75"/>
      <c r="AAI31" s="75"/>
      <c r="AAJ31" s="75"/>
      <c r="AAK31" s="75"/>
      <c r="AAL31" s="75"/>
      <c r="AAM31" s="75"/>
      <c r="AAN31" s="75"/>
      <c r="AAO31" s="75"/>
      <c r="AAP31" s="75"/>
      <c r="AAQ31" s="75"/>
      <c r="AAR31" s="75"/>
      <c r="AAS31" s="75"/>
      <c r="AAT31" s="75"/>
      <c r="AAU31" s="75"/>
      <c r="AAV31" s="75"/>
      <c r="AAW31" s="75"/>
      <c r="AAX31" s="75"/>
      <c r="AAY31" s="75"/>
      <c r="AAZ31" s="75"/>
      <c r="ABA31" s="75"/>
      <c r="ABB31" s="75"/>
      <c r="ABC31" s="75"/>
    </row>
    <row r="32" spans="1:731">
      <c r="A32" s="75" t="s">
        <v>70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5"/>
      <c r="BF32" s="75"/>
      <c r="BG32" s="75"/>
      <c r="BH32" s="75"/>
      <c r="BI32" s="75"/>
      <c r="BJ32" s="75"/>
      <c r="BK32" s="75"/>
      <c r="BL32" s="75"/>
      <c r="BM32" s="75"/>
      <c r="BN32" s="75"/>
      <c r="BO32" s="75"/>
      <c r="BP32" s="75"/>
      <c r="BQ32" s="75"/>
      <c r="BR32" s="75"/>
      <c r="BS32" s="75"/>
      <c r="BT32" s="75"/>
      <c r="BU32" s="75"/>
      <c r="BV32" s="75"/>
      <c r="BW32" s="75"/>
      <c r="BX32" s="75"/>
      <c r="BY32" s="75"/>
      <c r="BZ32" s="75">
        <v>8</v>
      </c>
      <c r="CA32" s="75">
        <v>8</v>
      </c>
      <c r="CB32" s="75"/>
      <c r="CC32" s="75"/>
      <c r="CD32" s="75"/>
      <c r="CE32" s="75"/>
      <c r="CF32" s="75"/>
      <c r="CG32" s="75"/>
      <c r="CH32" s="75"/>
      <c r="CI32" s="75"/>
      <c r="CJ32" s="75"/>
      <c r="CK32" s="75">
        <v>8</v>
      </c>
      <c r="CL32" s="75">
        <v>8</v>
      </c>
      <c r="CM32" s="75"/>
      <c r="CN32" s="75"/>
      <c r="CO32" s="75"/>
      <c r="CP32" s="75"/>
      <c r="CQ32" s="75"/>
      <c r="CR32" s="75"/>
      <c r="CS32" s="75"/>
      <c r="CT32" s="75"/>
      <c r="CU32" s="75"/>
      <c r="CV32" s="75"/>
      <c r="CW32" s="75"/>
      <c r="CX32" s="75"/>
      <c r="CY32" s="75"/>
      <c r="CZ32" s="75"/>
      <c r="DA32" s="75"/>
      <c r="DB32" s="75"/>
      <c r="DC32" s="75"/>
      <c r="DD32" s="75"/>
      <c r="DE32" s="75"/>
      <c r="DF32" s="75">
        <v>10</v>
      </c>
      <c r="DG32" s="75">
        <v>10</v>
      </c>
      <c r="DH32" s="75">
        <v>2</v>
      </c>
      <c r="DI32" s="75">
        <v>2</v>
      </c>
      <c r="DJ32" s="75">
        <v>2</v>
      </c>
      <c r="DK32" s="75">
        <v>2</v>
      </c>
      <c r="DL32" s="75"/>
      <c r="DM32" s="75">
        <v>4</v>
      </c>
      <c r="DN32" s="75">
        <v>4</v>
      </c>
      <c r="DO32" s="75">
        <v>4</v>
      </c>
      <c r="DP32" s="75">
        <v>4</v>
      </c>
      <c r="DQ32" s="75">
        <v>4</v>
      </c>
      <c r="DR32" s="75">
        <v>4</v>
      </c>
      <c r="DS32" s="75"/>
      <c r="DT32" s="75">
        <v>4</v>
      </c>
      <c r="DU32" s="75">
        <v>4</v>
      </c>
      <c r="DV32" s="75">
        <v>2</v>
      </c>
      <c r="DW32" s="75">
        <v>2</v>
      </c>
      <c r="DX32" s="75">
        <v>2</v>
      </c>
      <c r="DY32" s="75">
        <v>2</v>
      </c>
      <c r="DZ32" s="75"/>
      <c r="EA32" s="75">
        <v>2</v>
      </c>
      <c r="EB32" s="75">
        <v>2</v>
      </c>
      <c r="EC32" s="75"/>
      <c r="ED32" s="75"/>
      <c r="EE32" s="75"/>
      <c r="EF32" s="75"/>
      <c r="EG32" s="75"/>
      <c r="EH32" s="75"/>
      <c r="EI32" s="75">
        <v>8</v>
      </c>
      <c r="EJ32" s="75">
        <v>8</v>
      </c>
      <c r="EK32" s="75">
        <v>8</v>
      </c>
      <c r="EL32" s="75"/>
      <c r="EM32" s="75"/>
      <c r="EN32" s="75"/>
      <c r="EO32" s="75"/>
      <c r="EP32" s="75"/>
      <c r="EQ32" s="75"/>
      <c r="ER32" s="75">
        <v>8</v>
      </c>
      <c r="ES32" s="75">
        <v>8</v>
      </c>
      <c r="ET32" s="75">
        <v>8</v>
      </c>
      <c r="EU32" s="75"/>
      <c r="EV32" s="75"/>
      <c r="EW32" s="75"/>
      <c r="EX32" s="75"/>
      <c r="EY32" s="75"/>
      <c r="EZ32" s="75"/>
      <c r="FA32" s="75"/>
      <c r="FB32" s="75"/>
      <c r="FC32" s="75"/>
      <c r="FD32" s="75"/>
      <c r="FE32" s="75"/>
      <c r="FF32" s="75"/>
      <c r="FG32" s="75"/>
      <c r="FH32" s="75">
        <v>12</v>
      </c>
      <c r="FI32" s="75"/>
      <c r="FJ32" s="75">
        <v>12</v>
      </c>
      <c r="FK32" s="75">
        <v>20</v>
      </c>
      <c r="FL32" s="75">
        <v>20</v>
      </c>
      <c r="FM32" s="75">
        <v>20</v>
      </c>
      <c r="FN32" s="75">
        <v>12</v>
      </c>
      <c r="FO32" s="75">
        <v>12</v>
      </c>
      <c r="FP32" s="75"/>
      <c r="FQ32" s="75">
        <v>12</v>
      </c>
      <c r="FR32" s="75">
        <v>12</v>
      </c>
      <c r="FS32" s="75">
        <v>12</v>
      </c>
      <c r="FT32" s="75">
        <v>8</v>
      </c>
      <c r="FU32" s="75">
        <v>8</v>
      </c>
      <c r="FV32" s="75"/>
      <c r="FW32" s="75"/>
      <c r="FX32" s="75"/>
      <c r="FY32" s="75"/>
      <c r="FZ32" s="75"/>
      <c r="GA32" s="75"/>
      <c r="GB32" s="75">
        <v>8</v>
      </c>
      <c r="GC32" s="75">
        <v>8</v>
      </c>
      <c r="GD32" s="75"/>
      <c r="GE32" s="75"/>
      <c r="GF32" s="75"/>
      <c r="GG32" s="75"/>
      <c r="GH32" s="75">
        <v>4</v>
      </c>
      <c r="GI32" s="75">
        <v>4</v>
      </c>
      <c r="GJ32" s="75">
        <v>4</v>
      </c>
      <c r="GK32" s="75"/>
      <c r="GL32" s="75">
        <v>4</v>
      </c>
      <c r="GM32" s="75"/>
      <c r="GN32" s="75"/>
      <c r="GO32" s="75"/>
      <c r="GP32" s="75"/>
      <c r="GQ32" s="75"/>
      <c r="GR32" s="75"/>
      <c r="GS32" s="75"/>
      <c r="GT32" s="75"/>
      <c r="GU32" s="75"/>
      <c r="GV32" s="75"/>
      <c r="GW32" s="75"/>
      <c r="GX32" s="75"/>
      <c r="GY32" s="75"/>
      <c r="GZ32" s="75">
        <v>16</v>
      </c>
      <c r="HA32" s="75">
        <v>16</v>
      </c>
      <c r="HB32" s="75"/>
      <c r="HC32" s="75"/>
      <c r="HD32" s="75"/>
      <c r="HE32" s="75"/>
      <c r="HF32" s="75"/>
      <c r="HG32" s="75"/>
      <c r="HH32" s="75"/>
      <c r="HI32" s="75"/>
      <c r="HJ32" s="75"/>
      <c r="HK32" s="75"/>
      <c r="HL32" s="75"/>
      <c r="HM32" s="75"/>
      <c r="HN32" s="75"/>
      <c r="HO32" s="75"/>
      <c r="HP32" s="75"/>
      <c r="HQ32" s="75"/>
      <c r="HR32" s="75"/>
      <c r="HS32" s="75"/>
      <c r="HT32" s="75"/>
      <c r="HU32" s="75"/>
      <c r="HV32" s="75">
        <v>8</v>
      </c>
      <c r="HW32" s="75">
        <v>8</v>
      </c>
      <c r="HX32" s="75">
        <v>8</v>
      </c>
      <c r="HY32" s="75">
        <v>8</v>
      </c>
      <c r="HZ32" s="75"/>
      <c r="IA32" s="75"/>
      <c r="IB32" s="75"/>
      <c r="IC32" s="75"/>
      <c r="ID32" s="75"/>
      <c r="IE32" s="75"/>
      <c r="IF32" s="75"/>
      <c r="IG32" s="75"/>
      <c r="IH32" s="75"/>
      <c r="II32" s="75"/>
      <c r="IJ32" s="75"/>
      <c r="IK32" s="75"/>
      <c r="IL32" s="75"/>
      <c r="IM32" s="75"/>
      <c r="IN32" s="75"/>
      <c r="IO32" s="75"/>
      <c r="IP32" s="75"/>
      <c r="IQ32" s="75"/>
      <c r="IR32" s="75"/>
      <c r="IS32" s="75"/>
      <c r="IT32" s="75"/>
      <c r="IU32" s="75"/>
      <c r="IV32" s="75"/>
      <c r="IW32" s="75"/>
      <c r="IX32" s="75"/>
      <c r="IY32" s="75"/>
      <c r="IZ32" s="75"/>
      <c r="JA32" s="75"/>
      <c r="JB32" s="75"/>
      <c r="JC32" s="75"/>
      <c r="JD32" s="75"/>
      <c r="JE32" s="75"/>
      <c r="JF32" s="75"/>
      <c r="JG32" s="75"/>
      <c r="JH32" s="75"/>
      <c r="JI32" s="75"/>
      <c r="JJ32" s="75"/>
      <c r="JK32" s="75"/>
      <c r="JL32" s="75"/>
      <c r="JM32" s="75"/>
      <c r="JN32" s="75"/>
      <c r="JO32" s="75"/>
      <c r="JP32" s="75"/>
      <c r="JQ32" s="75"/>
      <c r="JR32" s="75"/>
      <c r="JS32" s="75"/>
      <c r="JT32" s="75"/>
      <c r="JU32" s="75"/>
      <c r="JV32" s="75"/>
      <c r="JW32" s="75"/>
      <c r="JX32" s="75"/>
      <c r="JY32" s="75"/>
      <c r="JZ32" s="75"/>
      <c r="KA32" s="75"/>
      <c r="KB32" s="75"/>
      <c r="KC32" s="75"/>
      <c r="KD32" s="75"/>
      <c r="KE32" s="75"/>
      <c r="KF32" s="75"/>
      <c r="KG32" s="75"/>
      <c r="KH32" s="75"/>
      <c r="KI32" s="75"/>
      <c r="KJ32" s="75"/>
      <c r="KK32" s="75"/>
      <c r="KL32" s="75"/>
      <c r="KM32" s="75"/>
      <c r="KN32" s="75"/>
      <c r="KO32" s="75"/>
      <c r="KP32" s="75"/>
      <c r="KQ32" s="75"/>
      <c r="KR32" s="75"/>
      <c r="KS32" s="75"/>
      <c r="KT32" s="75"/>
      <c r="KU32" s="75"/>
      <c r="KV32" s="75"/>
      <c r="KW32" s="75"/>
      <c r="KX32" s="75"/>
      <c r="KY32" s="75"/>
      <c r="KZ32" s="75"/>
      <c r="LA32" s="75"/>
      <c r="LB32" s="75"/>
      <c r="LC32" s="75"/>
      <c r="LD32" s="75"/>
      <c r="LE32" s="75"/>
      <c r="LF32" s="75"/>
      <c r="LG32" s="75"/>
      <c r="LH32" s="75"/>
      <c r="LI32" s="75"/>
      <c r="LJ32" s="75"/>
      <c r="LK32" s="75"/>
      <c r="LL32" s="75"/>
      <c r="LM32" s="75"/>
      <c r="LN32" s="75"/>
      <c r="LO32" s="75"/>
      <c r="LP32" s="75"/>
      <c r="LQ32" s="75"/>
      <c r="LR32" s="75"/>
      <c r="LS32" s="75"/>
      <c r="LT32" s="75"/>
      <c r="LU32" s="75"/>
      <c r="LV32" s="75"/>
      <c r="LW32" s="75"/>
      <c r="LX32" s="75"/>
      <c r="LY32" s="75"/>
      <c r="LZ32" s="75"/>
      <c r="MA32" s="75"/>
      <c r="MB32" s="75"/>
      <c r="MC32" s="75"/>
      <c r="MD32" s="75"/>
      <c r="ME32" s="75"/>
      <c r="MF32" s="75"/>
      <c r="MG32" s="75"/>
      <c r="MH32" s="75"/>
      <c r="MI32" s="75"/>
      <c r="MJ32" s="75"/>
      <c r="MK32" s="75"/>
      <c r="ML32" s="75"/>
      <c r="MM32" s="75"/>
      <c r="MN32" s="75"/>
      <c r="MO32" s="75"/>
      <c r="MP32" s="75"/>
      <c r="MQ32" s="75"/>
      <c r="MR32" s="75"/>
      <c r="MS32" s="75"/>
      <c r="MT32" s="75"/>
      <c r="MU32" s="75"/>
      <c r="MV32" s="75"/>
      <c r="MW32" s="75"/>
      <c r="MX32" s="75"/>
      <c r="MY32" s="75"/>
      <c r="MZ32" s="75"/>
      <c r="NA32" s="75"/>
      <c r="NB32" s="75"/>
      <c r="NC32" s="75"/>
      <c r="ND32" s="75"/>
      <c r="NE32" s="75"/>
      <c r="NF32" s="75"/>
      <c r="NG32" s="75"/>
      <c r="NH32" s="75"/>
      <c r="NI32" s="75"/>
      <c r="NJ32" s="75"/>
      <c r="NK32" s="75"/>
      <c r="NL32" s="75"/>
      <c r="NM32" s="75"/>
      <c r="NN32" s="75"/>
      <c r="NO32" s="75"/>
      <c r="NP32" s="75"/>
      <c r="NQ32" s="75"/>
      <c r="NR32" s="75"/>
      <c r="NS32" s="75"/>
      <c r="NT32" s="75"/>
      <c r="NU32" s="75"/>
      <c r="NV32" s="75"/>
      <c r="NW32" s="75"/>
      <c r="NX32" s="75"/>
      <c r="NY32" s="75"/>
      <c r="NZ32" s="75"/>
      <c r="OA32" s="75"/>
      <c r="OB32" s="75"/>
      <c r="OC32" s="75"/>
      <c r="OD32" s="75"/>
      <c r="OE32" s="75"/>
      <c r="OF32" s="75"/>
      <c r="OG32" s="75"/>
      <c r="OH32" s="75"/>
      <c r="OI32" s="75"/>
      <c r="OJ32" s="75"/>
      <c r="OK32" s="75"/>
      <c r="OL32" s="75"/>
      <c r="OM32" s="75"/>
      <c r="ON32" s="75"/>
      <c r="OO32" s="75"/>
      <c r="OP32" s="75"/>
      <c r="OQ32" s="75"/>
      <c r="OR32" s="75"/>
      <c r="OS32" s="75"/>
      <c r="OT32" s="75"/>
      <c r="OU32" s="75"/>
      <c r="OV32" s="75"/>
      <c r="OW32" s="75"/>
      <c r="OX32" s="75"/>
      <c r="OY32" s="75"/>
      <c r="OZ32" s="75"/>
      <c r="PA32" s="75"/>
      <c r="PB32" s="75"/>
      <c r="PC32" s="75"/>
      <c r="PD32" s="75"/>
      <c r="PE32" s="75"/>
      <c r="PF32" s="75"/>
      <c r="PG32" s="75"/>
      <c r="PH32" s="75"/>
      <c r="PI32" s="75"/>
      <c r="PJ32" s="75"/>
      <c r="PK32" s="75"/>
      <c r="PL32" s="75"/>
      <c r="PM32" s="75"/>
      <c r="PN32" s="75"/>
      <c r="PO32" s="75"/>
      <c r="PP32" s="75"/>
      <c r="PQ32" s="75"/>
      <c r="PR32" s="75"/>
      <c r="PS32" s="75"/>
      <c r="PT32" s="75"/>
      <c r="PU32" s="75"/>
      <c r="PV32" s="75"/>
      <c r="PW32" s="75"/>
      <c r="PX32" s="75"/>
      <c r="PY32" s="75"/>
      <c r="PZ32" s="75"/>
      <c r="QA32" s="75"/>
      <c r="QB32" s="75"/>
      <c r="QC32" s="75"/>
      <c r="QD32" s="75"/>
      <c r="QE32" s="75"/>
      <c r="QF32" s="75"/>
      <c r="QG32" s="75"/>
      <c r="QH32" s="75"/>
      <c r="QI32" s="75"/>
      <c r="QJ32" s="75"/>
      <c r="QK32" s="75"/>
      <c r="QL32" s="75"/>
      <c r="QM32" s="75"/>
      <c r="QN32" s="75"/>
      <c r="QO32" s="75"/>
      <c r="QP32" s="75"/>
      <c r="QQ32" s="75"/>
      <c r="QR32" s="75"/>
      <c r="QS32" s="75"/>
      <c r="QT32" s="75"/>
      <c r="QU32" s="75"/>
      <c r="QV32" s="75"/>
      <c r="QW32" s="75"/>
      <c r="QX32" s="75"/>
      <c r="QY32" s="75"/>
      <c r="QZ32" s="75"/>
      <c r="RA32" s="75"/>
      <c r="RB32" s="75"/>
      <c r="RC32" s="75"/>
      <c r="RD32" s="75"/>
      <c r="RE32" s="75"/>
      <c r="RF32" s="75"/>
      <c r="RG32" s="75"/>
      <c r="RH32" s="75"/>
      <c r="RI32" s="75"/>
      <c r="RJ32" s="75"/>
      <c r="RK32" s="75"/>
      <c r="RL32" s="75"/>
      <c r="RM32" s="75"/>
      <c r="RN32" s="75"/>
      <c r="RO32" s="75"/>
      <c r="RP32" s="75"/>
      <c r="RQ32" s="75"/>
      <c r="RR32" s="75"/>
      <c r="RS32" s="75"/>
      <c r="RT32" s="75"/>
      <c r="RU32" s="75"/>
      <c r="RV32" s="75"/>
      <c r="RW32" s="75"/>
      <c r="RX32" s="75"/>
      <c r="RY32" s="75"/>
      <c r="RZ32" s="75"/>
      <c r="SA32" s="75"/>
      <c r="SB32" s="75"/>
      <c r="SC32" s="75"/>
      <c r="SD32" s="75"/>
      <c r="SE32" s="75"/>
      <c r="SF32" s="75"/>
      <c r="SG32" s="75"/>
      <c r="SH32" s="75"/>
      <c r="SI32" s="75"/>
      <c r="SJ32" s="75"/>
      <c r="SK32" s="75"/>
      <c r="SL32" s="75"/>
      <c r="SM32" s="75"/>
      <c r="SN32" s="75"/>
      <c r="SO32" s="75"/>
      <c r="SP32" s="75"/>
      <c r="SQ32" s="75"/>
      <c r="SR32" s="75"/>
      <c r="SS32" s="75"/>
      <c r="ST32" s="75"/>
      <c r="SU32" s="75"/>
      <c r="SV32" s="75"/>
      <c r="SW32" s="75"/>
      <c r="SX32" s="75"/>
      <c r="SY32" s="75"/>
      <c r="SZ32" s="75"/>
      <c r="TA32" s="75"/>
      <c r="TB32" s="75"/>
      <c r="TC32" s="75"/>
      <c r="TD32" s="75"/>
      <c r="TE32" s="75"/>
      <c r="TF32" s="75"/>
      <c r="TG32" s="75"/>
      <c r="TH32" s="75"/>
      <c r="TI32" s="75"/>
      <c r="TJ32" s="75"/>
      <c r="TK32" s="75"/>
      <c r="TL32" s="75"/>
      <c r="TM32" s="75"/>
      <c r="TN32" s="75"/>
      <c r="TO32" s="75"/>
      <c r="TP32" s="75"/>
      <c r="TQ32" s="75"/>
      <c r="TR32" s="75"/>
      <c r="TS32" s="75"/>
      <c r="TT32" s="75"/>
      <c r="TU32" s="75"/>
      <c r="TV32" s="75"/>
      <c r="TW32" s="75"/>
      <c r="TX32" s="75"/>
      <c r="TY32" s="75"/>
      <c r="TZ32" s="75"/>
      <c r="UA32" s="75"/>
      <c r="UB32" s="75"/>
      <c r="UC32" s="75"/>
      <c r="UD32" s="75"/>
      <c r="UE32" s="75"/>
      <c r="UF32" s="75"/>
      <c r="UG32" s="75"/>
      <c r="UH32" s="75"/>
      <c r="UI32" s="75"/>
      <c r="UJ32" s="75"/>
      <c r="UK32" s="75"/>
      <c r="UL32" s="75"/>
      <c r="UM32" s="75"/>
      <c r="UN32" s="75"/>
      <c r="UO32" s="75"/>
      <c r="UP32" s="75"/>
      <c r="UQ32" s="75"/>
      <c r="UR32" s="75"/>
      <c r="US32" s="75"/>
      <c r="UT32" s="75"/>
      <c r="UU32" s="75"/>
      <c r="UV32" s="75"/>
      <c r="UW32" s="75"/>
      <c r="UX32" s="75"/>
      <c r="UY32" s="75"/>
      <c r="UZ32" s="75"/>
      <c r="VA32" s="75"/>
      <c r="VB32" s="75"/>
      <c r="VC32" s="75"/>
      <c r="VD32" s="75"/>
      <c r="VE32" s="75"/>
      <c r="VF32" s="75"/>
      <c r="VG32" s="75"/>
      <c r="VH32" s="75"/>
      <c r="VI32" s="75"/>
      <c r="VJ32" s="75"/>
      <c r="VK32" s="75"/>
      <c r="VL32" s="75"/>
      <c r="VM32" s="75"/>
      <c r="VN32" s="75"/>
      <c r="VO32" s="75"/>
      <c r="VP32" s="75"/>
      <c r="VQ32" s="75"/>
      <c r="VR32" s="75"/>
      <c r="VS32" s="75"/>
      <c r="VT32" s="75"/>
      <c r="VU32" s="75"/>
      <c r="VV32" s="75"/>
      <c r="VW32" s="75"/>
      <c r="VX32" s="75"/>
      <c r="VY32" s="75"/>
      <c r="VZ32" s="75"/>
      <c r="WA32" s="75"/>
      <c r="WB32" s="75"/>
      <c r="WC32" s="75"/>
      <c r="WD32" s="75"/>
      <c r="WE32" s="75"/>
      <c r="WF32" s="75"/>
      <c r="WG32" s="75"/>
      <c r="WH32" s="75"/>
      <c r="WI32" s="75"/>
      <c r="WJ32" s="75"/>
      <c r="WK32" s="75"/>
      <c r="WL32" s="75"/>
      <c r="WM32" s="75"/>
      <c r="WN32" s="75"/>
      <c r="WO32" s="75"/>
      <c r="WP32" s="75"/>
      <c r="WQ32" s="75"/>
      <c r="WR32" s="75"/>
      <c r="WS32" s="75"/>
      <c r="WT32" s="75"/>
      <c r="WU32" s="75"/>
      <c r="WV32" s="75"/>
      <c r="WW32" s="75"/>
      <c r="WX32" s="75"/>
      <c r="WY32" s="75"/>
      <c r="WZ32" s="75"/>
      <c r="XA32" s="75"/>
      <c r="XB32" s="75"/>
      <c r="XC32" s="75"/>
      <c r="XD32" s="75"/>
      <c r="XE32" s="75"/>
      <c r="XF32" s="75"/>
      <c r="XG32" s="75"/>
      <c r="XH32" s="75"/>
      <c r="XI32" s="75"/>
      <c r="XJ32" s="75"/>
      <c r="XK32" s="75"/>
      <c r="XL32" s="75"/>
      <c r="XM32" s="75"/>
      <c r="XN32" s="75"/>
      <c r="XO32" s="75"/>
      <c r="XP32" s="75"/>
      <c r="XQ32" s="75"/>
      <c r="XR32" s="75"/>
      <c r="XS32" s="75"/>
      <c r="XT32" s="75"/>
      <c r="XU32" s="75"/>
      <c r="XV32" s="75"/>
      <c r="XW32" s="75"/>
      <c r="XX32" s="75"/>
      <c r="XY32" s="75"/>
      <c r="XZ32" s="75"/>
      <c r="YA32" s="75"/>
      <c r="YB32" s="75"/>
      <c r="YC32" s="75"/>
      <c r="YD32" s="75"/>
      <c r="YE32" s="75"/>
      <c r="YF32" s="75"/>
      <c r="YG32" s="75"/>
      <c r="YH32" s="75"/>
      <c r="YI32" s="75"/>
      <c r="YJ32" s="75"/>
      <c r="YK32" s="75"/>
      <c r="YL32" s="75"/>
      <c r="YM32" s="75"/>
      <c r="YN32" s="75"/>
      <c r="YO32" s="75"/>
      <c r="YP32" s="75"/>
      <c r="YQ32" s="75"/>
      <c r="YR32" s="75"/>
      <c r="YS32" s="75"/>
      <c r="YT32" s="75"/>
      <c r="YU32" s="75"/>
      <c r="YV32" s="75"/>
      <c r="YW32" s="75"/>
      <c r="YX32" s="75"/>
      <c r="YY32" s="75"/>
      <c r="YZ32" s="75"/>
      <c r="ZA32" s="75"/>
      <c r="ZB32" s="75"/>
      <c r="ZC32" s="75"/>
      <c r="ZD32" s="75"/>
      <c r="ZE32" s="75"/>
      <c r="ZF32" s="75"/>
      <c r="ZG32" s="75"/>
      <c r="ZH32" s="75"/>
      <c r="ZI32" s="75"/>
      <c r="ZJ32" s="75"/>
      <c r="ZK32" s="75"/>
      <c r="ZL32" s="75"/>
      <c r="ZM32" s="75"/>
      <c r="ZN32" s="75"/>
      <c r="ZO32" s="75"/>
      <c r="ZP32" s="75"/>
      <c r="ZQ32" s="75"/>
      <c r="ZR32" s="75"/>
      <c r="ZS32" s="75"/>
      <c r="ZT32" s="75"/>
      <c r="ZU32" s="75"/>
      <c r="ZV32" s="75"/>
      <c r="ZW32" s="75"/>
      <c r="ZX32" s="75"/>
      <c r="ZY32" s="75"/>
      <c r="ZZ32" s="75"/>
      <c r="AAA32" s="75"/>
      <c r="AAB32" s="75"/>
      <c r="AAC32" s="75"/>
      <c r="AAD32" s="75"/>
      <c r="AAE32" s="75"/>
      <c r="AAF32" s="75"/>
      <c r="AAG32" s="75"/>
      <c r="AAH32" s="75"/>
      <c r="AAI32" s="75"/>
      <c r="AAJ32" s="75"/>
      <c r="AAK32" s="75"/>
      <c r="AAL32" s="75"/>
      <c r="AAM32" s="75"/>
      <c r="AAN32" s="75"/>
      <c r="AAO32" s="75"/>
      <c r="AAP32" s="75"/>
      <c r="AAQ32" s="75"/>
      <c r="AAR32" s="75"/>
      <c r="AAS32" s="75"/>
      <c r="AAT32" s="75"/>
      <c r="AAU32" s="75"/>
      <c r="AAV32" s="75"/>
      <c r="AAW32" s="75"/>
      <c r="AAX32" s="75"/>
      <c r="AAY32" s="75"/>
      <c r="AAZ32" s="75"/>
      <c r="ABA32" s="75"/>
      <c r="ABB32" s="75"/>
      <c r="ABC32" s="75"/>
    </row>
    <row r="33" spans="1:731">
      <c r="A33" s="75" t="s">
        <v>71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5"/>
      <c r="BF33" s="75"/>
      <c r="BG33" s="75"/>
      <c r="BH33" s="75"/>
      <c r="BI33" s="75"/>
      <c r="BJ33" s="75"/>
      <c r="BK33" s="75"/>
      <c r="BL33" s="75"/>
      <c r="BM33" s="75"/>
      <c r="BN33" s="75"/>
      <c r="BO33" s="75"/>
      <c r="BP33" s="75"/>
      <c r="BQ33" s="75"/>
      <c r="BR33" s="75"/>
      <c r="BS33" s="75"/>
      <c r="BT33" s="75"/>
      <c r="BU33" s="75"/>
      <c r="BV33" s="75"/>
      <c r="BW33" s="75"/>
      <c r="BX33" s="75"/>
      <c r="BY33" s="75"/>
      <c r="BZ33" s="75"/>
      <c r="CA33" s="75"/>
      <c r="CB33" s="75"/>
      <c r="CC33" s="75"/>
      <c r="CD33" s="75"/>
      <c r="CE33" s="75"/>
      <c r="CF33" s="75"/>
      <c r="CG33" s="75"/>
      <c r="CH33" s="75"/>
      <c r="CI33" s="75"/>
      <c r="CJ33" s="75"/>
      <c r="CK33" s="75"/>
      <c r="CL33" s="75"/>
      <c r="CM33" s="75"/>
      <c r="CN33" s="75"/>
      <c r="CO33" s="75"/>
      <c r="CP33" s="75"/>
      <c r="CQ33" s="75"/>
      <c r="CR33" s="75"/>
      <c r="CS33" s="75"/>
      <c r="CT33" s="75"/>
      <c r="CU33" s="75"/>
      <c r="CV33" s="75"/>
      <c r="CW33" s="75"/>
      <c r="CX33" s="75"/>
      <c r="CY33" s="75"/>
      <c r="CZ33" s="75"/>
      <c r="DA33" s="75"/>
      <c r="DB33" s="75"/>
      <c r="DC33" s="75"/>
      <c r="DD33" s="75"/>
      <c r="DE33" s="75"/>
      <c r="DF33" s="75"/>
      <c r="DG33" s="75"/>
      <c r="DH33" s="75"/>
      <c r="DI33" s="75"/>
      <c r="DJ33" s="75"/>
      <c r="DK33" s="75"/>
      <c r="DL33" s="75"/>
      <c r="DM33" s="75"/>
      <c r="DN33" s="75"/>
      <c r="DO33" s="75"/>
      <c r="DP33" s="75"/>
      <c r="DQ33" s="75"/>
      <c r="DR33" s="75"/>
      <c r="DS33" s="75"/>
      <c r="DT33" s="75"/>
      <c r="DU33" s="75"/>
      <c r="DV33" s="75"/>
      <c r="DW33" s="75"/>
      <c r="DX33" s="75"/>
      <c r="DY33" s="75"/>
      <c r="DZ33" s="75"/>
      <c r="EA33" s="75"/>
      <c r="EB33" s="75"/>
      <c r="EC33" s="75"/>
      <c r="ED33" s="75"/>
      <c r="EE33" s="75"/>
      <c r="EF33" s="75"/>
      <c r="EG33" s="75"/>
      <c r="EH33" s="75"/>
      <c r="EI33" s="75"/>
      <c r="EJ33" s="75"/>
      <c r="EK33" s="75"/>
      <c r="EL33" s="75"/>
      <c r="EM33" s="75"/>
      <c r="EN33" s="75"/>
      <c r="EO33" s="75"/>
      <c r="EP33" s="75"/>
      <c r="EQ33" s="75"/>
      <c r="ER33" s="75"/>
      <c r="ES33" s="75"/>
      <c r="ET33" s="75"/>
      <c r="EU33" s="75"/>
      <c r="EV33" s="75"/>
      <c r="EW33" s="75"/>
      <c r="EX33" s="75"/>
      <c r="EY33" s="75"/>
      <c r="EZ33" s="75"/>
      <c r="FA33" s="75"/>
      <c r="FB33" s="75"/>
      <c r="FC33" s="75"/>
      <c r="FD33" s="75"/>
      <c r="FE33" s="75"/>
      <c r="FF33" s="75"/>
      <c r="FG33" s="75"/>
      <c r="FH33" s="75"/>
      <c r="FI33" s="75"/>
      <c r="FJ33" s="75"/>
      <c r="FK33" s="75"/>
      <c r="FL33" s="75"/>
      <c r="FM33" s="75"/>
      <c r="FN33" s="75"/>
      <c r="FO33" s="75"/>
      <c r="FP33" s="75"/>
      <c r="FQ33" s="75"/>
      <c r="FR33" s="75"/>
      <c r="FS33" s="75"/>
      <c r="FT33" s="75"/>
      <c r="FU33" s="75"/>
      <c r="FV33" s="75"/>
      <c r="FW33" s="75"/>
      <c r="FX33" s="75"/>
      <c r="FY33" s="75"/>
      <c r="FZ33" s="75"/>
      <c r="GA33" s="75"/>
      <c r="GB33" s="75"/>
      <c r="GC33" s="75"/>
      <c r="GD33" s="75"/>
      <c r="GE33" s="75"/>
      <c r="GF33" s="75"/>
      <c r="GG33" s="75"/>
      <c r="GH33" s="75"/>
      <c r="GI33" s="75"/>
      <c r="GJ33" s="75"/>
      <c r="GK33" s="75"/>
      <c r="GL33" s="75"/>
      <c r="GM33" s="75"/>
      <c r="GN33" s="75"/>
      <c r="GO33" s="75"/>
      <c r="GP33" s="75"/>
      <c r="GQ33" s="75"/>
      <c r="GR33" s="75"/>
      <c r="GS33" s="75"/>
      <c r="GT33" s="75"/>
      <c r="GU33" s="75"/>
      <c r="GV33" s="75"/>
      <c r="GW33" s="75"/>
      <c r="GX33" s="75"/>
      <c r="GY33" s="75"/>
      <c r="GZ33" s="75"/>
      <c r="HA33" s="75"/>
      <c r="HB33" s="75"/>
      <c r="HC33" s="75"/>
      <c r="HD33" s="75"/>
      <c r="HE33" s="75"/>
      <c r="HF33" s="75"/>
      <c r="HG33" s="75"/>
      <c r="HH33" s="75"/>
      <c r="HI33" s="75"/>
      <c r="HJ33" s="75"/>
      <c r="HK33" s="75"/>
      <c r="HL33" s="75"/>
      <c r="HM33" s="75"/>
      <c r="HN33" s="75"/>
      <c r="HO33" s="75"/>
      <c r="HP33" s="75"/>
      <c r="HQ33" s="75"/>
      <c r="HR33" s="75"/>
      <c r="HS33" s="75"/>
      <c r="HT33" s="75"/>
      <c r="HU33" s="75"/>
      <c r="HV33" s="75"/>
      <c r="HW33" s="75"/>
      <c r="HX33" s="75"/>
      <c r="HY33" s="75"/>
      <c r="HZ33" s="75"/>
      <c r="IA33" s="75"/>
      <c r="IB33" s="75"/>
      <c r="IC33" s="75"/>
      <c r="ID33" s="75"/>
      <c r="IE33" s="75"/>
      <c r="IF33" s="75"/>
      <c r="IG33" s="75"/>
      <c r="IH33" s="75"/>
      <c r="II33" s="75"/>
      <c r="IJ33" s="75"/>
      <c r="IK33" s="75"/>
      <c r="IL33" s="75"/>
      <c r="IM33" s="75"/>
      <c r="IN33" s="75"/>
      <c r="IO33" s="75"/>
      <c r="IP33" s="75"/>
      <c r="IQ33" s="75"/>
      <c r="IR33" s="75"/>
      <c r="IS33" s="75"/>
      <c r="IT33" s="75"/>
      <c r="IU33" s="75"/>
      <c r="IV33" s="75"/>
      <c r="IW33" s="75"/>
      <c r="IX33" s="75"/>
      <c r="IY33" s="75"/>
      <c r="IZ33" s="75"/>
      <c r="JA33" s="75"/>
      <c r="JB33" s="75"/>
      <c r="JC33" s="75"/>
      <c r="JD33" s="75"/>
      <c r="JE33" s="75"/>
      <c r="JF33" s="75"/>
      <c r="JG33" s="75"/>
      <c r="JH33" s="75"/>
      <c r="JI33" s="75"/>
      <c r="JJ33" s="75"/>
      <c r="JK33" s="75"/>
      <c r="JL33" s="75"/>
      <c r="JM33" s="75"/>
      <c r="JN33" s="75"/>
      <c r="JO33" s="75"/>
      <c r="JP33" s="75"/>
      <c r="JQ33" s="75"/>
      <c r="JR33" s="75"/>
      <c r="JS33" s="75"/>
      <c r="JT33" s="75"/>
      <c r="JU33" s="75"/>
      <c r="JV33" s="75"/>
      <c r="JW33" s="75"/>
      <c r="JX33" s="75"/>
      <c r="JY33" s="75"/>
      <c r="JZ33" s="75"/>
      <c r="KA33" s="75"/>
      <c r="KB33" s="75"/>
      <c r="KC33" s="75"/>
      <c r="KD33" s="75"/>
      <c r="KE33" s="75"/>
      <c r="KF33" s="75"/>
      <c r="KG33" s="75"/>
      <c r="KH33" s="75"/>
      <c r="KI33" s="75"/>
      <c r="KJ33" s="75"/>
      <c r="KK33" s="75"/>
      <c r="KL33" s="75"/>
      <c r="KM33" s="75"/>
      <c r="KN33" s="75"/>
      <c r="KO33" s="75"/>
      <c r="KP33" s="75"/>
      <c r="KQ33" s="75"/>
      <c r="KR33" s="75"/>
      <c r="KS33" s="75"/>
      <c r="KT33" s="75"/>
      <c r="KU33" s="75"/>
      <c r="KV33" s="75"/>
      <c r="KW33" s="75"/>
      <c r="KX33" s="75"/>
      <c r="KY33" s="75"/>
      <c r="KZ33" s="75"/>
      <c r="LA33" s="75"/>
      <c r="LB33" s="75"/>
      <c r="LC33" s="75"/>
      <c r="LD33" s="75"/>
      <c r="LE33" s="75"/>
      <c r="LF33" s="75"/>
      <c r="LG33" s="75"/>
      <c r="LH33" s="75"/>
      <c r="LI33" s="75"/>
      <c r="LJ33" s="75"/>
      <c r="LK33" s="75"/>
      <c r="LL33" s="75"/>
      <c r="LM33" s="75"/>
      <c r="LN33" s="75"/>
      <c r="LO33" s="75"/>
      <c r="LP33" s="75"/>
      <c r="LQ33" s="75"/>
      <c r="LR33" s="75"/>
      <c r="LS33" s="75"/>
      <c r="LT33" s="75"/>
      <c r="LU33" s="75"/>
      <c r="LV33" s="75"/>
      <c r="LW33" s="75"/>
      <c r="LX33" s="75"/>
      <c r="LY33" s="75"/>
      <c r="LZ33" s="75"/>
      <c r="MA33" s="75"/>
      <c r="MB33" s="75"/>
      <c r="MC33" s="75"/>
      <c r="MD33" s="75"/>
      <c r="ME33" s="75"/>
      <c r="MF33" s="75"/>
      <c r="MG33" s="75"/>
      <c r="MH33" s="75"/>
      <c r="MI33" s="75"/>
      <c r="MJ33" s="75"/>
      <c r="MK33" s="75"/>
      <c r="ML33" s="75"/>
      <c r="MM33" s="75"/>
      <c r="MN33" s="75"/>
      <c r="MO33" s="75"/>
      <c r="MP33" s="75"/>
      <c r="MQ33" s="75"/>
      <c r="MR33" s="75"/>
      <c r="MS33" s="75"/>
      <c r="MT33" s="75"/>
      <c r="MU33" s="75"/>
      <c r="MV33" s="75"/>
      <c r="MW33" s="75"/>
      <c r="MX33" s="75"/>
      <c r="MY33" s="75"/>
      <c r="MZ33" s="75"/>
      <c r="NA33" s="75"/>
      <c r="NB33" s="75"/>
      <c r="NC33" s="75"/>
      <c r="ND33" s="75"/>
      <c r="NE33" s="75"/>
      <c r="NF33" s="75"/>
      <c r="NG33" s="75"/>
      <c r="NH33" s="75"/>
      <c r="NI33" s="75"/>
      <c r="NJ33" s="75"/>
      <c r="NK33" s="75"/>
      <c r="NL33" s="75"/>
      <c r="NM33" s="75"/>
      <c r="NN33" s="75"/>
      <c r="NO33" s="75"/>
      <c r="NP33" s="75"/>
      <c r="NQ33" s="75"/>
      <c r="NR33" s="75"/>
      <c r="NS33" s="75"/>
      <c r="NT33" s="75"/>
      <c r="NU33" s="75"/>
      <c r="NV33" s="75"/>
      <c r="NW33" s="75"/>
      <c r="NX33" s="75"/>
      <c r="NY33" s="75"/>
      <c r="NZ33" s="75"/>
      <c r="OA33" s="75"/>
      <c r="OB33" s="75"/>
      <c r="OC33" s="75"/>
      <c r="OD33" s="75"/>
      <c r="OE33" s="75"/>
      <c r="OF33" s="75"/>
      <c r="OG33" s="75"/>
      <c r="OH33" s="75"/>
      <c r="OI33" s="75"/>
      <c r="OJ33" s="75"/>
      <c r="OK33" s="75"/>
      <c r="OL33" s="75"/>
      <c r="OM33" s="75"/>
      <c r="ON33" s="75"/>
      <c r="OO33" s="75"/>
      <c r="OP33" s="75"/>
      <c r="OQ33" s="75"/>
      <c r="OR33" s="75"/>
      <c r="OS33" s="75"/>
      <c r="OT33" s="75"/>
      <c r="OU33" s="75"/>
      <c r="OV33" s="75"/>
      <c r="OW33" s="75"/>
      <c r="OX33" s="75"/>
      <c r="OY33" s="75"/>
      <c r="OZ33" s="75"/>
      <c r="PA33" s="75"/>
      <c r="PB33" s="75"/>
      <c r="PC33" s="75"/>
      <c r="PD33" s="75"/>
      <c r="PE33" s="75"/>
      <c r="PF33" s="75"/>
      <c r="PG33" s="75"/>
      <c r="PH33" s="75"/>
      <c r="PI33" s="75"/>
      <c r="PJ33" s="75"/>
      <c r="PK33" s="75"/>
      <c r="PL33" s="75"/>
      <c r="PM33" s="75"/>
      <c r="PN33" s="75"/>
      <c r="PO33" s="75"/>
      <c r="PP33" s="75"/>
      <c r="PQ33" s="75"/>
      <c r="PR33" s="75"/>
      <c r="PS33" s="75"/>
      <c r="PT33" s="75"/>
      <c r="PU33" s="75"/>
      <c r="PV33" s="75"/>
      <c r="PW33" s="75"/>
      <c r="PX33" s="75"/>
      <c r="PY33" s="75"/>
      <c r="PZ33" s="75"/>
      <c r="QA33" s="75"/>
      <c r="QB33" s="75"/>
      <c r="QC33" s="75"/>
      <c r="QD33" s="75"/>
      <c r="QE33" s="75"/>
      <c r="QF33" s="75"/>
      <c r="QG33" s="75"/>
      <c r="QH33" s="75"/>
      <c r="QI33" s="75"/>
      <c r="QJ33" s="75"/>
      <c r="QK33" s="75"/>
      <c r="QL33" s="75"/>
      <c r="QM33" s="75"/>
      <c r="QN33" s="75"/>
      <c r="QO33" s="75"/>
      <c r="QP33" s="75"/>
      <c r="QQ33" s="75"/>
      <c r="QR33" s="75"/>
      <c r="QS33" s="75"/>
      <c r="QT33" s="75"/>
      <c r="QU33" s="75"/>
      <c r="QV33" s="75"/>
      <c r="QW33" s="75"/>
      <c r="QX33" s="75"/>
      <c r="QY33" s="75"/>
      <c r="QZ33" s="75"/>
      <c r="RA33" s="75"/>
      <c r="RB33" s="75"/>
      <c r="RC33" s="75"/>
      <c r="RD33" s="75"/>
      <c r="RE33" s="75"/>
      <c r="RF33" s="75"/>
      <c r="RG33" s="75"/>
      <c r="RH33" s="75"/>
      <c r="RI33" s="75"/>
      <c r="RJ33" s="75"/>
      <c r="RK33" s="75"/>
      <c r="RL33" s="75"/>
      <c r="RM33" s="75"/>
      <c r="RN33" s="75"/>
      <c r="RO33" s="75"/>
      <c r="RP33" s="75"/>
      <c r="RQ33" s="75"/>
      <c r="RR33" s="75"/>
      <c r="RS33" s="75"/>
      <c r="RT33" s="75"/>
      <c r="RU33" s="75"/>
      <c r="RV33" s="75"/>
      <c r="RW33" s="75"/>
      <c r="RX33" s="75"/>
      <c r="RY33" s="75"/>
      <c r="RZ33" s="75"/>
      <c r="SA33" s="75"/>
      <c r="SB33" s="75"/>
      <c r="SC33" s="75"/>
      <c r="SD33" s="75"/>
      <c r="SE33" s="75"/>
      <c r="SF33" s="75"/>
      <c r="SG33" s="75"/>
      <c r="SH33" s="75"/>
      <c r="SI33" s="75"/>
      <c r="SJ33" s="75"/>
      <c r="SK33" s="75"/>
      <c r="SL33" s="75"/>
      <c r="SM33" s="75"/>
      <c r="SN33" s="75"/>
      <c r="SO33" s="75"/>
      <c r="SP33" s="75"/>
      <c r="SQ33" s="75"/>
      <c r="SR33" s="75"/>
      <c r="SS33" s="75"/>
      <c r="ST33" s="75"/>
      <c r="SU33" s="75"/>
      <c r="SV33" s="75"/>
      <c r="SW33" s="75"/>
      <c r="SX33" s="75"/>
      <c r="SY33" s="75"/>
      <c r="SZ33" s="75"/>
      <c r="TA33" s="75"/>
      <c r="TB33" s="75"/>
      <c r="TC33" s="75"/>
      <c r="TD33" s="75"/>
      <c r="TE33" s="75"/>
      <c r="TF33" s="75"/>
      <c r="TG33" s="75"/>
      <c r="TH33" s="75"/>
      <c r="TI33" s="75"/>
      <c r="TJ33" s="75"/>
      <c r="TK33" s="75"/>
      <c r="TL33" s="75"/>
      <c r="TM33" s="75"/>
      <c r="TN33" s="75"/>
      <c r="TO33" s="75"/>
      <c r="TP33" s="75"/>
      <c r="TQ33" s="75"/>
      <c r="TR33" s="75"/>
      <c r="TS33" s="75"/>
      <c r="TT33" s="75"/>
      <c r="TU33" s="75"/>
      <c r="TV33" s="75"/>
      <c r="TW33" s="75"/>
      <c r="TX33" s="75"/>
      <c r="TY33" s="75"/>
      <c r="TZ33" s="75"/>
      <c r="UA33" s="75"/>
      <c r="UB33" s="75"/>
      <c r="UC33" s="75"/>
      <c r="UD33" s="75"/>
      <c r="UE33" s="75"/>
      <c r="UF33" s="75"/>
      <c r="UG33" s="75"/>
      <c r="UH33" s="75"/>
      <c r="UI33" s="75"/>
      <c r="UJ33" s="75"/>
      <c r="UK33" s="75"/>
      <c r="UL33" s="75"/>
      <c r="UM33" s="75"/>
      <c r="UN33" s="75"/>
      <c r="UO33" s="75"/>
      <c r="UP33" s="75"/>
      <c r="UQ33" s="75"/>
      <c r="UR33" s="75"/>
      <c r="US33" s="75"/>
      <c r="UT33" s="75">
        <v>16</v>
      </c>
      <c r="UU33" s="75">
        <v>16</v>
      </c>
      <c r="UV33" s="75">
        <v>16</v>
      </c>
      <c r="UW33" s="75">
        <v>16</v>
      </c>
      <c r="UX33" s="75">
        <v>16</v>
      </c>
      <c r="UY33" s="75"/>
      <c r="UZ33" s="75">
        <v>16</v>
      </c>
      <c r="VA33" s="75">
        <v>16</v>
      </c>
      <c r="VB33" s="75">
        <v>16</v>
      </c>
      <c r="VC33" s="75">
        <v>16</v>
      </c>
      <c r="VD33" s="75">
        <v>16</v>
      </c>
      <c r="VE33" s="75">
        <v>26</v>
      </c>
      <c r="VF33" s="75"/>
      <c r="VG33" s="75">
        <v>26</v>
      </c>
      <c r="VH33" s="75">
        <v>26</v>
      </c>
      <c r="VI33" s="75">
        <v>26</v>
      </c>
      <c r="VJ33" s="75">
        <v>26</v>
      </c>
      <c r="VK33" s="75">
        <v>26</v>
      </c>
      <c r="VL33" s="75">
        <v>26</v>
      </c>
      <c r="VM33" s="75"/>
      <c r="VN33" s="75">
        <v>26</v>
      </c>
      <c r="VO33" s="75">
        <v>26</v>
      </c>
      <c r="VP33" s="75">
        <v>26</v>
      </c>
      <c r="VQ33" s="75">
        <v>26</v>
      </c>
      <c r="VR33" s="75">
        <v>26</v>
      </c>
      <c r="VS33" s="75">
        <v>26</v>
      </c>
      <c r="VT33" s="75"/>
      <c r="VU33" s="75">
        <v>26</v>
      </c>
      <c r="VV33" s="75">
        <v>26</v>
      </c>
      <c r="VW33" s="75">
        <v>26</v>
      </c>
      <c r="VX33" s="75">
        <v>26</v>
      </c>
      <c r="VY33" s="75">
        <v>26</v>
      </c>
      <c r="VZ33" s="75">
        <v>26</v>
      </c>
      <c r="WA33" s="75"/>
      <c r="WB33" s="75">
        <v>26</v>
      </c>
      <c r="WC33" s="75">
        <v>26</v>
      </c>
      <c r="WD33" s="75">
        <v>26</v>
      </c>
      <c r="WE33" s="75">
        <v>26</v>
      </c>
      <c r="WF33" s="75">
        <v>26</v>
      </c>
      <c r="WG33" s="75">
        <v>26</v>
      </c>
      <c r="WH33" s="75"/>
      <c r="WI33" s="75">
        <v>26</v>
      </c>
      <c r="WJ33" s="75">
        <v>26</v>
      </c>
      <c r="WK33" s="75">
        <v>26</v>
      </c>
      <c r="WL33" s="75">
        <v>26</v>
      </c>
      <c r="WM33" s="75">
        <v>26</v>
      </c>
      <c r="WN33" s="75">
        <v>25</v>
      </c>
      <c r="WO33" s="75"/>
      <c r="WP33" s="75">
        <v>25</v>
      </c>
      <c r="WQ33" s="75">
        <v>25</v>
      </c>
      <c r="WR33" s="75">
        <v>25</v>
      </c>
      <c r="WS33" s="75">
        <v>25</v>
      </c>
      <c r="WT33" s="75">
        <v>25</v>
      </c>
      <c r="WU33" s="75">
        <v>25</v>
      </c>
      <c r="WV33" s="75"/>
      <c r="WW33" s="75">
        <v>25</v>
      </c>
      <c r="WX33" s="75">
        <v>25</v>
      </c>
      <c r="WY33" s="75">
        <v>25</v>
      </c>
      <c r="WZ33" s="75">
        <v>25</v>
      </c>
      <c r="XA33" s="75">
        <v>25</v>
      </c>
      <c r="XB33" s="75">
        <v>25</v>
      </c>
      <c r="XC33" s="75"/>
      <c r="XD33" s="75">
        <v>25</v>
      </c>
      <c r="XE33" s="75">
        <v>25</v>
      </c>
      <c r="XF33" s="75">
        <v>25</v>
      </c>
      <c r="XG33" s="75">
        <v>25</v>
      </c>
      <c r="XH33" s="75">
        <v>25</v>
      </c>
      <c r="XI33" s="75"/>
      <c r="XJ33" s="75"/>
      <c r="XK33" s="75"/>
      <c r="XL33" s="75"/>
      <c r="XM33" s="75"/>
      <c r="XN33" s="75">
        <v>15</v>
      </c>
      <c r="XO33" s="75">
        <v>15</v>
      </c>
      <c r="XP33" s="75">
        <v>5</v>
      </c>
      <c r="XQ33" s="75"/>
      <c r="XR33" s="75">
        <v>5</v>
      </c>
      <c r="XS33" s="75">
        <v>5</v>
      </c>
      <c r="XT33" s="75">
        <v>5</v>
      </c>
      <c r="XU33" s="75">
        <v>5</v>
      </c>
      <c r="XV33" s="75">
        <v>5</v>
      </c>
      <c r="XW33" s="75">
        <v>5</v>
      </c>
      <c r="XX33" s="75"/>
      <c r="XY33" s="75">
        <v>5</v>
      </c>
      <c r="XZ33" s="75">
        <v>5</v>
      </c>
      <c r="YA33" s="75">
        <v>5</v>
      </c>
      <c r="YB33" s="75">
        <v>5</v>
      </c>
      <c r="YC33" s="75">
        <v>5</v>
      </c>
      <c r="YD33" s="75"/>
      <c r="YE33" s="75"/>
      <c r="YF33" s="75"/>
      <c r="YG33" s="75"/>
      <c r="YH33" s="75"/>
      <c r="YI33" s="75"/>
      <c r="YJ33" s="75"/>
      <c r="YK33" s="75"/>
      <c r="YL33" s="75"/>
      <c r="YM33" s="75"/>
      <c r="YN33" s="75"/>
      <c r="YO33" s="75"/>
      <c r="YP33" s="75"/>
      <c r="YQ33" s="75"/>
      <c r="YR33" s="75"/>
      <c r="YS33" s="75"/>
      <c r="YT33" s="75"/>
      <c r="YU33" s="75"/>
      <c r="YV33" s="75"/>
      <c r="YW33" s="75"/>
      <c r="YX33" s="75"/>
      <c r="YY33" s="75"/>
      <c r="YZ33" s="75"/>
      <c r="ZA33" s="75"/>
      <c r="ZB33" s="75"/>
      <c r="ZC33" s="75"/>
      <c r="ZD33" s="75"/>
      <c r="ZE33" s="75"/>
      <c r="ZF33" s="75"/>
      <c r="ZG33" s="75"/>
      <c r="ZH33" s="75"/>
      <c r="ZI33" s="75"/>
      <c r="ZJ33" s="75"/>
      <c r="ZK33" s="75"/>
      <c r="ZL33" s="75"/>
      <c r="ZM33" s="75"/>
      <c r="ZN33" s="75"/>
      <c r="ZO33" s="75"/>
      <c r="ZP33" s="75"/>
      <c r="ZQ33" s="75"/>
      <c r="ZR33" s="75"/>
      <c r="ZS33" s="75"/>
      <c r="ZT33" s="75"/>
      <c r="ZU33" s="75"/>
      <c r="ZV33" s="75"/>
      <c r="ZW33" s="75"/>
      <c r="ZX33" s="75"/>
      <c r="ZY33" s="75"/>
      <c r="ZZ33" s="75"/>
      <c r="AAA33" s="75"/>
      <c r="AAB33" s="75"/>
      <c r="AAC33" s="75"/>
      <c r="AAD33" s="75"/>
      <c r="AAE33" s="75"/>
      <c r="AAF33" s="75"/>
      <c r="AAG33" s="75"/>
      <c r="AAH33" s="75"/>
      <c r="AAI33" s="75"/>
      <c r="AAJ33" s="75"/>
      <c r="AAK33" s="75"/>
      <c r="AAL33" s="75"/>
      <c r="AAM33" s="75"/>
      <c r="AAN33" s="75"/>
      <c r="AAO33" s="75"/>
      <c r="AAP33" s="75"/>
      <c r="AAQ33" s="75"/>
      <c r="AAR33" s="75"/>
      <c r="AAS33" s="75"/>
      <c r="AAT33" s="75"/>
      <c r="AAU33" s="75"/>
      <c r="AAV33" s="75"/>
      <c r="AAW33" s="75"/>
      <c r="AAX33" s="75"/>
      <c r="AAY33" s="75"/>
      <c r="AAZ33" s="75"/>
      <c r="ABA33" s="75"/>
      <c r="ABB33" s="75"/>
      <c r="ABC33" s="75"/>
    </row>
    <row r="34" spans="1:731">
      <c r="A34" s="75" t="s">
        <v>72</v>
      </c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75"/>
      <c r="BK34" s="75"/>
      <c r="BL34" s="75"/>
      <c r="BM34" s="75"/>
      <c r="BN34" s="75"/>
      <c r="BO34" s="75"/>
      <c r="BP34" s="75"/>
      <c r="BQ34" s="75"/>
      <c r="BR34" s="75"/>
      <c r="BS34" s="75"/>
      <c r="BT34" s="75"/>
      <c r="BU34" s="75"/>
      <c r="BV34" s="75"/>
      <c r="BW34" s="75"/>
      <c r="BX34" s="75"/>
      <c r="BY34" s="75"/>
      <c r="BZ34" s="75"/>
      <c r="CA34" s="75"/>
      <c r="CB34" s="75"/>
      <c r="CC34" s="75"/>
      <c r="CD34" s="75"/>
      <c r="CE34" s="75"/>
      <c r="CF34" s="75"/>
      <c r="CG34" s="75"/>
      <c r="CH34" s="75"/>
      <c r="CI34" s="75"/>
      <c r="CJ34" s="75"/>
      <c r="CK34" s="75"/>
      <c r="CL34" s="75"/>
      <c r="CM34" s="75"/>
      <c r="CN34" s="75"/>
      <c r="CO34" s="75"/>
      <c r="CP34" s="75"/>
      <c r="CQ34" s="75"/>
      <c r="CR34" s="75"/>
      <c r="CS34" s="75"/>
      <c r="CT34" s="75"/>
      <c r="CU34" s="75"/>
      <c r="CV34" s="75"/>
      <c r="CW34" s="75"/>
      <c r="CX34" s="75"/>
      <c r="CY34" s="75"/>
      <c r="CZ34" s="75"/>
      <c r="DA34" s="75"/>
      <c r="DB34" s="75"/>
      <c r="DC34" s="75"/>
      <c r="DD34" s="75"/>
      <c r="DE34" s="75"/>
      <c r="DF34" s="75"/>
      <c r="DG34" s="75"/>
      <c r="DH34" s="75"/>
      <c r="DI34" s="75"/>
      <c r="DJ34" s="75"/>
      <c r="DK34" s="75"/>
      <c r="DL34" s="75"/>
      <c r="DM34" s="75"/>
      <c r="DN34" s="75"/>
      <c r="DO34" s="75"/>
      <c r="DP34" s="75"/>
      <c r="DQ34" s="75"/>
      <c r="DR34" s="75"/>
      <c r="DS34" s="75"/>
      <c r="DT34" s="75"/>
      <c r="DU34" s="75"/>
      <c r="DV34" s="75"/>
      <c r="DW34" s="75"/>
      <c r="DX34" s="75"/>
      <c r="DY34" s="75"/>
      <c r="DZ34" s="75"/>
      <c r="EA34" s="75"/>
      <c r="EB34" s="75"/>
      <c r="EC34" s="75"/>
      <c r="ED34" s="75"/>
      <c r="EE34" s="75"/>
      <c r="EF34" s="75"/>
      <c r="EG34" s="75"/>
      <c r="EH34" s="75"/>
      <c r="EI34" s="75"/>
      <c r="EJ34" s="75"/>
      <c r="EK34" s="75"/>
      <c r="EL34" s="75"/>
      <c r="EM34" s="75"/>
      <c r="EN34" s="75"/>
      <c r="EO34" s="75"/>
      <c r="EP34" s="75"/>
      <c r="EQ34" s="75"/>
      <c r="ER34" s="75"/>
      <c r="ES34" s="75"/>
      <c r="ET34" s="75"/>
      <c r="EU34" s="75"/>
      <c r="EV34" s="75"/>
      <c r="EW34" s="75"/>
      <c r="EX34" s="75"/>
      <c r="EY34" s="75"/>
      <c r="EZ34" s="75"/>
      <c r="FA34" s="75"/>
      <c r="FB34" s="75"/>
      <c r="FC34" s="75"/>
      <c r="FD34" s="75"/>
      <c r="FE34" s="75"/>
      <c r="FF34" s="75"/>
      <c r="FG34" s="75"/>
      <c r="FH34" s="75"/>
      <c r="FI34" s="75"/>
      <c r="FJ34" s="75"/>
      <c r="FK34" s="75"/>
      <c r="FL34" s="75"/>
      <c r="FM34" s="75"/>
      <c r="FN34" s="75"/>
      <c r="FO34" s="75"/>
      <c r="FP34" s="75"/>
      <c r="FQ34" s="75"/>
      <c r="FR34" s="75"/>
      <c r="FS34" s="75"/>
      <c r="FT34" s="75"/>
      <c r="FU34" s="75"/>
      <c r="FV34" s="75"/>
      <c r="FW34" s="75"/>
      <c r="FX34" s="75"/>
      <c r="FY34" s="75"/>
      <c r="FZ34" s="75"/>
      <c r="GA34" s="75"/>
      <c r="GB34" s="75"/>
      <c r="GC34" s="75"/>
      <c r="GD34" s="75"/>
      <c r="GE34" s="75"/>
      <c r="GF34" s="75"/>
      <c r="GG34" s="75"/>
      <c r="GH34" s="75"/>
      <c r="GI34" s="75"/>
      <c r="GJ34" s="75"/>
      <c r="GK34" s="75"/>
      <c r="GL34" s="75"/>
      <c r="GM34" s="75"/>
      <c r="GN34" s="75"/>
      <c r="GO34" s="75"/>
      <c r="GP34" s="75"/>
      <c r="GQ34" s="75"/>
      <c r="GR34" s="75"/>
      <c r="GS34" s="75"/>
      <c r="GT34" s="75"/>
      <c r="GU34" s="75"/>
      <c r="GV34" s="75"/>
      <c r="GW34" s="75"/>
      <c r="GX34" s="75"/>
      <c r="GY34" s="75"/>
      <c r="GZ34" s="75"/>
      <c r="HA34" s="75"/>
      <c r="HB34" s="75"/>
      <c r="HC34" s="75"/>
      <c r="HD34" s="75"/>
      <c r="HE34" s="75"/>
      <c r="HF34" s="75"/>
      <c r="HG34" s="75"/>
      <c r="HH34" s="75"/>
      <c r="HI34" s="75"/>
      <c r="HJ34" s="75"/>
      <c r="HK34" s="75"/>
      <c r="HL34" s="75"/>
      <c r="HM34" s="75"/>
      <c r="HN34" s="75"/>
      <c r="HO34" s="75"/>
      <c r="HP34" s="75"/>
      <c r="HQ34" s="75"/>
      <c r="HR34" s="75"/>
      <c r="HS34" s="75"/>
      <c r="HT34" s="75"/>
      <c r="HU34" s="75"/>
      <c r="HV34" s="75"/>
      <c r="HW34" s="75"/>
      <c r="HX34" s="75"/>
      <c r="HY34" s="75"/>
      <c r="HZ34" s="75"/>
      <c r="IA34" s="75"/>
      <c r="IB34" s="75"/>
      <c r="IC34" s="75"/>
      <c r="ID34" s="75"/>
      <c r="IE34" s="75"/>
      <c r="IF34" s="75"/>
      <c r="IG34" s="75"/>
      <c r="IH34" s="75"/>
      <c r="II34" s="75"/>
      <c r="IJ34" s="75"/>
      <c r="IK34" s="75"/>
      <c r="IL34" s="75"/>
      <c r="IM34" s="75"/>
      <c r="IN34" s="75"/>
      <c r="IO34" s="75"/>
      <c r="IP34" s="75"/>
      <c r="IQ34" s="75"/>
      <c r="IR34" s="75"/>
      <c r="IS34" s="75"/>
      <c r="IT34" s="75"/>
      <c r="IU34" s="75"/>
      <c r="IV34" s="75"/>
      <c r="IW34" s="75"/>
      <c r="IX34" s="75"/>
      <c r="IY34" s="75"/>
      <c r="IZ34" s="75"/>
      <c r="JA34" s="75"/>
      <c r="JB34" s="75"/>
      <c r="JC34" s="75"/>
      <c r="JD34" s="75"/>
      <c r="JE34" s="75"/>
      <c r="JF34" s="75"/>
      <c r="JG34" s="75"/>
      <c r="JH34" s="75"/>
      <c r="JI34" s="75"/>
      <c r="JJ34" s="75"/>
      <c r="JK34" s="75"/>
      <c r="JL34" s="75"/>
      <c r="JM34" s="75"/>
      <c r="JN34" s="75"/>
      <c r="JO34" s="75"/>
      <c r="JP34" s="75"/>
      <c r="JQ34" s="75"/>
      <c r="JR34" s="75"/>
      <c r="JS34" s="75"/>
      <c r="JT34" s="75"/>
      <c r="JU34" s="75"/>
      <c r="JV34" s="75"/>
      <c r="JW34" s="75"/>
      <c r="JX34" s="75"/>
      <c r="JY34" s="75"/>
      <c r="JZ34" s="75"/>
      <c r="KA34" s="75"/>
      <c r="KB34" s="75"/>
      <c r="KC34" s="75"/>
      <c r="KD34" s="75"/>
      <c r="KE34" s="75"/>
      <c r="KF34" s="75"/>
      <c r="KG34" s="75"/>
      <c r="KH34" s="75"/>
      <c r="KI34" s="75"/>
      <c r="KJ34" s="75"/>
      <c r="KK34" s="75"/>
      <c r="KL34" s="75"/>
      <c r="KM34" s="75"/>
      <c r="KN34" s="75"/>
      <c r="KO34" s="75"/>
      <c r="KP34" s="75"/>
      <c r="KQ34" s="75"/>
      <c r="KR34" s="75"/>
      <c r="KS34" s="75"/>
      <c r="KT34" s="75"/>
      <c r="KU34" s="75"/>
      <c r="KV34" s="75"/>
      <c r="KW34" s="75"/>
      <c r="KX34" s="75"/>
      <c r="KY34" s="75"/>
      <c r="KZ34" s="75"/>
      <c r="LA34" s="75"/>
      <c r="LB34" s="75"/>
      <c r="LC34" s="75"/>
      <c r="LD34" s="75"/>
      <c r="LE34" s="75"/>
      <c r="LF34" s="75"/>
      <c r="LG34" s="75"/>
      <c r="LH34" s="75"/>
      <c r="LI34" s="75"/>
      <c r="LJ34" s="75"/>
      <c r="LK34" s="75"/>
      <c r="LL34" s="75"/>
      <c r="LM34" s="75"/>
      <c r="LN34" s="75"/>
      <c r="LO34" s="75"/>
      <c r="LP34" s="75"/>
      <c r="LQ34" s="75"/>
      <c r="LR34" s="75"/>
      <c r="LS34" s="75"/>
      <c r="LT34" s="75"/>
      <c r="LU34" s="75"/>
      <c r="LV34" s="75"/>
      <c r="LW34" s="75"/>
      <c r="LX34" s="75"/>
      <c r="LY34" s="75"/>
      <c r="LZ34" s="75"/>
      <c r="MA34" s="75"/>
      <c r="MB34" s="75"/>
      <c r="MC34" s="75"/>
      <c r="MD34" s="75"/>
      <c r="ME34" s="75"/>
      <c r="MF34" s="75"/>
      <c r="MG34" s="75"/>
      <c r="MH34" s="75"/>
      <c r="MI34" s="75"/>
      <c r="MJ34" s="75"/>
      <c r="MK34" s="75"/>
      <c r="ML34" s="75"/>
      <c r="MM34" s="75"/>
      <c r="MN34" s="75"/>
      <c r="MO34" s="75"/>
      <c r="MP34" s="75"/>
      <c r="MQ34" s="75"/>
      <c r="MR34" s="75"/>
      <c r="MS34" s="75"/>
      <c r="MT34" s="75"/>
      <c r="MU34" s="75"/>
      <c r="MV34" s="75"/>
      <c r="MW34" s="75"/>
      <c r="MX34" s="75"/>
      <c r="MY34" s="75"/>
      <c r="MZ34" s="75"/>
      <c r="NA34" s="75"/>
      <c r="NB34" s="75"/>
      <c r="NC34" s="75"/>
      <c r="ND34" s="75"/>
      <c r="NE34" s="75"/>
      <c r="NF34" s="75"/>
      <c r="NG34" s="75"/>
      <c r="NH34" s="75"/>
      <c r="NI34" s="75"/>
      <c r="NJ34" s="75"/>
      <c r="NK34" s="75"/>
      <c r="NL34" s="75"/>
      <c r="NM34" s="75"/>
      <c r="NN34" s="75"/>
      <c r="NO34" s="75"/>
      <c r="NP34" s="75"/>
      <c r="NQ34" s="75"/>
      <c r="NR34" s="75"/>
      <c r="NS34" s="75"/>
      <c r="NT34" s="75"/>
      <c r="NU34" s="75"/>
      <c r="NV34" s="75"/>
      <c r="NW34" s="75"/>
      <c r="NX34" s="75"/>
      <c r="NY34" s="75"/>
      <c r="NZ34" s="75"/>
      <c r="OA34" s="75"/>
      <c r="OB34" s="75"/>
      <c r="OC34" s="75"/>
      <c r="OD34" s="75"/>
      <c r="OE34" s="75"/>
      <c r="OF34" s="75"/>
      <c r="OG34" s="75"/>
      <c r="OH34" s="75"/>
      <c r="OI34" s="75"/>
      <c r="OJ34" s="75"/>
      <c r="OK34" s="75"/>
      <c r="OL34" s="75"/>
      <c r="OM34" s="75"/>
      <c r="ON34" s="75"/>
      <c r="OO34" s="75"/>
      <c r="OP34" s="75"/>
      <c r="OQ34" s="75"/>
      <c r="OR34" s="75"/>
      <c r="OS34" s="75"/>
      <c r="OT34" s="75"/>
      <c r="OU34" s="75"/>
      <c r="OV34" s="75"/>
      <c r="OW34" s="75"/>
      <c r="OX34" s="75"/>
      <c r="OY34" s="75"/>
      <c r="OZ34" s="75"/>
      <c r="PA34" s="75"/>
      <c r="PB34" s="75"/>
      <c r="PC34" s="75"/>
      <c r="PD34" s="75"/>
      <c r="PE34" s="75"/>
      <c r="PF34" s="75"/>
      <c r="PG34" s="75"/>
      <c r="PH34" s="75"/>
      <c r="PI34" s="75"/>
      <c r="PJ34" s="75"/>
      <c r="PK34" s="75"/>
      <c r="PL34" s="75"/>
      <c r="PM34" s="75"/>
      <c r="PN34" s="75"/>
      <c r="PO34" s="75"/>
      <c r="PP34" s="75"/>
      <c r="PQ34" s="75"/>
      <c r="PR34" s="75"/>
      <c r="PS34" s="75"/>
      <c r="PT34" s="75"/>
      <c r="PU34" s="75"/>
      <c r="PV34" s="75"/>
      <c r="PW34" s="75"/>
      <c r="PX34" s="75"/>
      <c r="PY34" s="75"/>
      <c r="PZ34" s="75"/>
      <c r="QA34" s="75"/>
      <c r="QB34" s="75"/>
      <c r="QC34" s="75"/>
      <c r="QD34" s="75"/>
      <c r="QE34" s="75"/>
      <c r="QF34" s="75"/>
      <c r="QG34" s="75"/>
      <c r="QH34" s="75"/>
      <c r="QI34" s="75"/>
      <c r="QJ34" s="75"/>
      <c r="QK34" s="75"/>
      <c r="QL34" s="75"/>
      <c r="QM34" s="75"/>
      <c r="QN34" s="75"/>
      <c r="QO34" s="75"/>
      <c r="QP34" s="75"/>
      <c r="QQ34" s="75"/>
      <c r="QR34" s="75"/>
      <c r="QS34" s="75"/>
      <c r="QT34" s="75"/>
      <c r="QU34" s="75"/>
      <c r="QV34" s="75"/>
      <c r="QW34" s="75"/>
      <c r="QX34" s="75"/>
      <c r="QY34" s="75"/>
      <c r="QZ34" s="75"/>
      <c r="RA34" s="75"/>
      <c r="RB34" s="75"/>
      <c r="RC34" s="75"/>
      <c r="RD34" s="75"/>
      <c r="RE34" s="75"/>
      <c r="RF34" s="75"/>
      <c r="RG34" s="75"/>
      <c r="RH34" s="75"/>
      <c r="RI34" s="75"/>
      <c r="RJ34" s="75"/>
      <c r="RK34" s="75"/>
      <c r="RL34" s="75"/>
      <c r="RM34" s="75"/>
      <c r="RN34" s="75"/>
      <c r="RO34" s="75"/>
      <c r="RP34" s="75"/>
      <c r="RQ34" s="75"/>
      <c r="RR34" s="75"/>
      <c r="RS34" s="75"/>
      <c r="RT34" s="75"/>
      <c r="RU34" s="75"/>
      <c r="RV34" s="75"/>
      <c r="RW34" s="75"/>
      <c r="RX34" s="75"/>
      <c r="RY34" s="75"/>
      <c r="RZ34" s="75"/>
      <c r="SA34" s="75"/>
      <c r="SB34" s="75"/>
      <c r="SC34" s="75"/>
      <c r="SD34" s="75"/>
      <c r="SE34" s="75"/>
      <c r="SF34" s="75"/>
      <c r="SG34" s="75"/>
      <c r="SH34" s="75"/>
      <c r="SI34" s="75"/>
      <c r="SJ34" s="75"/>
      <c r="SK34" s="75"/>
      <c r="SL34" s="75"/>
      <c r="SM34" s="75"/>
      <c r="SN34" s="75"/>
      <c r="SO34" s="75"/>
      <c r="SP34" s="75"/>
      <c r="SQ34" s="75"/>
      <c r="SR34" s="75"/>
      <c r="SS34" s="75"/>
      <c r="ST34" s="75"/>
      <c r="SU34" s="75"/>
      <c r="SV34" s="75"/>
      <c r="SW34" s="75"/>
      <c r="SX34" s="75"/>
      <c r="SY34" s="75"/>
      <c r="SZ34" s="75"/>
      <c r="TA34" s="75"/>
      <c r="TB34" s="75"/>
      <c r="TC34" s="75"/>
      <c r="TD34" s="75"/>
      <c r="TE34" s="75"/>
      <c r="TF34" s="75"/>
      <c r="TG34" s="75"/>
      <c r="TH34" s="75"/>
      <c r="TI34" s="75"/>
      <c r="TJ34" s="75"/>
      <c r="TK34" s="75"/>
      <c r="TL34" s="75"/>
      <c r="TM34" s="75"/>
      <c r="TN34" s="75"/>
      <c r="TO34" s="75"/>
      <c r="TP34" s="75"/>
      <c r="TQ34" s="75"/>
      <c r="TR34" s="75"/>
      <c r="TS34" s="75"/>
      <c r="TT34" s="75"/>
      <c r="TU34" s="75"/>
      <c r="TV34" s="75"/>
      <c r="TW34" s="75"/>
      <c r="TX34" s="75"/>
      <c r="TY34" s="75"/>
      <c r="TZ34" s="75"/>
      <c r="UA34" s="75"/>
      <c r="UB34" s="75"/>
      <c r="UC34" s="75"/>
      <c r="UD34" s="75"/>
      <c r="UE34" s="75"/>
      <c r="UF34" s="75"/>
      <c r="UG34" s="75"/>
      <c r="UH34" s="75"/>
      <c r="UI34" s="75"/>
      <c r="UJ34" s="75"/>
      <c r="UK34" s="75"/>
      <c r="UL34" s="75"/>
      <c r="UM34" s="75"/>
      <c r="UN34" s="75"/>
      <c r="UO34" s="75"/>
      <c r="UP34" s="75"/>
      <c r="UQ34" s="75"/>
      <c r="UR34" s="75"/>
      <c r="US34" s="75"/>
      <c r="UT34" s="75"/>
      <c r="UU34" s="75"/>
      <c r="UV34" s="75"/>
      <c r="UW34" s="75"/>
      <c r="UX34" s="75"/>
      <c r="UY34" s="75"/>
      <c r="UZ34" s="75"/>
      <c r="VA34" s="75"/>
      <c r="VB34" s="75"/>
      <c r="VC34" s="75">
        <v>8</v>
      </c>
      <c r="VD34" s="75">
        <v>10</v>
      </c>
      <c r="VE34" s="75">
        <v>10</v>
      </c>
      <c r="VF34" s="75"/>
      <c r="VG34" s="75">
        <v>10</v>
      </c>
      <c r="VH34" s="75">
        <v>10</v>
      </c>
      <c r="VI34" s="75">
        <v>10</v>
      </c>
      <c r="VJ34" s="75">
        <v>20</v>
      </c>
      <c r="VK34" s="75">
        <v>20</v>
      </c>
      <c r="VL34" s="75">
        <v>20</v>
      </c>
      <c r="VM34" s="75"/>
      <c r="VN34" s="75">
        <v>20</v>
      </c>
      <c r="VO34" s="75">
        <v>20</v>
      </c>
      <c r="VP34" s="75">
        <v>20</v>
      </c>
      <c r="VQ34" s="75">
        <v>20</v>
      </c>
      <c r="VR34" s="75">
        <v>20</v>
      </c>
      <c r="VS34" s="75">
        <v>20</v>
      </c>
      <c r="VT34" s="75"/>
      <c r="VU34" s="75">
        <v>20</v>
      </c>
      <c r="VV34" s="75">
        <v>20</v>
      </c>
      <c r="VW34" s="75">
        <v>20</v>
      </c>
      <c r="VX34" s="75">
        <v>20</v>
      </c>
      <c r="VY34" s="75">
        <v>20</v>
      </c>
      <c r="VZ34" s="75">
        <v>20</v>
      </c>
      <c r="WA34" s="75"/>
      <c r="WB34" s="75">
        <v>20</v>
      </c>
      <c r="WC34" s="75">
        <v>20</v>
      </c>
      <c r="WD34" s="75">
        <v>20</v>
      </c>
      <c r="WE34" s="75">
        <v>20</v>
      </c>
      <c r="WF34" s="75">
        <v>20</v>
      </c>
      <c r="WG34" s="75">
        <v>20</v>
      </c>
      <c r="WH34" s="75"/>
      <c r="WI34" s="75">
        <v>20</v>
      </c>
      <c r="WJ34" s="75">
        <v>20</v>
      </c>
      <c r="WK34" s="75">
        <v>20</v>
      </c>
      <c r="WL34" s="75">
        <v>12</v>
      </c>
      <c r="WM34" s="75">
        <v>10</v>
      </c>
      <c r="WN34" s="75">
        <v>10</v>
      </c>
      <c r="WO34" s="75"/>
      <c r="WP34" s="75">
        <v>10</v>
      </c>
      <c r="WQ34" s="75">
        <v>10</v>
      </c>
      <c r="WR34" s="75">
        <v>10</v>
      </c>
      <c r="WS34" s="75"/>
      <c r="WT34" s="75"/>
      <c r="WU34" s="75"/>
      <c r="WV34" s="75"/>
      <c r="WW34" s="75"/>
      <c r="WX34" s="75"/>
      <c r="WY34" s="75"/>
      <c r="WZ34" s="75"/>
      <c r="XA34" s="75"/>
      <c r="XB34" s="75"/>
      <c r="XC34" s="75"/>
      <c r="XD34" s="75"/>
      <c r="XE34" s="75"/>
      <c r="XF34" s="75"/>
      <c r="XG34" s="75"/>
      <c r="XH34" s="75"/>
      <c r="XI34" s="75"/>
      <c r="XJ34" s="75"/>
      <c r="XK34" s="75"/>
      <c r="XL34" s="75"/>
      <c r="XM34" s="75"/>
      <c r="XN34" s="75"/>
      <c r="XO34" s="75"/>
      <c r="XP34" s="75"/>
      <c r="XQ34" s="75"/>
      <c r="XR34" s="75"/>
      <c r="XS34" s="75"/>
      <c r="XT34" s="75"/>
      <c r="XU34" s="75"/>
      <c r="XV34" s="75"/>
      <c r="XW34" s="75"/>
      <c r="XX34" s="75"/>
      <c r="XY34" s="75"/>
      <c r="XZ34" s="75"/>
      <c r="YA34" s="75"/>
      <c r="YB34" s="75"/>
      <c r="YC34" s="75"/>
      <c r="YD34" s="75"/>
      <c r="YE34" s="75"/>
      <c r="YF34" s="75"/>
      <c r="YG34" s="75"/>
      <c r="YH34" s="75"/>
      <c r="YI34" s="75"/>
      <c r="YJ34" s="75"/>
      <c r="YK34" s="75"/>
      <c r="YL34" s="75"/>
      <c r="YM34" s="75"/>
      <c r="YN34" s="75"/>
      <c r="YO34" s="75"/>
      <c r="YP34" s="75"/>
      <c r="YQ34" s="75"/>
      <c r="YR34" s="75"/>
      <c r="YS34" s="75"/>
      <c r="YT34" s="75"/>
      <c r="YU34" s="75"/>
      <c r="YV34" s="75"/>
      <c r="YW34" s="75"/>
      <c r="YX34" s="75"/>
      <c r="YY34" s="75"/>
      <c r="YZ34" s="75"/>
      <c r="ZA34" s="75"/>
      <c r="ZB34" s="75"/>
      <c r="ZC34" s="75"/>
      <c r="ZD34" s="75"/>
      <c r="ZE34" s="75"/>
      <c r="ZF34" s="75"/>
      <c r="ZG34" s="75"/>
      <c r="ZH34" s="75"/>
      <c r="ZI34" s="75"/>
      <c r="ZJ34" s="75"/>
      <c r="ZK34" s="75"/>
      <c r="ZL34" s="75"/>
      <c r="ZM34" s="75"/>
      <c r="ZN34" s="75"/>
      <c r="ZO34" s="75"/>
      <c r="ZP34" s="75"/>
      <c r="ZQ34" s="75"/>
      <c r="ZR34" s="75"/>
      <c r="ZS34" s="75"/>
      <c r="ZT34" s="75"/>
      <c r="ZU34" s="75"/>
      <c r="ZV34" s="75"/>
      <c r="ZW34" s="75"/>
      <c r="ZX34" s="75"/>
      <c r="ZY34" s="75"/>
      <c r="ZZ34" s="75"/>
      <c r="AAA34" s="75"/>
      <c r="AAB34" s="75"/>
      <c r="AAC34" s="75"/>
      <c r="AAD34" s="75"/>
      <c r="AAE34" s="75"/>
      <c r="AAF34" s="75"/>
      <c r="AAG34" s="75"/>
      <c r="AAH34" s="75"/>
      <c r="AAI34" s="75"/>
      <c r="AAJ34" s="75"/>
      <c r="AAK34" s="75"/>
      <c r="AAL34" s="75"/>
      <c r="AAM34" s="75"/>
      <c r="AAN34" s="75"/>
      <c r="AAO34" s="75"/>
      <c r="AAP34" s="75"/>
      <c r="AAQ34" s="75"/>
      <c r="AAR34" s="75"/>
      <c r="AAS34" s="75"/>
      <c r="AAT34" s="75"/>
      <c r="AAU34" s="75"/>
      <c r="AAV34" s="75"/>
      <c r="AAW34" s="75"/>
      <c r="AAX34" s="75"/>
      <c r="AAY34" s="75"/>
      <c r="AAZ34" s="75"/>
      <c r="ABA34" s="75"/>
      <c r="ABB34" s="75"/>
      <c r="ABC34" s="75"/>
    </row>
    <row r="35" spans="1:731">
      <c r="A35" s="75" t="s">
        <v>73</v>
      </c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5"/>
      <c r="BF35" s="75"/>
      <c r="BG35" s="75"/>
      <c r="BH35" s="75"/>
      <c r="BI35" s="75"/>
      <c r="BJ35" s="75"/>
      <c r="BK35" s="75"/>
      <c r="BL35" s="75"/>
      <c r="BM35" s="75"/>
      <c r="BN35" s="75"/>
      <c r="BO35" s="75"/>
      <c r="BP35" s="75"/>
      <c r="BQ35" s="75"/>
      <c r="BR35" s="75"/>
      <c r="BS35" s="75"/>
      <c r="BT35" s="75"/>
      <c r="BU35" s="75"/>
      <c r="BV35" s="75"/>
      <c r="BW35" s="75"/>
      <c r="BX35" s="75"/>
      <c r="BY35" s="75"/>
      <c r="BZ35" s="75"/>
      <c r="CA35" s="75"/>
      <c r="CB35" s="75"/>
      <c r="CC35" s="75"/>
      <c r="CD35" s="75"/>
      <c r="CE35" s="75"/>
      <c r="CF35" s="75"/>
      <c r="CG35" s="75"/>
      <c r="CH35" s="75"/>
      <c r="CI35" s="75"/>
      <c r="CJ35" s="75"/>
      <c r="CK35" s="75"/>
      <c r="CL35" s="75"/>
      <c r="CM35" s="75"/>
      <c r="CN35" s="75"/>
      <c r="CO35" s="75"/>
      <c r="CP35" s="75"/>
      <c r="CQ35" s="75"/>
      <c r="CR35" s="75"/>
      <c r="CS35" s="75"/>
      <c r="CT35" s="75"/>
      <c r="CU35" s="75"/>
      <c r="CV35" s="75"/>
      <c r="CW35" s="75"/>
      <c r="CX35" s="75"/>
      <c r="CY35" s="75"/>
      <c r="CZ35" s="75"/>
      <c r="DA35" s="75"/>
      <c r="DB35" s="75"/>
      <c r="DC35" s="75"/>
      <c r="DD35" s="75"/>
      <c r="DE35" s="75"/>
      <c r="DF35" s="75"/>
      <c r="DG35" s="75"/>
      <c r="DH35" s="75"/>
      <c r="DI35" s="75"/>
      <c r="DJ35" s="75"/>
      <c r="DK35" s="75"/>
      <c r="DL35" s="75"/>
      <c r="DM35" s="75"/>
      <c r="DN35" s="75"/>
      <c r="DO35" s="75"/>
      <c r="DP35" s="75"/>
      <c r="DQ35" s="75"/>
      <c r="DR35" s="75"/>
      <c r="DS35" s="75"/>
      <c r="DT35" s="75"/>
      <c r="DU35" s="75"/>
      <c r="DV35" s="75"/>
      <c r="DW35" s="75"/>
      <c r="DX35" s="75"/>
      <c r="DY35" s="75"/>
      <c r="DZ35" s="75"/>
      <c r="EA35" s="75"/>
      <c r="EB35" s="75"/>
      <c r="EC35" s="75"/>
      <c r="ED35" s="75"/>
      <c r="EE35" s="75"/>
      <c r="EF35" s="75"/>
      <c r="EG35" s="75"/>
      <c r="EH35" s="75"/>
      <c r="EI35" s="75"/>
      <c r="EJ35" s="75"/>
      <c r="EK35" s="75"/>
      <c r="EL35" s="75"/>
      <c r="EM35" s="75"/>
      <c r="EN35" s="75"/>
      <c r="EO35" s="75"/>
      <c r="EP35" s="75"/>
      <c r="EQ35" s="75"/>
      <c r="ER35" s="75"/>
      <c r="ES35" s="75"/>
      <c r="ET35" s="75"/>
      <c r="EU35" s="75"/>
      <c r="EV35" s="75"/>
      <c r="EW35" s="75"/>
      <c r="EX35" s="75"/>
      <c r="EY35" s="75"/>
      <c r="EZ35" s="75"/>
      <c r="FA35" s="75"/>
      <c r="FB35" s="75"/>
      <c r="FC35" s="75"/>
      <c r="FD35" s="75"/>
      <c r="FE35" s="75"/>
      <c r="FF35" s="75"/>
      <c r="FG35" s="75"/>
      <c r="FH35" s="75"/>
      <c r="FI35" s="75"/>
      <c r="FJ35" s="75"/>
      <c r="FK35" s="75"/>
      <c r="FL35" s="75"/>
      <c r="FM35" s="75"/>
      <c r="FN35" s="75"/>
      <c r="FO35" s="75"/>
      <c r="FP35" s="75"/>
      <c r="FQ35" s="75"/>
      <c r="FR35" s="75"/>
      <c r="FS35" s="75"/>
      <c r="FT35" s="75"/>
      <c r="FU35" s="75"/>
      <c r="FV35" s="75"/>
      <c r="FW35" s="75"/>
      <c r="FX35" s="75"/>
      <c r="FY35" s="75"/>
      <c r="FZ35" s="75"/>
      <c r="GA35" s="75"/>
      <c r="GB35" s="75"/>
      <c r="GC35" s="75"/>
      <c r="GD35" s="75"/>
      <c r="GE35" s="75"/>
      <c r="GF35" s="75"/>
      <c r="GG35" s="75"/>
      <c r="GH35" s="75"/>
      <c r="GI35" s="75"/>
      <c r="GJ35" s="75"/>
      <c r="GK35" s="75"/>
      <c r="GL35" s="75"/>
      <c r="GM35" s="75"/>
      <c r="GN35" s="75"/>
      <c r="GO35" s="75"/>
      <c r="GP35" s="75"/>
      <c r="GQ35" s="75"/>
      <c r="GR35" s="75"/>
      <c r="GS35" s="75"/>
      <c r="GT35" s="75"/>
      <c r="GU35" s="75"/>
      <c r="GV35" s="75"/>
      <c r="GW35" s="75"/>
      <c r="GX35" s="75"/>
      <c r="GY35" s="75"/>
      <c r="GZ35" s="75"/>
      <c r="HA35" s="75"/>
      <c r="HB35" s="75"/>
      <c r="HC35" s="75"/>
      <c r="HD35" s="75"/>
      <c r="HE35" s="75"/>
      <c r="HF35" s="75"/>
      <c r="HG35" s="75"/>
      <c r="HH35" s="75"/>
      <c r="HI35" s="75"/>
      <c r="HJ35" s="75"/>
      <c r="HK35" s="75"/>
      <c r="HL35" s="75"/>
      <c r="HM35" s="75"/>
      <c r="HN35" s="75"/>
      <c r="HO35" s="75"/>
      <c r="HP35" s="75"/>
      <c r="HQ35" s="75"/>
      <c r="HR35" s="75"/>
      <c r="HS35" s="75"/>
      <c r="HT35" s="75"/>
      <c r="HU35" s="75"/>
      <c r="HV35" s="75"/>
      <c r="HW35" s="75"/>
      <c r="HX35" s="75"/>
      <c r="HY35" s="75"/>
      <c r="HZ35" s="75"/>
      <c r="IA35" s="75"/>
      <c r="IB35" s="75"/>
      <c r="IC35" s="75"/>
      <c r="ID35" s="75"/>
      <c r="IE35" s="75"/>
      <c r="IF35" s="75"/>
      <c r="IG35" s="75"/>
      <c r="IH35" s="75"/>
      <c r="II35" s="75"/>
      <c r="IJ35" s="75"/>
      <c r="IK35" s="75"/>
      <c r="IL35" s="75"/>
      <c r="IM35" s="75"/>
      <c r="IN35" s="75"/>
      <c r="IO35" s="75"/>
      <c r="IP35" s="75"/>
      <c r="IQ35" s="75"/>
      <c r="IR35" s="75"/>
      <c r="IS35" s="75"/>
      <c r="IT35" s="75"/>
      <c r="IU35" s="75"/>
      <c r="IV35" s="75"/>
      <c r="IW35" s="75"/>
      <c r="IX35" s="75"/>
      <c r="IY35" s="75"/>
      <c r="IZ35" s="75"/>
      <c r="JA35" s="75"/>
      <c r="JB35" s="75"/>
      <c r="JC35" s="75"/>
      <c r="JD35" s="75"/>
      <c r="JE35" s="75"/>
      <c r="JF35" s="75"/>
      <c r="JG35" s="75"/>
      <c r="JH35" s="75"/>
      <c r="JI35" s="75"/>
      <c r="JJ35" s="75"/>
      <c r="JK35" s="75"/>
      <c r="JL35" s="75"/>
      <c r="JM35" s="75"/>
      <c r="JN35" s="75"/>
      <c r="JO35" s="75"/>
      <c r="JP35" s="75"/>
      <c r="JQ35" s="75"/>
      <c r="JR35" s="75"/>
      <c r="JS35" s="75"/>
      <c r="JT35" s="75"/>
      <c r="JU35" s="75"/>
      <c r="JV35" s="75"/>
      <c r="JW35" s="75"/>
      <c r="JX35" s="75"/>
      <c r="JY35" s="75"/>
      <c r="JZ35" s="75"/>
      <c r="KA35" s="75"/>
      <c r="KB35" s="75"/>
      <c r="KC35" s="75"/>
      <c r="KD35" s="75"/>
      <c r="KE35" s="75"/>
      <c r="KF35" s="75"/>
      <c r="KG35" s="75"/>
      <c r="KH35" s="75"/>
      <c r="KI35" s="75"/>
      <c r="KJ35" s="75"/>
      <c r="KK35" s="75"/>
      <c r="KL35" s="75"/>
      <c r="KM35" s="75"/>
      <c r="KN35" s="75"/>
      <c r="KO35" s="75"/>
      <c r="KP35" s="75"/>
      <c r="KQ35" s="75"/>
      <c r="KR35" s="75"/>
      <c r="KS35" s="75"/>
      <c r="KT35" s="75"/>
      <c r="KU35" s="75"/>
      <c r="KV35" s="75"/>
      <c r="KW35" s="75"/>
      <c r="KX35" s="75"/>
      <c r="KY35" s="75"/>
      <c r="KZ35" s="75"/>
      <c r="LA35" s="75"/>
      <c r="LB35" s="75"/>
      <c r="LC35" s="75"/>
      <c r="LD35" s="75"/>
      <c r="LE35" s="75"/>
      <c r="LF35" s="75"/>
      <c r="LG35" s="75"/>
      <c r="LH35" s="75"/>
      <c r="LI35" s="75"/>
      <c r="LJ35" s="75"/>
      <c r="LK35" s="75"/>
      <c r="LL35" s="75"/>
      <c r="LM35" s="75"/>
      <c r="LN35" s="75"/>
      <c r="LO35" s="75"/>
      <c r="LP35" s="75"/>
      <c r="LQ35" s="75"/>
      <c r="LR35" s="75"/>
      <c r="LS35" s="75"/>
      <c r="LT35" s="75"/>
      <c r="LU35" s="75"/>
      <c r="LV35" s="75"/>
      <c r="LW35" s="75"/>
      <c r="LX35" s="75"/>
      <c r="LY35" s="75"/>
      <c r="LZ35" s="75"/>
      <c r="MA35" s="75"/>
      <c r="MB35" s="75"/>
      <c r="MC35" s="75"/>
      <c r="MD35" s="75"/>
      <c r="ME35" s="75"/>
      <c r="MF35" s="75"/>
      <c r="MG35" s="75"/>
      <c r="MH35" s="75"/>
      <c r="MI35" s="75"/>
      <c r="MJ35" s="75"/>
      <c r="MK35" s="75"/>
      <c r="ML35" s="75"/>
      <c r="MM35" s="75"/>
      <c r="MN35" s="75"/>
      <c r="MO35" s="75"/>
      <c r="MP35" s="75"/>
      <c r="MQ35" s="75"/>
      <c r="MR35" s="75"/>
      <c r="MS35" s="75"/>
      <c r="MT35" s="75"/>
      <c r="MU35" s="75"/>
      <c r="MV35" s="75"/>
      <c r="MW35" s="75"/>
      <c r="MX35" s="75"/>
      <c r="MY35" s="75"/>
      <c r="MZ35" s="75"/>
      <c r="NA35" s="75"/>
      <c r="NB35" s="75"/>
      <c r="NC35" s="75"/>
      <c r="ND35" s="75"/>
      <c r="NE35" s="75"/>
      <c r="NF35" s="75"/>
      <c r="NG35" s="75"/>
      <c r="NH35" s="75"/>
      <c r="NI35" s="75"/>
      <c r="NJ35" s="75"/>
      <c r="NK35" s="75"/>
      <c r="NL35" s="75"/>
      <c r="NM35" s="75"/>
      <c r="NN35" s="75"/>
      <c r="NO35" s="75"/>
      <c r="NP35" s="75"/>
      <c r="NQ35" s="75"/>
      <c r="NR35" s="75"/>
      <c r="NS35" s="75"/>
      <c r="NT35" s="75"/>
      <c r="NU35" s="75"/>
      <c r="NV35" s="75"/>
      <c r="NW35" s="75"/>
      <c r="NX35" s="75"/>
      <c r="NY35" s="75"/>
      <c r="NZ35" s="75"/>
      <c r="OA35" s="75"/>
      <c r="OB35" s="75"/>
      <c r="OC35" s="75"/>
      <c r="OD35" s="75"/>
      <c r="OE35" s="75"/>
      <c r="OF35" s="75"/>
      <c r="OG35" s="75"/>
      <c r="OH35" s="75"/>
      <c r="OI35" s="75"/>
      <c r="OJ35" s="75"/>
      <c r="OK35" s="75"/>
      <c r="OL35" s="75"/>
      <c r="OM35" s="75"/>
      <c r="ON35" s="75"/>
      <c r="OO35" s="75"/>
      <c r="OP35" s="75"/>
      <c r="OQ35" s="75"/>
      <c r="OR35" s="75"/>
      <c r="OS35" s="75"/>
      <c r="OT35" s="75"/>
      <c r="OU35" s="75"/>
      <c r="OV35" s="75"/>
      <c r="OW35" s="75"/>
      <c r="OX35" s="75"/>
      <c r="OY35" s="75"/>
      <c r="OZ35" s="75"/>
      <c r="PA35" s="75"/>
      <c r="PB35" s="75"/>
      <c r="PC35" s="75"/>
      <c r="PD35" s="75"/>
      <c r="PE35" s="75"/>
      <c r="PF35" s="75"/>
      <c r="PG35" s="75"/>
      <c r="PH35" s="75"/>
      <c r="PI35" s="75"/>
      <c r="PJ35" s="75"/>
      <c r="PK35" s="75"/>
      <c r="PL35" s="75"/>
      <c r="PM35" s="75"/>
      <c r="PN35" s="75"/>
      <c r="PO35" s="75"/>
      <c r="PP35" s="75"/>
      <c r="PQ35" s="75"/>
      <c r="PR35" s="75"/>
      <c r="PS35" s="75"/>
      <c r="PT35" s="75"/>
      <c r="PU35" s="75"/>
      <c r="PV35" s="75"/>
      <c r="PW35" s="75"/>
      <c r="PX35" s="75"/>
      <c r="PY35" s="75"/>
      <c r="PZ35" s="75"/>
      <c r="QA35" s="75"/>
      <c r="QB35" s="75"/>
      <c r="QC35" s="75"/>
      <c r="QD35" s="75"/>
      <c r="QE35" s="75"/>
      <c r="QF35" s="75"/>
      <c r="QG35" s="75"/>
      <c r="QH35" s="75"/>
      <c r="QI35" s="75"/>
      <c r="QJ35" s="75"/>
      <c r="QK35" s="75"/>
      <c r="QL35" s="75"/>
      <c r="QM35" s="75"/>
      <c r="QN35" s="75"/>
      <c r="QO35" s="75"/>
      <c r="QP35" s="75"/>
      <c r="QQ35" s="75"/>
      <c r="QR35" s="75"/>
      <c r="QS35" s="75"/>
      <c r="QT35" s="75"/>
      <c r="QU35" s="75"/>
      <c r="QV35" s="75"/>
      <c r="QW35" s="75"/>
      <c r="QX35" s="75"/>
      <c r="QY35" s="75"/>
      <c r="QZ35" s="75"/>
      <c r="RA35" s="75"/>
      <c r="RB35" s="75"/>
      <c r="RC35" s="75"/>
      <c r="RD35" s="75"/>
      <c r="RE35" s="75"/>
      <c r="RF35" s="75"/>
      <c r="RG35" s="75"/>
      <c r="RH35" s="75"/>
      <c r="RI35" s="75"/>
      <c r="RJ35" s="75"/>
      <c r="RK35" s="75"/>
      <c r="RL35" s="75"/>
      <c r="RM35" s="75"/>
      <c r="RN35" s="75"/>
      <c r="RO35" s="75"/>
      <c r="RP35" s="75"/>
      <c r="RQ35" s="75"/>
      <c r="RR35" s="75"/>
      <c r="RS35" s="75"/>
      <c r="RT35" s="75"/>
      <c r="RU35" s="75"/>
      <c r="RV35" s="75"/>
      <c r="RW35" s="75"/>
      <c r="RX35" s="75"/>
      <c r="RY35" s="75"/>
      <c r="RZ35" s="75"/>
      <c r="SA35" s="75"/>
      <c r="SB35" s="75"/>
      <c r="SC35" s="75"/>
      <c r="SD35" s="75"/>
      <c r="SE35" s="75"/>
      <c r="SF35" s="75"/>
      <c r="SG35" s="75"/>
      <c r="SH35" s="75"/>
      <c r="SI35" s="75"/>
      <c r="SJ35" s="75"/>
      <c r="SK35" s="75"/>
      <c r="SL35" s="75"/>
      <c r="SM35" s="75"/>
      <c r="SN35" s="75"/>
      <c r="SO35" s="75"/>
      <c r="SP35" s="75"/>
      <c r="SQ35" s="75"/>
      <c r="SR35" s="75"/>
      <c r="SS35" s="75"/>
      <c r="ST35" s="75"/>
      <c r="SU35" s="75"/>
      <c r="SV35" s="75"/>
      <c r="SW35" s="75"/>
      <c r="SX35" s="75"/>
      <c r="SY35" s="75"/>
      <c r="SZ35" s="75"/>
      <c r="TA35" s="75"/>
      <c r="TB35" s="75"/>
      <c r="TC35" s="75"/>
      <c r="TD35" s="75"/>
      <c r="TE35" s="75"/>
      <c r="TF35" s="75"/>
      <c r="TG35" s="75"/>
      <c r="TH35" s="75"/>
      <c r="TI35" s="75"/>
      <c r="TJ35" s="75"/>
      <c r="TK35" s="75"/>
      <c r="TL35" s="75"/>
      <c r="TM35" s="75"/>
      <c r="TN35" s="75"/>
      <c r="TO35" s="75"/>
      <c r="TP35" s="75"/>
      <c r="TQ35" s="75"/>
      <c r="TR35" s="75"/>
      <c r="TS35" s="75"/>
      <c r="TT35" s="75"/>
      <c r="TU35" s="75"/>
      <c r="TV35" s="75"/>
      <c r="TW35" s="75"/>
      <c r="TX35" s="75"/>
      <c r="TY35" s="75"/>
      <c r="TZ35" s="75"/>
      <c r="UA35" s="75"/>
      <c r="UB35" s="75"/>
      <c r="UC35" s="75"/>
      <c r="UD35" s="75"/>
      <c r="UE35" s="75"/>
      <c r="UF35" s="75"/>
      <c r="UG35" s="75"/>
      <c r="UH35" s="75"/>
      <c r="UI35" s="75"/>
      <c r="UJ35" s="75"/>
      <c r="UK35" s="75"/>
      <c r="UL35" s="75"/>
      <c r="UM35" s="75"/>
      <c r="UN35" s="75"/>
      <c r="UO35" s="75"/>
      <c r="UP35" s="75"/>
      <c r="UQ35" s="75"/>
      <c r="UR35" s="75"/>
      <c r="US35" s="75">
        <v>6</v>
      </c>
      <c r="UT35" s="75">
        <v>8</v>
      </c>
      <c r="UU35" s="75">
        <v>8</v>
      </c>
      <c r="UV35" s="75">
        <v>8</v>
      </c>
      <c r="UW35" s="75">
        <v>8</v>
      </c>
      <c r="UX35" s="75">
        <v>14</v>
      </c>
      <c r="UY35" s="75"/>
      <c r="UZ35" s="75">
        <v>24</v>
      </c>
      <c r="VA35" s="75">
        <v>24</v>
      </c>
      <c r="VB35" s="75">
        <v>24</v>
      </c>
      <c r="VC35" s="75">
        <v>24</v>
      </c>
      <c r="VD35" s="75">
        <v>18</v>
      </c>
      <c r="VE35" s="75">
        <v>24</v>
      </c>
      <c r="VF35" s="75"/>
      <c r="VG35" s="75">
        <v>24</v>
      </c>
      <c r="VH35" s="75">
        <v>24</v>
      </c>
      <c r="VI35" s="75">
        <v>24</v>
      </c>
      <c r="VJ35" s="75">
        <v>18</v>
      </c>
      <c r="VK35" s="75">
        <v>8</v>
      </c>
      <c r="VL35" s="75">
        <v>8</v>
      </c>
      <c r="VM35" s="75"/>
      <c r="VN35" s="75">
        <v>8</v>
      </c>
      <c r="VO35" s="75">
        <v>8</v>
      </c>
      <c r="VP35" s="75">
        <v>8</v>
      </c>
      <c r="VQ35" s="75"/>
      <c r="VR35" s="75"/>
      <c r="VS35" s="75"/>
      <c r="VT35" s="75"/>
      <c r="VU35" s="75"/>
      <c r="VV35" s="75"/>
      <c r="VW35" s="75"/>
      <c r="VX35" s="75"/>
      <c r="VY35" s="75"/>
      <c r="VZ35" s="75"/>
      <c r="WA35" s="75"/>
      <c r="WB35" s="75"/>
      <c r="WC35" s="75"/>
      <c r="WD35" s="75"/>
      <c r="WE35" s="75"/>
      <c r="WF35" s="75"/>
      <c r="WG35" s="75"/>
      <c r="WH35" s="75"/>
      <c r="WI35" s="75"/>
      <c r="WJ35" s="75"/>
      <c r="WK35" s="75"/>
      <c r="WL35" s="75"/>
      <c r="WM35" s="75"/>
      <c r="WN35" s="75"/>
      <c r="WO35" s="75"/>
      <c r="WP35" s="75"/>
      <c r="WQ35" s="75"/>
      <c r="WR35" s="75"/>
      <c r="WS35" s="75"/>
      <c r="WT35" s="75"/>
      <c r="WU35" s="75"/>
      <c r="WV35" s="75"/>
      <c r="WW35" s="75"/>
      <c r="WX35" s="75"/>
      <c r="WY35" s="75"/>
      <c r="WZ35" s="75"/>
      <c r="XA35" s="75"/>
      <c r="XB35" s="75"/>
      <c r="XC35" s="75"/>
      <c r="XD35" s="75"/>
      <c r="XE35" s="75"/>
      <c r="XF35" s="75"/>
      <c r="XG35" s="75"/>
      <c r="XH35" s="75"/>
      <c r="XI35" s="75"/>
      <c r="XJ35" s="75"/>
      <c r="XK35" s="75"/>
      <c r="XL35" s="75"/>
      <c r="XM35" s="75"/>
      <c r="XN35" s="75"/>
      <c r="XO35" s="75"/>
      <c r="XP35" s="75"/>
      <c r="XQ35" s="75"/>
      <c r="XR35" s="75"/>
      <c r="XS35" s="75"/>
      <c r="XT35" s="75"/>
      <c r="XU35" s="75"/>
      <c r="XV35" s="75"/>
      <c r="XW35" s="75"/>
      <c r="XX35" s="75"/>
      <c r="XY35" s="75"/>
      <c r="XZ35" s="75"/>
      <c r="YA35" s="75"/>
      <c r="YB35" s="75"/>
      <c r="YC35" s="75"/>
      <c r="YD35" s="75"/>
      <c r="YE35" s="75"/>
      <c r="YF35" s="75"/>
      <c r="YG35" s="75"/>
      <c r="YH35" s="75"/>
      <c r="YI35" s="75"/>
      <c r="YJ35" s="75"/>
      <c r="YK35" s="75"/>
      <c r="YL35" s="75"/>
      <c r="YM35" s="75"/>
      <c r="YN35" s="75"/>
      <c r="YO35" s="75"/>
      <c r="YP35" s="75"/>
      <c r="YQ35" s="75"/>
      <c r="YR35" s="75"/>
      <c r="YS35" s="75"/>
      <c r="YT35" s="75"/>
      <c r="YU35" s="75"/>
      <c r="YV35" s="75"/>
      <c r="YW35" s="75"/>
      <c r="YX35" s="75"/>
      <c r="YY35" s="75"/>
      <c r="YZ35" s="75"/>
      <c r="ZA35" s="75"/>
      <c r="ZB35" s="75"/>
      <c r="ZC35" s="75"/>
      <c r="ZD35" s="75"/>
      <c r="ZE35" s="75"/>
      <c r="ZF35" s="75"/>
      <c r="ZG35" s="75"/>
      <c r="ZH35" s="75"/>
      <c r="ZI35" s="75"/>
      <c r="ZJ35" s="75"/>
      <c r="ZK35" s="75"/>
      <c r="ZL35" s="75"/>
      <c r="ZM35" s="75"/>
      <c r="ZN35" s="75"/>
      <c r="ZO35" s="75"/>
      <c r="ZP35" s="75"/>
      <c r="ZQ35" s="75"/>
      <c r="ZR35" s="75"/>
      <c r="ZS35" s="75"/>
      <c r="ZT35" s="75"/>
      <c r="ZU35" s="75"/>
      <c r="ZV35" s="75"/>
      <c r="ZW35" s="75"/>
      <c r="ZX35" s="75"/>
      <c r="ZY35" s="75"/>
      <c r="ZZ35" s="75"/>
      <c r="AAA35" s="75"/>
      <c r="AAB35" s="75"/>
      <c r="AAC35" s="75"/>
      <c r="AAD35" s="75"/>
      <c r="AAE35" s="75"/>
      <c r="AAF35" s="75"/>
      <c r="AAG35" s="75"/>
      <c r="AAH35" s="75"/>
      <c r="AAI35" s="75"/>
      <c r="AAJ35" s="75"/>
      <c r="AAK35" s="75"/>
      <c r="AAL35" s="75"/>
      <c r="AAM35" s="75"/>
      <c r="AAN35" s="75"/>
      <c r="AAO35" s="75"/>
      <c r="AAP35" s="75"/>
      <c r="AAQ35" s="75"/>
      <c r="AAR35" s="75"/>
      <c r="AAS35" s="75"/>
      <c r="AAT35" s="75"/>
      <c r="AAU35" s="75"/>
      <c r="AAV35" s="75"/>
      <c r="AAW35" s="75"/>
      <c r="AAX35" s="75"/>
      <c r="AAY35" s="75"/>
      <c r="AAZ35" s="75"/>
      <c r="ABA35" s="75"/>
      <c r="ABB35" s="75"/>
      <c r="ABC35" s="75"/>
    </row>
    <row r="36" spans="1:731">
      <c r="A36" s="75" t="s">
        <v>62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75"/>
      <c r="BC36" s="75"/>
      <c r="BD36" s="75"/>
      <c r="BE36" s="75"/>
      <c r="BF36" s="75"/>
      <c r="BG36" s="75"/>
      <c r="BH36" s="75"/>
      <c r="BI36" s="75"/>
      <c r="BJ36" s="75"/>
      <c r="BK36" s="75"/>
      <c r="BL36" s="75"/>
      <c r="BM36" s="75"/>
      <c r="BN36" s="75"/>
      <c r="BO36" s="75"/>
      <c r="BP36" s="75"/>
      <c r="BQ36" s="75"/>
      <c r="BR36" s="75"/>
      <c r="BS36" s="75"/>
      <c r="BT36" s="75"/>
      <c r="BU36" s="75"/>
      <c r="BV36" s="75"/>
      <c r="BW36" s="75"/>
      <c r="BX36" s="75"/>
      <c r="BY36" s="75"/>
      <c r="BZ36" s="75"/>
      <c r="CA36" s="75"/>
      <c r="CB36" s="75"/>
      <c r="CC36" s="75"/>
      <c r="CD36" s="75"/>
      <c r="CE36" s="75"/>
      <c r="CF36" s="75"/>
      <c r="CG36" s="75"/>
      <c r="CH36" s="75"/>
      <c r="CI36" s="75"/>
      <c r="CJ36" s="75"/>
      <c r="CK36" s="75"/>
      <c r="CL36" s="75"/>
      <c r="CM36" s="75"/>
      <c r="CN36" s="75"/>
      <c r="CO36" s="75"/>
      <c r="CP36" s="75"/>
      <c r="CQ36" s="75"/>
      <c r="CR36" s="75"/>
      <c r="CS36" s="75"/>
      <c r="CT36" s="75"/>
      <c r="CU36" s="75"/>
      <c r="CV36" s="75"/>
      <c r="CW36" s="75"/>
      <c r="CX36" s="75"/>
      <c r="CY36" s="75"/>
      <c r="CZ36" s="75"/>
      <c r="DA36" s="75"/>
      <c r="DB36" s="75"/>
      <c r="DC36" s="75"/>
      <c r="DD36" s="75"/>
      <c r="DE36" s="75"/>
      <c r="DF36" s="75"/>
      <c r="DG36" s="75"/>
      <c r="DH36" s="75"/>
      <c r="DI36" s="75"/>
      <c r="DJ36" s="75"/>
      <c r="DK36" s="75"/>
      <c r="DL36" s="75"/>
      <c r="DM36" s="75"/>
      <c r="DN36" s="75"/>
      <c r="DO36" s="75"/>
      <c r="DP36" s="75"/>
      <c r="DQ36" s="75"/>
      <c r="DR36" s="75"/>
      <c r="DS36" s="75"/>
      <c r="DT36" s="75"/>
      <c r="DU36" s="75"/>
      <c r="DV36" s="75"/>
      <c r="DW36" s="75"/>
      <c r="DX36" s="75"/>
      <c r="DY36" s="75"/>
      <c r="DZ36" s="75"/>
      <c r="EA36" s="75"/>
      <c r="EB36" s="75"/>
      <c r="EC36" s="75"/>
      <c r="ED36" s="75"/>
      <c r="EE36" s="75"/>
      <c r="EF36" s="75"/>
      <c r="EG36" s="75"/>
      <c r="EH36" s="75"/>
      <c r="EI36" s="75"/>
      <c r="EJ36" s="75"/>
      <c r="EK36" s="75"/>
      <c r="EL36" s="75"/>
      <c r="EM36" s="75"/>
      <c r="EN36" s="75"/>
      <c r="EO36" s="75"/>
      <c r="EP36" s="75"/>
      <c r="EQ36" s="75"/>
      <c r="ER36" s="75"/>
      <c r="ES36" s="75"/>
      <c r="ET36" s="75"/>
      <c r="EU36" s="75"/>
      <c r="EV36" s="75"/>
      <c r="EW36" s="75"/>
      <c r="EX36" s="75"/>
      <c r="EY36" s="75"/>
      <c r="EZ36" s="75"/>
      <c r="FA36" s="75"/>
      <c r="FB36" s="75"/>
      <c r="FC36" s="75"/>
      <c r="FD36" s="75"/>
      <c r="FE36" s="75"/>
      <c r="FF36" s="75"/>
      <c r="FG36" s="75"/>
      <c r="FH36" s="75"/>
      <c r="FI36" s="75"/>
      <c r="FJ36" s="75"/>
      <c r="FK36" s="75"/>
      <c r="FL36" s="75"/>
      <c r="FM36" s="75"/>
      <c r="FN36" s="75"/>
      <c r="FO36" s="75"/>
      <c r="FP36" s="75"/>
      <c r="FQ36" s="75"/>
      <c r="FR36" s="75"/>
      <c r="FS36" s="75"/>
      <c r="FT36" s="75"/>
      <c r="FU36" s="75"/>
      <c r="FV36" s="75"/>
      <c r="FW36" s="75"/>
      <c r="FX36" s="75"/>
      <c r="FY36" s="75"/>
      <c r="FZ36" s="75"/>
      <c r="GA36" s="75"/>
      <c r="GB36" s="75"/>
      <c r="GC36" s="75"/>
      <c r="GD36" s="75"/>
      <c r="GE36" s="75"/>
      <c r="GF36" s="75"/>
      <c r="GG36" s="75"/>
      <c r="GH36" s="75"/>
      <c r="GI36" s="75"/>
      <c r="GJ36" s="75"/>
      <c r="GK36" s="75"/>
      <c r="GL36" s="75"/>
      <c r="GM36" s="75"/>
      <c r="GN36" s="75"/>
      <c r="GO36" s="75"/>
      <c r="GP36" s="75"/>
      <c r="GQ36" s="75"/>
      <c r="GR36" s="75"/>
      <c r="GS36" s="75"/>
      <c r="GT36" s="75"/>
      <c r="GU36" s="75"/>
      <c r="GV36" s="75"/>
      <c r="GW36" s="75"/>
      <c r="GX36" s="75"/>
      <c r="GY36" s="75"/>
      <c r="GZ36" s="75"/>
      <c r="HA36" s="75"/>
      <c r="HB36" s="75"/>
      <c r="HC36" s="75"/>
      <c r="HD36" s="75"/>
      <c r="HE36" s="75"/>
      <c r="HF36" s="75"/>
      <c r="HG36" s="75"/>
      <c r="HH36" s="75"/>
      <c r="HI36" s="75"/>
      <c r="HJ36" s="75"/>
      <c r="HK36" s="75"/>
      <c r="HL36" s="75"/>
      <c r="HM36" s="75"/>
      <c r="HN36" s="75"/>
      <c r="HO36" s="75"/>
      <c r="HP36" s="75"/>
      <c r="HQ36" s="75"/>
      <c r="HR36" s="75"/>
      <c r="HS36" s="75"/>
      <c r="HT36" s="75"/>
      <c r="HU36" s="75"/>
      <c r="HV36" s="75"/>
      <c r="HW36" s="75"/>
      <c r="HX36" s="75"/>
      <c r="HY36" s="75"/>
      <c r="HZ36" s="75"/>
      <c r="IA36" s="75"/>
      <c r="IB36" s="75"/>
      <c r="IC36" s="75"/>
      <c r="ID36" s="75"/>
      <c r="IE36" s="75"/>
      <c r="IF36" s="75"/>
      <c r="IG36" s="75"/>
      <c r="IH36" s="75"/>
      <c r="II36" s="75"/>
      <c r="IJ36" s="75"/>
      <c r="IK36" s="75"/>
      <c r="IL36" s="75"/>
      <c r="IM36" s="75"/>
      <c r="IN36" s="75"/>
      <c r="IO36" s="75"/>
      <c r="IP36" s="75"/>
      <c r="IQ36" s="75"/>
      <c r="IR36" s="75"/>
      <c r="IS36" s="75"/>
      <c r="IT36" s="75"/>
      <c r="IU36" s="75"/>
      <c r="IV36" s="75"/>
      <c r="IW36" s="75"/>
      <c r="IX36" s="75"/>
      <c r="IY36" s="75"/>
      <c r="IZ36" s="75"/>
      <c r="JA36" s="75"/>
      <c r="JB36" s="75"/>
      <c r="JC36" s="75"/>
      <c r="JD36" s="75"/>
      <c r="JE36" s="75"/>
      <c r="JF36" s="75"/>
      <c r="JG36" s="75"/>
      <c r="JH36" s="75"/>
      <c r="JI36" s="75"/>
      <c r="JJ36" s="75"/>
      <c r="JK36" s="75"/>
      <c r="JL36" s="75"/>
      <c r="JM36" s="75"/>
      <c r="JN36" s="75"/>
      <c r="JO36" s="75"/>
      <c r="JP36" s="75"/>
      <c r="JQ36" s="75"/>
      <c r="JR36" s="75"/>
      <c r="JS36" s="75"/>
      <c r="JT36" s="75"/>
      <c r="JU36" s="75"/>
      <c r="JV36" s="75"/>
      <c r="JW36" s="75"/>
      <c r="JX36" s="75"/>
      <c r="JY36" s="75"/>
      <c r="JZ36" s="75"/>
      <c r="KA36" s="75"/>
      <c r="KB36" s="75"/>
      <c r="KC36" s="75"/>
      <c r="KD36" s="75"/>
      <c r="KE36" s="75"/>
      <c r="KF36" s="75"/>
      <c r="KG36" s="75"/>
      <c r="KH36" s="75"/>
      <c r="KI36" s="75"/>
      <c r="KJ36" s="75"/>
      <c r="KK36" s="75"/>
      <c r="KL36" s="75"/>
      <c r="KM36" s="75"/>
      <c r="KN36" s="75"/>
      <c r="KO36" s="75"/>
      <c r="KP36" s="75"/>
      <c r="KQ36" s="75"/>
      <c r="KR36" s="75"/>
      <c r="KS36" s="75"/>
      <c r="KT36" s="75"/>
      <c r="KU36" s="75"/>
      <c r="KV36" s="75"/>
      <c r="KW36" s="75"/>
      <c r="KX36" s="75"/>
      <c r="KY36" s="75"/>
      <c r="KZ36" s="75"/>
      <c r="LA36" s="75"/>
      <c r="LB36" s="75"/>
      <c r="LC36" s="75"/>
      <c r="LD36" s="75"/>
      <c r="LE36" s="75"/>
      <c r="LF36" s="75"/>
      <c r="LG36" s="75"/>
      <c r="LH36" s="75"/>
      <c r="LI36" s="75"/>
      <c r="LJ36" s="75"/>
      <c r="LK36" s="75"/>
      <c r="LL36" s="75"/>
      <c r="LM36" s="75"/>
      <c r="LN36" s="75"/>
      <c r="LO36" s="75"/>
      <c r="LP36" s="75"/>
      <c r="LQ36" s="75"/>
      <c r="LR36" s="75"/>
      <c r="LS36" s="75"/>
      <c r="LT36" s="75"/>
      <c r="LU36" s="75"/>
      <c r="LV36" s="75"/>
      <c r="LW36" s="75"/>
      <c r="LX36" s="75"/>
      <c r="LY36" s="75"/>
      <c r="LZ36" s="75"/>
      <c r="MA36" s="75"/>
      <c r="MB36" s="75"/>
      <c r="MC36" s="75"/>
      <c r="MD36" s="75"/>
      <c r="ME36" s="75"/>
      <c r="MF36" s="75"/>
      <c r="MG36" s="75"/>
      <c r="MH36" s="75"/>
      <c r="MI36" s="75"/>
      <c r="MJ36" s="75"/>
      <c r="MK36" s="75"/>
      <c r="ML36" s="75"/>
      <c r="MM36" s="75"/>
      <c r="MN36" s="75"/>
      <c r="MO36" s="75"/>
      <c r="MP36" s="75"/>
      <c r="MQ36" s="75"/>
      <c r="MR36" s="75"/>
      <c r="MS36" s="75"/>
      <c r="MT36" s="75"/>
      <c r="MU36" s="75"/>
      <c r="MV36" s="75"/>
      <c r="MW36" s="75"/>
      <c r="MX36" s="75"/>
      <c r="MY36" s="75"/>
      <c r="MZ36" s="75"/>
      <c r="NA36" s="75"/>
      <c r="NB36" s="75"/>
      <c r="NC36" s="75"/>
      <c r="ND36" s="75"/>
      <c r="NE36" s="75"/>
      <c r="NF36" s="75"/>
      <c r="NG36" s="75"/>
      <c r="NH36" s="75"/>
      <c r="NI36" s="75"/>
      <c r="NJ36" s="75"/>
      <c r="NK36" s="75"/>
      <c r="NL36" s="75"/>
      <c r="NM36" s="75"/>
      <c r="NN36" s="75"/>
      <c r="NO36" s="75"/>
      <c r="NP36" s="75"/>
      <c r="NQ36" s="75"/>
      <c r="NR36" s="75"/>
      <c r="NS36" s="75"/>
      <c r="NT36" s="75"/>
      <c r="NU36" s="75"/>
      <c r="NV36" s="75"/>
      <c r="NW36" s="75"/>
      <c r="NX36" s="75"/>
      <c r="NY36" s="75"/>
      <c r="NZ36" s="75"/>
      <c r="OA36" s="75"/>
      <c r="OB36" s="75"/>
      <c r="OC36" s="75"/>
      <c r="OD36" s="75"/>
      <c r="OE36" s="75"/>
      <c r="OF36" s="75"/>
      <c r="OG36" s="75"/>
      <c r="OH36" s="75"/>
      <c r="OI36" s="75"/>
      <c r="OJ36" s="75"/>
      <c r="OK36" s="75"/>
      <c r="OL36" s="75"/>
      <c r="OM36" s="75"/>
      <c r="ON36" s="75"/>
      <c r="OO36" s="75"/>
      <c r="OP36" s="75"/>
      <c r="OQ36" s="75"/>
      <c r="OR36" s="75"/>
      <c r="OS36" s="75"/>
      <c r="OT36" s="75"/>
      <c r="OU36" s="75"/>
      <c r="OV36" s="75"/>
      <c r="OW36" s="75"/>
      <c r="OX36" s="75"/>
      <c r="OY36" s="75"/>
      <c r="OZ36" s="75"/>
      <c r="PA36" s="75"/>
      <c r="PB36" s="75"/>
      <c r="PC36" s="75"/>
      <c r="PD36" s="75"/>
      <c r="PE36" s="75"/>
      <c r="PF36" s="75"/>
      <c r="PG36" s="75"/>
      <c r="PH36" s="75"/>
      <c r="PI36" s="75"/>
      <c r="PJ36" s="75"/>
      <c r="PK36" s="75"/>
      <c r="PL36" s="75"/>
      <c r="PM36" s="75"/>
      <c r="PN36" s="75"/>
      <c r="PO36" s="75"/>
      <c r="PP36" s="75"/>
      <c r="PQ36" s="75"/>
      <c r="PR36" s="75"/>
      <c r="PS36" s="75"/>
      <c r="PT36" s="75"/>
      <c r="PU36" s="75"/>
      <c r="PV36" s="75"/>
      <c r="PW36" s="75"/>
      <c r="PX36" s="75"/>
      <c r="PY36" s="75"/>
      <c r="PZ36" s="75"/>
      <c r="QA36" s="75"/>
      <c r="QB36" s="75"/>
      <c r="QC36" s="75"/>
      <c r="QD36" s="75"/>
      <c r="QE36" s="75"/>
      <c r="QF36" s="75"/>
      <c r="QG36" s="75"/>
      <c r="QH36" s="75"/>
      <c r="QI36" s="75"/>
      <c r="QJ36" s="75"/>
      <c r="QK36" s="75"/>
      <c r="QL36" s="75"/>
      <c r="QM36" s="75"/>
      <c r="QN36" s="75"/>
      <c r="QO36" s="75"/>
      <c r="QP36" s="75"/>
      <c r="QQ36" s="75"/>
      <c r="QR36" s="75"/>
      <c r="QS36" s="75"/>
      <c r="QT36" s="75"/>
      <c r="QU36" s="75"/>
      <c r="QV36" s="75"/>
      <c r="QW36" s="75"/>
      <c r="QX36" s="75"/>
      <c r="QY36" s="75"/>
      <c r="QZ36" s="75"/>
      <c r="RA36" s="75"/>
      <c r="RB36" s="75"/>
      <c r="RC36" s="75"/>
      <c r="RD36" s="75"/>
      <c r="RE36" s="75"/>
      <c r="RF36" s="75"/>
      <c r="RG36" s="75"/>
      <c r="RH36" s="75"/>
      <c r="RI36" s="75"/>
      <c r="RJ36" s="75"/>
      <c r="RK36" s="75"/>
      <c r="RL36" s="75"/>
      <c r="RM36" s="75"/>
      <c r="RN36" s="75"/>
      <c r="RO36" s="75"/>
      <c r="RP36" s="75"/>
      <c r="RQ36" s="75"/>
      <c r="RR36" s="75"/>
      <c r="RS36" s="75"/>
      <c r="RT36" s="75"/>
      <c r="RU36" s="75"/>
      <c r="RV36" s="75"/>
      <c r="RW36" s="75"/>
      <c r="RX36" s="75"/>
      <c r="RY36" s="75"/>
      <c r="RZ36" s="75"/>
      <c r="SA36" s="75"/>
      <c r="SB36" s="75"/>
      <c r="SC36" s="75">
        <v>5</v>
      </c>
      <c r="SD36" s="75">
        <v>5</v>
      </c>
      <c r="SE36" s="75">
        <v>5</v>
      </c>
      <c r="SF36" s="75">
        <v>5</v>
      </c>
      <c r="SG36" s="75"/>
      <c r="SH36" s="75">
        <v>5</v>
      </c>
      <c r="SI36" s="75">
        <v>5</v>
      </c>
      <c r="SJ36" s="75">
        <v>5</v>
      </c>
      <c r="SK36" s="75">
        <v>5</v>
      </c>
      <c r="SL36" s="75">
        <v>5</v>
      </c>
      <c r="SM36" s="75">
        <v>5</v>
      </c>
      <c r="SN36" s="75"/>
      <c r="SO36" s="75">
        <v>5</v>
      </c>
      <c r="SP36" s="75">
        <v>5</v>
      </c>
      <c r="SQ36" s="75">
        <v>5</v>
      </c>
      <c r="SR36" s="75">
        <v>5</v>
      </c>
      <c r="SS36" s="75">
        <v>5</v>
      </c>
      <c r="ST36" s="75">
        <v>10</v>
      </c>
      <c r="SU36" s="75"/>
      <c r="SV36" s="75">
        <v>10</v>
      </c>
      <c r="SW36" s="75">
        <v>10</v>
      </c>
      <c r="SX36" s="75">
        <v>10</v>
      </c>
      <c r="SY36" s="75">
        <v>10</v>
      </c>
      <c r="SZ36" s="75">
        <v>10</v>
      </c>
      <c r="TA36" s="75">
        <v>10</v>
      </c>
      <c r="TB36" s="75"/>
      <c r="TC36" s="75">
        <v>20</v>
      </c>
      <c r="TD36" s="75">
        <v>20</v>
      </c>
      <c r="TE36" s="75">
        <v>20</v>
      </c>
      <c r="TF36" s="75">
        <v>20</v>
      </c>
      <c r="TG36" s="75">
        <v>20</v>
      </c>
      <c r="TH36" s="75">
        <v>20</v>
      </c>
      <c r="TI36" s="75"/>
      <c r="TJ36" s="75">
        <v>20</v>
      </c>
      <c r="TK36" s="75">
        <v>20</v>
      </c>
      <c r="TL36" s="75"/>
      <c r="TM36" s="75"/>
      <c r="TN36" s="75"/>
      <c r="TO36" s="75"/>
      <c r="TP36" s="75"/>
      <c r="TQ36" s="75"/>
      <c r="TR36" s="75"/>
      <c r="TS36" s="75"/>
      <c r="TT36" s="75"/>
      <c r="TU36" s="75"/>
      <c r="TV36" s="75"/>
      <c r="TW36" s="75"/>
      <c r="TX36" s="75"/>
      <c r="TY36" s="75"/>
      <c r="TZ36" s="75"/>
      <c r="UA36" s="75">
        <v>5</v>
      </c>
      <c r="UB36" s="75">
        <v>8</v>
      </c>
      <c r="UC36" s="75">
        <v>8</v>
      </c>
      <c r="UD36" s="75"/>
      <c r="UE36" s="75">
        <v>38</v>
      </c>
      <c r="UF36" s="75">
        <v>38</v>
      </c>
      <c r="UG36" s="75">
        <v>38</v>
      </c>
      <c r="UH36" s="75">
        <v>38</v>
      </c>
      <c r="UI36" s="75">
        <v>38</v>
      </c>
      <c r="UJ36" s="75">
        <v>43</v>
      </c>
      <c r="UK36" s="75"/>
      <c r="UL36" s="75">
        <v>40</v>
      </c>
      <c r="UM36" s="75">
        <v>42</v>
      </c>
      <c r="UN36" s="75">
        <v>44</v>
      </c>
      <c r="UO36" s="75">
        <v>44</v>
      </c>
      <c r="UP36" s="75">
        <v>44</v>
      </c>
      <c r="UQ36" s="75">
        <v>44</v>
      </c>
      <c r="UR36" s="75"/>
      <c r="US36" s="75">
        <v>44</v>
      </c>
      <c r="UT36" s="75">
        <v>44</v>
      </c>
      <c r="UU36" s="75">
        <v>44</v>
      </c>
      <c r="UV36" s="75">
        <v>14</v>
      </c>
      <c r="UW36" s="75">
        <v>14</v>
      </c>
      <c r="UX36" s="75">
        <v>14</v>
      </c>
      <c r="UY36" s="75"/>
      <c r="UZ36" s="75">
        <v>14</v>
      </c>
      <c r="VA36" s="75">
        <v>14</v>
      </c>
      <c r="VB36" s="75">
        <v>24</v>
      </c>
      <c r="VC36" s="75">
        <v>24</v>
      </c>
      <c r="VD36" s="75">
        <v>24</v>
      </c>
      <c r="VE36" s="75">
        <v>24</v>
      </c>
      <c r="VF36" s="75"/>
      <c r="VG36" s="75">
        <v>30</v>
      </c>
      <c r="VH36" s="75">
        <v>34</v>
      </c>
      <c r="VI36" s="75">
        <v>34</v>
      </c>
      <c r="VJ36" s="75">
        <v>34</v>
      </c>
      <c r="VK36" s="75">
        <v>34</v>
      </c>
      <c r="VL36" s="75">
        <v>34</v>
      </c>
      <c r="VM36" s="75"/>
      <c r="VN36" s="75">
        <v>34</v>
      </c>
      <c r="VO36" s="75">
        <v>34</v>
      </c>
      <c r="VP36" s="75">
        <v>34</v>
      </c>
      <c r="VQ36" s="75">
        <v>34</v>
      </c>
      <c r="VR36" s="75">
        <v>32</v>
      </c>
      <c r="VS36" s="75">
        <v>32</v>
      </c>
      <c r="VT36" s="75"/>
      <c r="VU36" s="75">
        <v>32</v>
      </c>
      <c r="VV36" s="75">
        <v>32</v>
      </c>
      <c r="VW36" s="75">
        <v>32</v>
      </c>
      <c r="VX36" s="75">
        <v>26</v>
      </c>
      <c r="VY36" s="75">
        <v>22</v>
      </c>
      <c r="VZ36" s="75">
        <v>22</v>
      </c>
      <c r="WA36" s="75"/>
      <c r="WB36" s="75">
        <v>22</v>
      </c>
      <c r="WC36" s="75">
        <v>22</v>
      </c>
      <c r="WD36" s="75">
        <v>22</v>
      </c>
      <c r="WE36" s="75">
        <v>40</v>
      </c>
      <c r="WF36" s="75">
        <v>40</v>
      </c>
      <c r="WG36" s="75">
        <v>40</v>
      </c>
      <c r="WH36" s="75"/>
      <c r="WI36" s="75">
        <v>40</v>
      </c>
      <c r="WJ36" s="75">
        <v>40</v>
      </c>
      <c r="WK36" s="75">
        <v>40</v>
      </c>
      <c r="WL36" s="75">
        <v>40</v>
      </c>
      <c r="WM36" s="75">
        <v>40</v>
      </c>
      <c r="WN36" s="75">
        <v>40</v>
      </c>
      <c r="WO36" s="75"/>
      <c r="WP36" s="75">
        <v>40</v>
      </c>
      <c r="WQ36" s="75">
        <v>40</v>
      </c>
      <c r="WR36" s="75">
        <v>40</v>
      </c>
      <c r="WS36" s="75">
        <v>40</v>
      </c>
      <c r="WT36" s="75">
        <v>40</v>
      </c>
      <c r="WU36" s="75">
        <v>40</v>
      </c>
      <c r="WV36" s="75"/>
      <c r="WW36" s="75">
        <v>20</v>
      </c>
      <c r="WX36" s="75">
        <v>20</v>
      </c>
      <c r="WY36" s="75">
        <v>20</v>
      </c>
      <c r="WZ36" s="75">
        <v>20</v>
      </c>
      <c r="XA36" s="75">
        <v>20</v>
      </c>
      <c r="XB36" s="75">
        <v>20</v>
      </c>
      <c r="XC36" s="75"/>
      <c r="XD36" s="75">
        <v>20</v>
      </c>
      <c r="XE36" s="75">
        <v>20</v>
      </c>
      <c r="XF36" s="75">
        <v>20</v>
      </c>
      <c r="XG36" s="75">
        <v>20</v>
      </c>
      <c r="XH36" s="75">
        <v>20</v>
      </c>
      <c r="XI36" s="75"/>
      <c r="XJ36" s="75"/>
      <c r="XK36" s="75"/>
      <c r="XL36" s="75"/>
      <c r="XM36" s="75"/>
      <c r="XN36" s="75">
        <v>20</v>
      </c>
      <c r="XO36" s="75">
        <v>20</v>
      </c>
      <c r="XP36" s="75">
        <v>20</v>
      </c>
      <c r="XQ36" s="75"/>
      <c r="XR36" s="75">
        <v>20</v>
      </c>
      <c r="XS36" s="75">
        <v>20</v>
      </c>
      <c r="XT36" s="75">
        <v>20</v>
      </c>
      <c r="XU36" s="75">
        <v>20</v>
      </c>
      <c r="XV36" s="75">
        <v>20</v>
      </c>
      <c r="XW36" s="75">
        <v>20</v>
      </c>
      <c r="XX36" s="75"/>
      <c r="XY36" s="75">
        <v>20</v>
      </c>
      <c r="XZ36" s="75">
        <v>20</v>
      </c>
      <c r="YA36" s="75">
        <v>20</v>
      </c>
      <c r="YB36" s="75">
        <v>20</v>
      </c>
      <c r="YC36" s="75">
        <v>20</v>
      </c>
      <c r="YD36" s="75">
        <v>20</v>
      </c>
      <c r="YE36" s="75"/>
      <c r="YF36" s="75">
        <v>20</v>
      </c>
      <c r="YG36" s="75">
        <v>20</v>
      </c>
      <c r="YH36" s="75">
        <v>20</v>
      </c>
      <c r="YI36" s="75">
        <v>27</v>
      </c>
      <c r="YJ36" s="75">
        <v>27</v>
      </c>
      <c r="YK36" s="75">
        <v>27</v>
      </c>
      <c r="YL36" s="75"/>
      <c r="YM36" s="75">
        <v>27</v>
      </c>
      <c r="YN36" s="75">
        <v>27</v>
      </c>
      <c r="YO36" s="75">
        <v>27</v>
      </c>
      <c r="YP36" s="75">
        <v>27</v>
      </c>
      <c r="YQ36" s="75">
        <v>27</v>
      </c>
      <c r="YR36" s="75">
        <v>27</v>
      </c>
      <c r="YS36" s="75"/>
      <c r="YT36" s="75">
        <v>27</v>
      </c>
      <c r="YU36" s="75">
        <v>27</v>
      </c>
      <c r="YV36" s="75">
        <v>27</v>
      </c>
      <c r="YW36" s="75">
        <v>27</v>
      </c>
      <c r="YX36" s="75">
        <v>27</v>
      </c>
      <c r="YY36" s="75">
        <v>27</v>
      </c>
      <c r="YZ36" s="75"/>
      <c r="ZA36" s="75">
        <v>22</v>
      </c>
      <c r="ZB36" s="75">
        <v>2</v>
      </c>
      <c r="ZC36" s="75">
        <v>2</v>
      </c>
      <c r="ZD36" s="75">
        <v>2</v>
      </c>
      <c r="ZE36" s="75">
        <v>2</v>
      </c>
      <c r="ZF36" s="75">
        <v>2</v>
      </c>
      <c r="ZG36" s="75"/>
      <c r="ZH36" s="75">
        <v>2</v>
      </c>
      <c r="ZI36" s="75">
        <v>2</v>
      </c>
      <c r="ZJ36" s="75">
        <v>10</v>
      </c>
      <c r="ZK36" s="75">
        <v>10</v>
      </c>
      <c r="ZL36" s="75">
        <v>10</v>
      </c>
      <c r="ZM36" s="75">
        <v>10</v>
      </c>
      <c r="ZN36" s="75"/>
      <c r="ZO36" s="75">
        <v>10</v>
      </c>
      <c r="ZP36" s="75">
        <v>10</v>
      </c>
      <c r="ZQ36" s="75">
        <v>10</v>
      </c>
      <c r="ZR36" s="75">
        <v>10</v>
      </c>
      <c r="ZS36" s="75">
        <v>10</v>
      </c>
      <c r="ZT36" s="75"/>
      <c r="ZU36" s="75"/>
      <c r="ZV36" s="75"/>
      <c r="ZW36" s="75"/>
      <c r="ZX36" s="75"/>
      <c r="ZY36" s="75">
        <v>10</v>
      </c>
      <c r="ZZ36" s="75">
        <v>13</v>
      </c>
      <c r="AAA36" s="75">
        <v>13</v>
      </c>
      <c r="AAB36" s="75"/>
      <c r="AAC36" s="75">
        <v>13</v>
      </c>
      <c r="AAD36" s="75">
        <v>13</v>
      </c>
      <c r="AAE36" s="75">
        <v>13</v>
      </c>
      <c r="AAF36" s="75">
        <v>3</v>
      </c>
      <c r="AAG36" s="75">
        <v>3</v>
      </c>
      <c r="AAH36" s="75">
        <v>3</v>
      </c>
      <c r="AAI36" s="75"/>
      <c r="AAJ36" s="75">
        <v>3</v>
      </c>
      <c r="AAK36" s="75">
        <v>3</v>
      </c>
      <c r="AAL36" s="75"/>
      <c r="AAM36" s="75"/>
      <c r="AAN36" s="75"/>
      <c r="AAO36" s="75"/>
      <c r="AAP36" s="75"/>
      <c r="AAQ36" s="75"/>
      <c r="AAR36" s="75"/>
      <c r="AAS36" s="75"/>
      <c r="AAT36" s="75"/>
      <c r="AAU36" s="75">
        <v>4</v>
      </c>
      <c r="AAV36" s="75">
        <v>4</v>
      </c>
      <c r="AAW36" s="75"/>
      <c r="AAX36" s="75">
        <v>4</v>
      </c>
      <c r="AAY36" s="75">
        <v>4</v>
      </c>
      <c r="AAZ36" s="75">
        <v>4</v>
      </c>
      <c r="ABA36" s="75">
        <v>4</v>
      </c>
      <c r="ABB36" s="75">
        <v>4</v>
      </c>
      <c r="ABC36" s="75">
        <v>4</v>
      </c>
    </row>
    <row r="37" spans="1:731">
      <c r="A37" s="75" t="s">
        <v>74</v>
      </c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5"/>
      <c r="BB37" s="75"/>
      <c r="BC37" s="75"/>
      <c r="BD37" s="75"/>
      <c r="BE37" s="75"/>
      <c r="BF37" s="75"/>
      <c r="BG37" s="75"/>
      <c r="BH37" s="75"/>
      <c r="BI37" s="75"/>
      <c r="BJ37" s="75"/>
      <c r="BK37" s="75"/>
      <c r="BL37" s="75"/>
      <c r="BM37" s="75"/>
      <c r="BN37" s="75"/>
      <c r="BO37" s="75"/>
      <c r="BP37" s="75"/>
      <c r="BQ37" s="75"/>
      <c r="BR37" s="75"/>
      <c r="BS37" s="75"/>
      <c r="BT37" s="75"/>
      <c r="BU37" s="75"/>
      <c r="BV37" s="75"/>
      <c r="BW37" s="75"/>
      <c r="BX37" s="75"/>
      <c r="BY37" s="75"/>
      <c r="BZ37" s="75"/>
      <c r="CA37" s="75"/>
      <c r="CB37" s="75"/>
      <c r="CC37" s="75"/>
      <c r="CD37" s="75"/>
      <c r="CE37" s="75"/>
      <c r="CF37" s="75"/>
      <c r="CG37" s="75"/>
      <c r="CH37" s="75"/>
      <c r="CI37" s="75"/>
      <c r="CJ37" s="75"/>
      <c r="CK37" s="75"/>
      <c r="CL37" s="75"/>
      <c r="CM37" s="75"/>
      <c r="CN37" s="75"/>
      <c r="CO37" s="75"/>
      <c r="CP37" s="75"/>
      <c r="CQ37" s="75"/>
      <c r="CR37" s="75"/>
      <c r="CS37" s="75"/>
      <c r="CT37" s="75"/>
      <c r="CU37" s="75"/>
      <c r="CV37" s="75"/>
      <c r="CW37" s="75"/>
      <c r="CX37" s="75"/>
      <c r="CY37" s="75"/>
      <c r="CZ37" s="75"/>
      <c r="DA37" s="75"/>
      <c r="DB37" s="75"/>
      <c r="DC37" s="75"/>
      <c r="DD37" s="75"/>
      <c r="DE37" s="75"/>
      <c r="DF37" s="75"/>
      <c r="DG37" s="75"/>
      <c r="DH37" s="75"/>
      <c r="DI37" s="75"/>
      <c r="DJ37" s="75"/>
      <c r="DK37" s="75"/>
      <c r="DL37" s="75"/>
      <c r="DM37" s="75"/>
      <c r="DN37" s="75"/>
      <c r="DO37" s="75"/>
      <c r="DP37" s="75"/>
      <c r="DQ37" s="75"/>
      <c r="DR37" s="75"/>
      <c r="DS37" s="75"/>
      <c r="DT37" s="75"/>
      <c r="DU37" s="75"/>
      <c r="DV37" s="75"/>
      <c r="DW37" s="75"/>
      <c r="DX37" s="75"/>
      <c r="DY37" s="75"/>
      <c r="DZ37" s="75"/>
      <c r="EA37" s="75"/>
      <c r="EB37" s="75"/>
      <c r="EC37" s="75"/>
      <c r="ED37" s="75"/>
      <c r="EE37" s="75"/>
      <c r="EF37" s="75"/>
      <c r="EG37" s="75"/>
      <c r="EH37" s="75"/>
      <c r="EI37" s="75"/>
      <c r="EJ37" s="75"/>
      <c r="EK37" s="75"/>
      <c r="EL37" s="75"/>
      <c r="EM37" s="75"/>
      <c r="EN37" s="75"/>
      <c r="EO37" s="75"/>
      <c r="EP37" s="75"/>
      <c r="EQ37" s="75"/>
      <c r="ER37" s="75"/>
      <c r="ES37" s="75"/>
      <c r="ET37" s="75"/>
      <c r="EU37" s="75"/>
      <c r="EV37" s="75"/>
      <c r="EW37" s="75"/>
      <c r="EX37" s="75"/>
      <c r="EY37" s="75"/>
      <c r="EZ37" s="75"/>
      <c r="FA37" s="75"/>
      <c r="FB37" s="75"/>
      <c r="FC37" s="75"/>
      <c r="FD37" s="75"/>
      <c r="FE37" s="75"/>
      <c r="FF37" s="75"/>
      <c r="FG37" s="75"/>
      <c r="FH37" s="75"/>
      <c r="FI37" s="75"/>
      <c r="FJ37" s="75"/>
      <c r="FK37" s="75"/>
      <c r="FL37" s="75"/>
      <c r="FM37" s="75"/>
      <c r="FN37" s="75"/>
      <c r="FO37" s="75"/>
      <c r="FP37" s="75"/>
      <c r="FQ37" s="75"/>
      <c r="FR37" s="75"/>
      <c r="FS37" s="75"/>
      <c r="FT37" s="75"/>
      <c r="FU37" s="75"/>
      <c r="FV37" s="75"/>
      <c r="FW37" s="75"/>
      <c r="FX37" s="75"/>
      <c r="FY37" s="75"/>
      <c r="FZ37" s="75"/>
      <c r="GA37" s="75"/>
      <c r="GB37" s="75"/>
      <c r="GC37" s="75"/>
      <c r="GD37" s="75"/>
      <c r="GE37" s="75"/>
      <c r="GF37" s="75"/>
      <c r="GG37" s="75"/>
      <c r="GH37" s="75"/>
      <c r="GI37" s="75"/>
      <c r="GJ37" s="75"/>
      <c r="GK37" s="75"/>
      <c r="GL37" s="75"/>
      <c r="GM37" s="75"/>
      <c r="GN37" s="75"/>
      <c r="GO37" s="75"/>
      <c r="GP37" s="75"/>
      <c r="GQ37" s="75"/>
      <c r="GR37" s="75"/>
      <c r="GS37" s="75"/>
      <c r="GT37" s="75"/>
      <c r="GU37" s="75"/>
      <c r="GV37" s="75"/>
      <c r="GW37" s="75"/>
      <c r="GX37" s="75"/>
      <c r="GY37" s="75"/>
      <c r="GZ37" s="75"/>
      <c r="HA37" s="75"/>
      <c r="HB37" s="75"/>
      <c r="HC37" s="75"/>
      <c r="HD37" s="75"/>
      <c r="HE37" s="75"/>
      <c r="HF37" s="75"/>
      <c r="HG37" s="75"/>
      <c r="HH37" s="75"/>
      <c r="HI37" s="75"/>
      <c r="HJ37" s="75"/>
      <c r="HK37" s="75"/>
      <c r="HL37" s="75"/>
      <c r="HM37" s="75"/>
      <c r="HN37" s="75"/>
      <c r="HO37" s="75"/>
      <c r="HP37" s="75"/>
      <c r="HQ37" s="75"/>
      <c r="HR37" s="75"/>
      <c r="HS37" s="75"/>
      <c r="HT37" s="75"/>
      <c r="HU37" s="75"/>
      <c r="HV37" s="75"/>
      <c r="HW37" s="75"/>
      <c r="HX37" s="75"/>
      <c r="HY37" s="75"/>
      <c r="HZ37" s="75"/>
      <c r="IA37" s="75"/>
      <c r="IB37" s="75"/>
      <c r="IC37" s="75"/>
      <c r="ID37" s="75"/>
      <c r="IE37" s="75"/>
      <c r="IF37" s="75"/>
      <c r="IG37" s="75"/>
      <c r="IH37" s="75"/>
      <c r="II37" s="75"/>
      <c r="IJ37" s="75"/>
      <c r="IK37" s="75"/>
      <c r="IL37" s="75"/>
      <c r="IM37" s="75"/>
      <c r="IN37" s="75"/>
      <c r="IO37" s="75"/>
      <c r="IP37" s="75"/>
      <c r="IQ37" s="75"/>
      <c r="IR37" s="75"/>
      <c r="IS37" s="75"/>
      <c r="IT37" s="75"/>
      <c r="IU37" s="75"/>
      <c r="IV37" s="75"/>
      <c r="IW37" s="75"/>
      <c r="IX37" s="75"/>
      <c r="IY37" s="75"/>
      <c r="IZ37" s="75"/>
      <c r="JA37" s="75"/>
      <c r="JB37" s="75"/>
      <c r="JC37" s="75"/>
      <c r="JD37" s="75"/>
      <c r="JE37" s="75"/>
      <c r="JF37" s="75"/>
      <c r="JG37" s="75"/>
      <c r="JH37" s="75"/>
      <c r="JI37" s="75"/>
      <c r="JJ37" s="75"/>
      <c r="JK37" s="75"/>
      <c r="JL37" s="75"/>
      <c r="JM37" s="75"/>
      <c r="JN37" s="75"/>
      <c r="JO37" s="75"/>
      <c r="JP37" s="75"/>
      <c r="JQ37" s="75"/>
      <c r="JR37" s="75"/>
      <c r="JS37" s="75"/>
      <c r="JT37" s="75"/>
      <c r="JU37" s="75"/>
      <c r="JV37" s="75"/>
      <c r="JW37" s="75"/>
      <c r="JX37" s="75"/>
      <c r="JY37" s="75"/>
      <c r="JZ37" s="75"/>
      <c r="KA37" s="75"/>
      <c r="KB37" s="75"/>
      <c r="KC37" s="75"/>
      <c r="KD37" s="75"/>
      <c r="KE37" s="75"/>
      <c r="KF37" s="75"/>
      <c r="KG37" s="75"/>
      <c r="KH37" s="75"/>
      <c r="KI37" s="75"/>
      <c r="KJ37" s="75"/>
      <c r="KK37" s="75"/>
      <c r="KL37" s="75"/>
      <c r="KM37" s="75"/>
      <c r="KN37" s="75"/>
      <c r="KO37" s="75"/>
      <c r="KP37" s="75"/>
      <c r="KQ37" s="75"/>
      <c r="KR37" s="75"/>
      <c r="KS37" s="75"/>
      <c r="KT37" s="75"/>
      <c r="KU37" s="75"/>
      <c r="KV37" s="75"/>
      <c r="KW37" s="75"/>
      <c r="KX37" s="75"/>
      <c r="KY37" s="75"/>
      <c r="KZ37" s="75"/>
      <c r="LA37" s="75"/>
      <c r="LB37" s="75"/>
      <c r="LC37" s="75"/>
      <c r="LD37" s="75"/>
      <c r="LE37" s="75"/>
      <c r="LF37" s="75"/>
      <c r="LG37" s="75"/>
      <c r="LH37" s="75"/>
      <c r="LI37" s="75"/>
      <c r="LJ37" s="75"/>
      <c r="LK37" s="75"/>
      <c r="LL37" s="75"/>
      <c r="LM37" s="75"/>
      <c r="LN37" s="75"/>
      <c r="LO37" s="75"/>
      <c r="LP37" s="75"/>
      <c r="LQ37" s="75"/>
      <c r="LR37" s="75"/>
      <c r="LS37" s="75"/>
      <c r="LT37" s="75"/>
      <c r="LU37" s="75"/>
      <c r="LV37" s="75"/>
      <c r="LW37" s="75"/>
      <c r="LX37" s="75"/>
      <c r="LY37" s="75"/>
      <c r="LZ37" s="75"/>
      <c r="MA37" s="75"/>
      <c r="MB37" s="75"/>
      <c r="MC37" s="75"/>
      <c r="MD37" s="75"/>
      <c r="ME37" s="75"/>
      <c r="MF37" s="75"/>
      <c r="MG37" s="75"/>
      <c r="MH37" s="75"/>
      <c r="MI37" s="75"/>
      <c r="MJ37" s="75"/>
      <c r="MK37" s="75"/>
      <c r="ML37" s="75"/>
      <c r="MM37" s="75"/>
      <c r="MN37" s="75"/>
      <c r="MO37" s="75"/>
      <c r="MP37" s="75"/>
      <c r="MQ37" s="75"/>
      <c r="MR37" s="75"/>
      <c r="MS37" s="75"/>
      <c r="MT37" s="75"/>
      <c r="MU37" s="75"/>
      <c r="MV37" s="75"/>
      <c r="MW37" s="75"/>
      <c r="MX37" s="75"/>
      <c r="MY37" s="75"/>
      <c r="MZ37" s="75"/>
      <c r="NA37" s="75"/>
      <c r="NB37" s="75"/>
      <c r="NC37" s="75"/>
      <c r="ND37" s="75"/>
      <c r="NE37" s="75"/>
      <c r="NF37" s="75"/>
      <c r="NG37" s="75"/>
      <c r="NH37" s="75"/>
      <c r="NI37" s="75"/>
      <c r="NJ37" s="75"/>
      <c r="NK37" s="75"/>
      <c r="NL37" s="75"/>
      <c r="NM37" s="75"/>
      <c r="NN37" s="75"/>
      <c r="NO37" s="75"/>
      <c r="NP37" s="75"/>
      <c r="NQ37" s="75"/>
      <c r="NR37" s="75"/>
      <c r="NS37" s="75"/>
      <c r="NT37" s="75"/>
      <c r="NU37" s="75"/>
      <c r="NV37" s="75"/>
      <c r="NW37" s="75"/>
      <c r="NX37" s="75"/>
      <c r="NY37" s="75"/>
      <c r="NZ37" s="75"/>
      <c r="OA37" s="75"/>
      <c r="OB37" s="75"/>
      <c r="OC37" s="75"/>
      <c r="OD37" s="75"/>
      <c r="OE37" s="75"/>
      <c r="OF37" s="75"/>
      <c r="OG37" s="75"/>
      <c r="OH37" s="75"/>
      <c r="OI37" s="75"/>
      <c r="OJ37" s="75"/>
      <c r="OK37" s="75"/>
      <c r="OL37" s="75"/>
      <c r="OM37" s="75"/>
      <c r="ON37" s="75"/>
      <c r="OO37" s="75"/>
      <c r="OP37" s="75"/>
      <c r="OQ37" s="75"/>
      <c r="OR37" s="75"/>
      <c r="OS37" s="75"/>
      <c r="OT37" s="75"/>
      <c r="OU37" s="75"/>
      <c r="OV37" s="75"/>
      <c r="OW37" s="75"/>
      <c r="OX37" s="75"/>
      <c r="OY37" s="75"/>
      <c r="OZ37" s="75"/>
      <c r="PA37" s="75"/>
      <c r="PB37" s="75"/>
      <c r="PC37" s="75"/>
      <c r="PD37" s="75"/>
      <c r="PE37" s="75"/>
      <c r="PF37" s="75"/>
      <c r="PG37" s="75"/>
      <c r="PH37" s="75"/>
      <c r="PI37" s="75"/>
      <c r="PJ37" s="75"/>
      <c r="PK37" s="75"/>
      <c r="PL37" s="75"/>
      <c r="PM37" s="75"/>
      <c r="PN37" s="75"/>
      <c r="PO37" s="75"/>
      <c r="PP37" s="75"/>
      <c r="PQ37" s="75"/>
      <c r="PR37" s="75"/>
      <c r="PS37" s="75"/>
      <c r="PT37" s="75"/>
      <c r="PU37" s="75"/>
      <c r="PV37" s="75"/>
      <c r="PW37" s="75"/>
      <c r="PX37" s="75"/>
      <c r="PY37" s="75"/>
      <c r="PZ37" s="75"/>
      <c r="QA37" s="75"/>
      <c r="QB37" s="75"/>
      <c r="QC37" s="75"/>
      <c r="QD37" s="75"/>
      <c r="QE37" s="75"/>
      <c r="QF37" s="75"/>
      <c r="QG37" s="75"/>
      <c r="QH37" s="75"/>
      <c r="QI37" s="75"/>
      <c r="QJ37" s="75"/>
      <c r="QK37" s="75"/>
      <c r="QL37" s="75"/>
      <c r="QM37" s="75"/>
      <c r="QN37" s="75"/>
      <c r="QO37" s="75"/>
      <c r="QP37" s="75"/>
      <c r="QQ37" s="75"/>
      <c r="QR37" s="75"/>
      <c r="QS37" s="75"/>
      <c r="QT37" s="75"/>
      <c r="QU37" s="75"/>
      <c r="QV37" s="75"/>
      <c r="QW37" s="75"/>
      <c r="QX37" s="75"/>
      <c r="QY37" s="75"/>
      <c r="QZ37" s="75">
        <v>20</v>
      </c>
      <c r="RA37" s="75">
        <v>20</v>
      </c>
      <c r="RB37" s="75">
        <v>20</v>
      </c>
      <c r="RC37" s="75">
        <v>20</v>
      </c>
      <c r="RD37" s="75">
        <v>20</v>
      </c>
      <c r="RE37" s="75"/>
      <c r="RF37" s="75">
        <v>20</v>
      </c>
      <c r="RG37" s="75">
        <v>20</v>
      </c>
      <c r="RH37" s="75">
        <v>20</v>
      </c>
      <c r="RI37" s="75">
        <v>20</v>
      </c>
      <c r="RJ37" s="75">
        <v>20</v>
      </c>
      <c r="RK37" s="75"/>
      <c r="RL37" s="75"/>
      <c r="RM37" s="75"/>
      <c r="RN37" s="75"/>
      <c r="RO37" s="75"/>
      <c r="RP37" s="75"/>
      <c r="RQ37" s="75"/>
      <c r="RR37" s="75"/>
      <c r="RS37" s="75"/>
      <c r="RT37" s="75"/>
      <c r="RU37" s="75"/>
      <c r="RV37" s="75"/>
      <c r="RW37" s="75"/>
      <c r="RX37" s="75"/>
      <c r="RY37" s="75"/>
      <c r="RZ37" s="75"/>
      <c r="SA37" s="75"/>
      <c r="SB37" s="75"/>
      <c r="SC37" s="75"/>
      <c r="SD37" s="75"/>
      <c r="SE37" s="75"/>
      <c r="SF37" s="75"/>
      <c r="SG37" s="75"/>
      <c r="SH37" s="75"/>
      <c r="SI37" s="75"/>
      <c r="SJ37" s="75"/>
      <c r="SK37" s="75"/>
      <c r="SL37" s="75"/>
      <c r="SM37" s="75"/>
      <c r="SN37" s="75"/>
      <c r="SO37" s="75"/>
      <c r="SP37" s="75"/>
      <c r="SQ37" s="75"/>
      <c r="SR37" s="75"/>
      <c r="SS37" s="75"/>
      <c r="ST37" s="75"/>
      <c r="SU37" s="75"/>
      <c r="SV37" s="75"/>
      <c r="SW37" s="75"/>
      <c r="SX37" s="75"/>
      <c r="SY37" s="75"/>
      <c r="SZ37" s="75"/>
      <c r="TA37" s="75"/>
      <c r="TB37" s="75"/>
      <c r="TC37" s="75"/>
      <c r="TD37" s="75"/>
      <c r="TE37" s="75"/>
      <c r="TF37" s="75"/>
      <c r="TG37" s="75"/>
      <c r="TH37" s="75"/>
      <c r="TI37" s="75"/>
      <c r="TJ37" s="75"/>
      <c r="TK37" s="75"/>
      <c r="TL37" s="75"/>
      <c r="TM37" s="75">
        <v>6</v>
      </c>
      <c r="TN37" s="75">
        <v>10</v>
      </c>
      <c r="TO37" s="75">
        <v>10</v>
      </c>
      <c r="TP37" s="75"/>
      <c r="TQ37" s="75">
        <v>10</v>
      </c>
      <c r="TR37" s="75">
        <v>10</v>
      </c>
      <c r="TS37" s="75">
        <v>10</v>
      </c>
      <c r="TT37" s="75">
        <v>10</v>
      </c>
      <c r="TU37" s="75">
        <v>10</v>
      </c>
      <c r="TV37" s="75">
        <v>10</v>
      </c>
      <c r="TW37" s="75"/>
      <c r="TX37" s="75">
        <v>10</v>
      </c>
      <c r="TY37" s="75">
        <v>4</v>
      </c>
      <c r="TZ37" s="75"/>
      <c r="UA37" s="75"/>
      <c r="UB37" s="75"/>
      <c r="UC37" s="75"/>
      <c r="UD37" s="75"/>
      <c r="UE37" s="75"/>
      <c r="UF37" s="75"/>
      <c r="UG37" s="75"/>
      <c r="UH37" s="75"/>
      <c r="UI37" s="75"/>
      <c r="UJ37" s="75"/>
      <c r="UK37" s="75"/>
      <c r="UL37" s="75"/>
      <c r="UM37" s="75"/>
      <c r="UN37" s="75"/>
      <c r="UO37" s="75"/>
      <c r="UP37" s="75"/>
      <c r="UQ37" s="75"/>
      <c r="UR37" s="75"/>
      <c r="US37" s="75"/>
      <c r="UT37" s="75"/>
      <c r="UU37" s="75"/>
      <c r="UV37" s="75"/>
      <c r="UW37" s="75"/>
      <c r="UX37" s="75"/>
      <c r="UY37" s="75"/>
      <c r="UZ37" s="75"/>
      <c r="VA37" s="75"/>
      <c r="VB37" s="75"/>
      <c r="VC37" s="75"/>
      <c r="VD37" s="75"/>
      <c r="VE37" s="75"/>
      <c r="VF37" s="75"/>
      <c r="VG37" s="75"/>
      <c r="VH37" s="75"/>
      <c r="VI37" s="75"/>
      <c r="VJ37" s="75"/>
      <c r="VK37" s="75"/>
      <c r="VL37" s="75"/>
      <c r="VM37" s="75"/>
      <c r="VN37" s="75">
        <v>10</v>
      </c>
      <c r="VO37" s="75">
        <v>10</v>
      </c>
      <c r="VP37" s="75">
        <v>10</v>
      </c>
      <c r="VQ37" s="75">
        <v>10</v>
      </c>
      <c r="VR37" s="75">
        <v>10</v>
      </c>
      <c r="VS37" s="75">
        <v>30</v>
      </c>
      <c r="VT37" s="75"/>
      <c r="VU37" s="75">
        <v>30</v>
      </c>
      <c r="VV37" s="75">
        <v>30</v>
      </c>
      <c r="VW37" s="75">
        <v>30</v>
      </c>
      <c r="VX37" s="75">
        <v>30</v>
      </c>
      <c r="VY37" s="75">
        <v>30</v>
      </c>
      <c r="VZ37" s="75">
        <v>30</v>
      </c>
      <c r="WA37" s="75"/>
      <c r="WB37" s="75">
        <v>30</v>
      </c>
      <c r="WC37" s="75">
        <v>30</v>
      </c>
      <c r="WD37" s="75">
        <v>30</v>
      </c>
      <c r="WE37" s="75">
        <v>40</v>
      </c>
      <c r="WF37" s="75">
        <v>40</v>
      </c>
      <c r="WG37" s="75">
        <v>40</v>
      </c>
      <c r="WH37" s="75"/>
      <c r="WI37" s="75">
        <v>40</v>
      </c>
      <c r="WJ37" s="75">
        <v>40</v>
      </c>
      <c r="WK37" s="75">
        <v>29</v>
      </c>
      <c r="WL37" s="75">
        <v>29</v>
      </c>
      <c r="WM37" s="75">
        <v>29</v>
      </c>
      <c r="WN37" s="75">
        <v>29</v>
      </c>
      <c r="WO37" s="75"/>
      <c r="WP37" s="75">
        <v>29</v>
      </c>
      <c r="WQ37" s="75">
        <v>19</v>
      </c>
      <c r="WR37" s="75">
        <v>19</v>
      </c>
      <c r="WS37" s="75">
        <v>19</v>
      </c>
      <c r="WT37" s="75">
        <v>19</v>
      </c>
      <c r="WU37" s="75">
        <v>19</v>
      </c>
      <c r="WV37" s="75"/>
      <c r="WW37" s="75">
        <v>19</v>
      </c>
      <c r="WX37" s="75">
        <v>19</v>
      </c>
      <c r="WY37" s="75">
        <v>19</v>
      </c>
      <c r="WZ37" s="75">
        <v>19</v>
      </c>
      <c r="XA37" s="75">
        <v>14</v>
      </c>
      <c r="XB37" s="75">
        <v>6</v>
      </c>
      <c r="XC37" s="75"/>
      <c r="XD37" s="75">
        <v>6</v>
      </c>
      <c r="XE37" s="75">
        <v>6</v>
      </c>
      <c r="XF37" s="75">
        <v>6</v>
      </c>
      <c r="XG37" s="75">
        <v>6</v>
      </c>
      <c r="XH37" s="75">
        <v>6</v>
      </c>
      <c r="XI37" s="75"/>
      <c r="XJ37" s="75"/>
      <c r="XK37" s="75"/>
      <c r="XL37" s="75"/>
      <c r="XM37" s="75"/>
      <c r="XN37" s="75">
        <v>6</v>
      </c>
      <c r="XO37" s="75">
        <v>6</v>
      </c>
      <c r="XP37" s="75">
        <v>4</v>
      </c>
      <c r="XQ37" s="75"/>
      <c r="XR37" s="75"/>
      <c r="XS37" s="75"/>
      <c r="XT37" s="75"/>
      <c r="XU37" s="75"/>
      <c r="XV37" s="75"/>
      <c r="XW37" s="75"/>
      <c r="XX37" s="75"/>
      <c r="XY37" s="75"/>
      <c r="XZ37" s="75"/>
      <c r="YA37" s="75"/>
      <c r="YB37" s="75"/>
      <c r="YC37" s="75"/>
      <c r="YD37" s="75"/>
      <c r="YE37" s="75"/>
      <c r="YF37" s="75"/>
      <c r="YG37" s="75"/>
      <c r="YH37" s="75"/>
      <c r="YI37" s="75"/>
      <c r="YJ37" s="75"/>
      <c r="YK37" s="75"/>
      <c r="YL37" s="75"/>
      <c r="YM37" s="75"/>
      <c r="YN37" s="75"/>
      <c r="YO37" s="75"/>
      <c r="YP37" s="75"/>
      <c r="YQ37" s="75"/>
      <c r="YR37" s="75"/>
      <c r="YS37" s="75"/>
      <c r="YT37" s="75"/>
      <c r="YU37" s="75"/>
      <c r="YV37" s="75"/>
      <c r="YW37" s="75"/>
      <c r="YX37" s="75"/>
      <c r="YY37" s="75"/>
      <c r="YZ37" s="75"/>
      <c r="ZA37" s="75"/>
      <c r="ZB37" s="75"/>
      <c r="ZC37" s="75"/>
      <c r="ZD37" s="75"/>
      <c r="ZE37" s="75"/>
      <c r="ZF37" s="75"/>
      <c r="ZG37" s="75"/>
      <c r="ZH37" s="75"/>
      <c r="ZI37" s="75"/>
      <c r="ZJ37" s="75"/>
      <c r="ZK37" s="75"/>
      <c r="ZL37" s="75"/>
      <c r="ZM37" s="75"/>
      <c r="ZN37" s="75"/>
      <c r="ZO37" s="75"/>
      <c r="ZP37" s="75"/>
      <c r="ZQ37" s="75"/>
      <c r="ZR37" s="75"/>
      <c r="ZS37" s="75"/>
      <c r="ZT37" s="75"/>
      <c r="ZU37" s="75"/>
      <c r="ZV37" s="75"/>
      <c r="ZW37" s="75"/>
      <c r="ZX37" s="75"/>
      <c r="ZY37" s="75"/>
      <c r="ZZ37" s="75"/>
      <c r="AAA37" s="75"/>
      <c r="AAB37" s="75"/>
      <c r="AAC37" s="75"/>
      <c r="AAD37" s="75"/>
      <c r="AAE37" s="75"/>
      <c r="AAF37" s="75"/>
      <c r="AAG37" s="75"/>
      <c r="AAH37" s="75"/>
      <c r="AAI37" s="75"/>
      <c r="AAJ37" s="75"/>
      <c r="AAK37" s="75"/>
      <c r="AAL37" s="75"/>
      <c r="AAM37" s="75"/>
      <c r="AAN37" s="75"/>
      <c r="AAO37" s="75"/>
      <c r="AAP37" s="75"/>
      <c r="AAQ37" s="75"/>
      <c r="AAR37" s="75"/>
      <c r="AAS37" s="75"/>
      <c r="AAT37" s="75"/>
      <c r="AAU37" s="75"/>
      <c r="AAV37" s="75"/>
      <c r="AAW37" s="75"/>
      <c r="AAX37" s="75"/>
      <c r="AAY37" s="75"/>
      <c r="AAZ37" s="75"/>
      <c r="ABA37" s="75"/>
      <c r="ABB37" s="75"/>
      <c r="ABC37" s="7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BC38"/>
  <sheetViews>
    <sheetView topLeftCell="NT1" workbookViewId="0">
      <selection activeCell="OO3" sqref="OO3:OU3"/>
    </sheetView>
  </sheetViews>
  <sheetFormatPr defaultRowHeight="15"/>
  <cols>
    <col min="1" max="1" width="36.42578125" customWidth="1"/>
    <col min="2" max="362" width="9.28515625" hidden="1" customWidth="1"/>
    <col min="363" max="731" width="9.28515625" bestFit="1" customWidth="1"/>
  </cols>
  <sheetData>
    <row r="2" spans="1:731" s="108" customFormat="1" ht="18" customHeight="1">
      <c r="A2" s="110" t="s">
        <v>32</v>
      </c>
      <c r="B2" s="109">
        <v>41927</v>
      </c>
      <c r="C2" s="109">
        <v>41928</v>
      </c>
      <c r="D2" s="109">
        <v>41929</v>
      </c>
      <c r="E2" s="109">
        <v>41930</v>
      </c>
      <c r="F2" s="109">
        <v>41931</v>
      </c>
      <c r="G2" s="109">
        <v>41932</v>
      </c>
      <c r="H2" s="109">
        <v>41933</v>
      </c>
      <c r="I2" s="109">
        <v>41934</v>
      </c>
      <c r="J2" s="109">
        <v>41935</v>
      </c>
      <c r="K2" s="109">
        <v>41936</v>
      </c>
      <c r="L2" s="109">
        <v>41937</v>
      </c>
      <c r="M2" s="109">
        <v>41938</v>
      </c>
      <c r="N2" s="109">
        <v>41939</v>
      </c>
      <c r="O2" s="109">
        <v>41940</v>
      </c>
      <c r="P2" s="109">
        <v>41941</v>
      </c>
      <c r="Q2" s="109">
        <v>41942</v>
      </c>
      <c r="R2" s="109">
        <v>41943</v>
      </c>
      <c r="S2" s="109">
        <v>41944</v>
      </c>
      <c r="T2" s="109">
        <v>41945</v>
      </c>
      <c r="U2" s="109">
        <v>41946</v>
      </c>
      <c r="V2" s="109">
        <v>41947</v>
      </c>
      <c r="W2" s="109">
        <v>41948</v>
      </c>
      <c r="X2" s="109">
        <v>41949</v>
      </c>
      <c r="Y2" s="109">
        <v>41950</v>
      </c>
      <c r="Z2" s="109">
        <v>41951</v>
      </c>
      <c r="AA2" s="109">
        <v>41952</v>
      </c>
      <c r="AB2" s="109">
        <v>41953</v>
      </c>
      <c r="AC2" s="109">
        <v>41954</v>
      </c>
      <c r="AD2" s="109">
        <v>41955</v>
      </c>
      <c r="AE2" s="109">
        <v>41956</v>
      </c>
      <c r="AF2" s="109">
        <v>41957</v>
      </c>
      <c r="AG2" s="109">
        <v>41958</v>
      </c>
      <c r="AH2" s="109">
        <v>41959</v>
      </c>
      <c r="AI2" s="109">
        <v>41960</v>
      </c>
      <c r="AJ2" s="109">
        <v>41961</v>
      </c>
      <c r="AK2" s="109">
        <v>41962</v>
      </c>
      <c r="AL2" s="109">
        <v>41963</v>
      </c>
      <c r="AM2" s="109">
        <v>41964</v>
      </c>
      <c r="AN2" s="109">
        <v>41965</v>
      </c>
      <c r="AO2" s="109">
        <v>41966</v>
      </c>
      <c r="AP2" s="109">
        <v>41967</v>
      </c>
      <c r="AQ2" s="109">
        <v>41968</v>
      </c>
      <c r="AR2" s="109">
        <v>41969</v>
      </c>
      <c r="AS2" s="109">
        <v>41970</v>
      </c>
      <c r="AT2" s="109">
        <v>41971</v>
      </c>
      <c r="AU2" s="109">
        <v>41972</v>
      </c>
      <c r="AV2" s="109">
        <v>41973</v>
      </c>
      <c r="AW2" s="109">
        <v>41974</v>
      </c>
      <c r="AX2" s="109">
        <v>41975</v>
      </c>
      <c r="AY2" s="109">
        <v>41976</v>
      </c>
      <c r="AZ2" s="109">
        <v>41977</v>
      </c>
      <c r="BA2" s="109">
        <v>41978</v>
      </c>
      <c r="BB2" s="109">
        <v>41979</v>
      </c>
      <c r="BC2" s="109">
        <v>41980</v>
      </c>
      <c r="BD2" s="109">
        <v>41981</v>
      </c>
      <c r="BE2" s="109">
        <v>41982</v>
      </c>
      <c r="BF2" s="109">
        <v>41983</v>
      </c>
      <c r="BG2" s="109">
        <v>41984</v>
      </c>
      <c r="BH2" s="109">
        <v>41985</v>
      </c>
      <c r="BI2" s="109">
        <v>41986</v>
      </c>
      <c r="BJ2" s="109">
        <v>41987</v>
      </c>
      <c r="BK2" s="109">
        <v>41988</v>
      </c>
      <c r="BL2" s="109">
        <v>41989</v>
      </c>
      <c r="BM2" s="109">
        <v>41990</v>
      </c>
      <c r="BN2" s="109">
        <v>41991</v>
      </c>
      <c r="BO2" s="109">
        <v>41992</v>
      </c>
      <c r="BP2" s="109">
        <v>41993</v>
      </c>
      <c r="BQ2" s="109">
        <v>41994</v>
      </c>
      <c r="BR2" s="109">
        <v>41995</v>
      </c>
      <c r="BS2" s="109">
        <v>41996</v>
      </c>
      <c r="BT2" s="109">
        <v>41997</v>
      </c>
      <c r="BU2" s="109">
        <v>41998</v>
      </c>
      <c r="BV2" s="109">
        <v>41999</v>
      </c>
      <c r="BW2" s="109">
        <v>42000</v>
      </c>
      <c r="BX2" s="109">
        <v>42001</v>
      </c>
      <c r="BY2" s="109">
        <v>42002</v>
      </c>
      <c r="BZ2" s="109">
        <v>42003</v>
      </c>
      <c r="CA2" s="109">
        <v>42004</v>
      </c>
      <c r="CB2" s="109">
        <v>42005</v>
      </c>
      <c r="CC2" s="109">
        <v>42006</v>
      </c>
      <c r="CD2" s="109">
        <v>42007</v>
      </c>
      <c r="CE2" s="109">
        <v>42008</v>
      </c>
      <c r="CF2" s="109">
        <v>42009</v>
      </c>
      <c r="CG2" s="109">
        <v>42010</v>
      </c>
      <c r="CH2" s="109">
        <v>42011</v>
      </c>
      <c r="CI2" s="109">
        <v>42012</v>
      </c>
      <c r="CJ2" s="109">
        <v>42013</v>
      </c>
      <c r="CK2" s="109">
        <v>42014</v>
      </c>
      <c r="CL2" s="109">
        <v>42015</v>
      </c>
      <c r="CM2" s="109">
        <v>42016</v>
      </c>
      <c r="CN2" s="109">
        <v>42017</v>
      </c>
      <c r="CO2" s="109">
        <v>42018</v>
      </c>
      <c r="CP2" s="109">
        <v>42019</v>
      </c>
      <c r="CQ2" s="109">
        <v>42020</v>
      </c>
      <c r="CR2" s="109">
        <v>42021</v>
      </c>
      <c r="CS2" s="109">
        <v>42022</v>
      </c>
      <c r="CT2" s="109">
        <v>42023</v>
      </c>
      <c r="CU2" s="109">
        <v>42024</v>
      </c>
      <c r="CV2" s="109">
        <v>42025</v>
      </c>
      <c r="CW2" s="109">
        <v>42026</v>
      </c>
      <c r="CX2" s="109">
        <v>42027</v>
      </c>
      <c r="CY2" s="109">
        <v>42028</v>
      </c>
      <c r="CZ2" s="109">
        <v>42029</v>
      </c>
      <c r="DA2" s="109">
        <v>42030</v>
      </c>
      <c r="DB2" s="109">
        <v>42031</v>
      </c>
      <c r="DC2" s="109">
        <v>42032</v>
      </c>
      <c r="DD2" s="109">
        <v>42033</v>
      </c>
      <c r="DE2" s="109">
        <v>42034</v>
      </c>
      <c r="DF2" s="109">
        <v>42035</v>
      </c>
      <c r="DG2" s="109">
        <v>42036</v>
      </c>
      <c r="DH2" s="109">
        <v>42037</v>
      </c>
      <c r="DI2" s="109">
        <v>42038</v>
      </c>
      <c r="DJ2" s="109">
        <v>42039</v>
      </c>
      <c r="DK2" s="109">
        <v>42040</v>
      </c>
      <c r="DL2" s="109">
        <v>42041</v>
      </c>
      <c r="DM2" s="109">
        <v>42042</v>
      </c>
      <c r="DN2" s="109">
        <v>42043</v>
      </c>
      <c r="DO2" s="109">
        <v>42044</v>
      </c>
      <c r="DP2" s="109">
        <v>42045</v>
      </c>
      <c r="DQ2" s="109">
        <v>42046</v>
      </c>
      <c r="DR2" s="109">
        <v>42047</v>
      </c>
      <c r="DS2" s="109">
        <v>42048</v>
      </c>
      <c r="DT2" s="109">
        <v>42049</v>
      </c>
      <c r="DU2" s="109">
        <v>42050</v>
      </c>
      <c r="DV2" s="109">
        <v>42051</v>
      </c>
      <c r="DW2" s="109">
        <v>42052</v>
      </c>
      <c r="DX2" s="109">
        <v>42053</v>
      </c>
      <c r="DY2" s="109">
        <v>42054</v>
      </c>
      <c r="DZ2" s="109">
        <v>42055</v>
      </c>
      <c r="EA2" s="109">
        <v>42056</v>
      </c>
      <c r="EB2" s="109">
        <v>42057</v>
      </c>
      <c r="EC2" s="109">
        <v>42058</v>
      </c>
      <c r="ED2" s="109">
        <v>42059</v>
      </c>
      <c r="EE2" s="109">
        <v>42060</v>
      </c>
      <c r="EF2" s="109">
        <v>42061</v>
      </c>
      <c r="EG2" s="109">
        <v>42062</v>
      </c>
      <c r="EH2" s="109">
        <v>42063</v>
      </c>
      <c r="EI2" s="109">
        <v>42064</v>
      </c>
      <c r="EJ2" s="109">
        <v>42065</v>
      </c>
      <c r="EK2" s="109">
        <v>42066</v>
      </c>
      <c r="EL2" s="109">
        <v>42067</v>
      </c>
      <c r="EM2" s="109">
        <v>42068</v>
      </c>
      <c r="EN2" s="109">
        <v>42069</v>
      </c>
      <c r="EO2" s="109">
        <v>42070</v>
      </c>
      <c r="EP2" s="109">
        <v>42071</v>
      </c>
      <c r="EQ2" s="109">
        <v>42072</v>
      </c>
      <c r="ER2" s="109">
        <v>42073</v>
      </c>
      <c r="ES2" s="109">
        <v>42074</v>
      </c>
      <c r="ET2" s="109">
        <v>42075</v>
      </c>
      <c r="EU2" s="109">
        <v>42076</v>
      </c>
      <c r="EV2" s="109">
        <v>42077</v>
      </c>
      <c r="EW2" s="109">
        <v>42078</v>
      </c>
      <c r="EX2" s="109">
        <v>42079</v>
      </c>
      <c r="EY2" s="109">
        <v>42080</v>
      </c>
      <c r="EZ2" s="109">
        <v>42081</v>
      </c>
      <c r="FA2" s="109">
        <v>42082</v>
      </c>
      <c r="FB2" s="109">
        <v>42083</v>
      </c>
      <c r="FC2" s="109">
        <v>42084</v>
      </c>
      <c r="FD2" s="109">
        <v>42085</v>
      </c>
      <c r="FE2" s="109">
        <v>42086</v>
      </c>
      <c r="FF2" s="109">
        <v>42087</v>
      </c>
      <c r="FG2" s="109">
        <v>42088</v>
      </c>
      <c r="FH2" s="109">
        <v>42089</v>
      </c>
      <c r="FI2" s="109">
        <v>42090</v>
      </c>
      <c r="FJ2" s="109">
        <v>42091</v>
      </c>
      <c r="FK2" s="109">
        <v>42092</v>
      </c>
      <c r="FL2" s="109">
        <v>42093</v>
      </c>
      <c r="FM2" s="109">
        <v>42094</v>
      </c>
      <c r="FN2" s="109">
        <v>42095</v>
      </c>
      <c r="FO2" s="109">
        <v>42096</v>
      </c>
      <c r="FP2" s="109">
        <v>42097</v>
      </c>
      <c r="FQ2" s="109">
        <v>42098</v>
      </c>
      <c r="FR2" s="109">
        <v>42099</v>
      </c>
      <c r="FS2" s="109">
        <v>42100</v>
      </c>
      <c r="FT2" s="109">
        <v>42101</v>
      </c>
      <c r="FU2" s="109">
        <v>42102</v>
      </c>
      <c r="FV2" s="109">
        <v>42103</v>
      </c>
      <c r="FW2" s="109">
        <v>42104</v>
      </c>
      <c r="FX2" s="109">
        <v>42105</v>
      </c>
      <c r="FY2" s="109">
        <v>42106</v>
      </c>
      <c r="FZ2" s="109">
        <v>42107</v>
      </c>
      <c r="GA2" s="109">
        <v>42108</v>
      </c>
      <c r="GB2" s="109">
        <v>42109</v>
      </c>
      <c r="GC2" s="109">
        <v>42110</v>
      </c>
      <c r="GD2" s="109">
        <v>42111</v>
      </c>
      <c r="GE2" s="109">
        <v>42112</v>
      </c>
      <c r="GF2" s="109">
        <v>42113</v>
      </c>
      <c r="GG2" s="109">
        <v>42114</v>
      </c>
      <c r="GH2" s="109">
        <v>42115</v>
      </c>
      <c r="GI2" s="109">
        <v>42116</v>
      </c>
      <c r="GJ2" s="109">
        <v>42117</v>
      </c>
      <c r="GK2" s="109">
        <v>42118</v>
      </c>
      <c r="GL2" s="109">
        <v>42119</v>
      </c>
      <c r="GM2" s="109">
        <v>42120</v>
      </c>
      <c r="GN2" s="109">
        <v>42121</v>
      </c>
      <c r="GO2" s="109">
        <v>42122</v>
      </c>
      <c r="GP2" s="109">
        <v>42123</v>
      </c>
      <c r="GQ2" s="109">
        <v>42124</v>
      </c>
      <c r="GR2" s="109">
        <v>42125</v>
      </c>
      <c r="GS2" s="109">
        <v>42126</v>
      </c>
      <c r="GT2" s="109">
        <v>42127</v>
      </c>
      <c r="GU2" s="109">
        <v>42128</v>
      </c>
      <c r="GV2" s="109">
        <v>42129</v>
      </c>
      <c r="GW2" s="109">
        <v>42130</v>
      </c>
      <c r="GX2" s="109">
        <v>42131</v>
      </c>
      <c r="GY2" s="109">
        <v>42132</v>
      </c>
      <c r="GZ2" s="109">
        <v>42133</v>
      </c>
      <c r="HA2" s="109">
        <v>42134</v>
      </c>
      <c r="HB2" s="109">
        <v>42135</v>
      </c>
      <c r="HC2" s="109">
        <v>42136</v>
      </c>
      <c r="HD2" s="109">
        <v>42137</v>
      </c>
      <c r="HE2" s="109">
        <v>42138</v>
      </c>
      <c r="HF2" s="109">
        <v>42139</v>
      </c>
      <c r="HG2" s="109">
        <v>42140</v>
      </c>
      <c r="HH2" s="109">
        <v>42141</v>
      </c>
      <c r="HI2" s="109">
        <v>42142</v>
      </c>
      <c r="HJ2" s="109">
        <v>42143</v>
      </c>
      <c r="HK2" s="109">
        <v>42144</v>
      </c>
      <c r="HL2" s="109">
        <v>42145</v>
      </c>
      <c r="HM2" s="109">
        <v>42146</v>
      </c>
      <c r="HN2" s="109">
        <v>42147</v>
      </c>
      <c r="HO2" s="109">
        <v>42148</v>
      </c>
      <c r="HP2" s="109">
        <v>42149</v>
      </c>
      <c r="HQ2" s="109">
        <v>42150</v>
      </c>
      <c r="HR2" s="109">
        <v>42151</v>
      </c>
      <c r="HS2" s="109">
        <v>42152</v>
      </c>
      <c r="HT2" s="109">
        <v>42153</v>
      </c>
      <c r="HU2" s="109">
        <v>42154</v>
      </c>
      <c r="HV2" s="109">
        <v>42155</v>
      </c>
      <c r="HW2" s="109">
        <v>42156</v>
      </c>
      <c r="HX2" s="109">
        <v>42157</v>
      </c>
      <c r="HY2" s="109">
        <v>42158</v>
      </c>
      <c r="HZ2" s="109">
        <v>42159</v>
      </c>
      <c r="IA2" s="109">
        <v>42160</v>
      </c>
      <c r="IB2" s="109">
        <v>42161</v>
      </c>
      <c r="IC2" s="109">
        <v>42162</v>
      </c>
      <c r="ID2" s="109">
        <v>42163</v>
      </c>
      <c r="IE2" s="109">
        <v>42164</v>
      </c>
      <c r="IF2" s="109">
        <v>42165</v>
      </c>
      <c r="IG2" s="109">
        <v>42166</v>
      </c>
      <c r="IH2" s="109">
        <v>42167</v>
      </c>
      <c r="II2" s="109">
        <v>42168</v>
      </c>
      <c r="IJ2" s="109">
        <v>42169</v>
      </c>
      <c r="IK2" s="109">
        <v>42170</v>
      </c>
      <c r="IL2" s="109">
        <v>42171</v>
      </c>
      <c r="IM2" s="109">
        <v>42172</v>
      </c>
      <c r="IN2" s="109">
        <v>42173</v>
      </c>
      <c r="IO2" s="109">
        <v>42174</v>
      </c>
      <c r="IP2" s="109">
        <v>42175</v>
      </c>
      <c r="IQ2" s="109">
        <v>42176</v>
      </c>
      <c r="IR2" s="109">
        <v>42177</v>
      </c>
      <c r="IS2" s="109">
        <v>42178</v>
      </c>
      <c r="IT2" s="109">
        <v>42179</v>
      </c>
      <c r="IU2" s="109">
        <v>42180</v>
      </c>
      <c r="IV2" s="109">
        <v>42181</v>
      </c>
      <c r="IW2" s="109">
        <v>42182</v>
      </c>
      <c r="IX2" s="109">
        <v>42183</v>
      </c>
      <c r="IY2" s="109">
        <v>42184</v>
      </c>
      <c r="IZ2" s="109">
        <v>42185</v>
      </c>
      <c r="JA2" s="109">
        <v>42186</v>
      </c>
      <c r="JB2" s="109">
        <v>42187</v>
      </c>
      <c r="JC2" s="109">
        <v>42188</v>
      </c>
      <c r="JD2" s="109">
        <v>42189</v>
      </c>
      <c r="JE2" s="109">
        <v>42190</v>
      </c>
      <c r="JF2" s="109">
        <v>42191</v>
      </c>
      <c r="JG2" s="109">
        <v>42192</v>
      </c>
      <c r="JH2" s="109">
        <v>42193</v>
      </c>
      <c r="JI2" s="109">
        <v>42194</v>
      </c>
      <c r="JJ2" s="109">
        <v>42195</v>
      </c>
      <c r="JK2" s="109">
        <v>42196</v>
      </c>
      <c r="JL2" s="109">
        <v>42197</v>
      </c>
      <c r="JM2" s="109">
        <v>42198</v>
      </c>
      <c r="JN2" s="109">
        <v>42199</v>
      </c>
      <c r="JO2" s="109">
        <v>42200</v>
      </c>
      <c r="JP2" s="109">
        <v>42201</v>
      </c>
      <c r="JQ2" s="109">
        <v>42202</v>
      </c>
      <c r="JR2" s="109">
        <v>42203</v>
      </c>
      <c r="JS2" s="109">
        <v>42204</v>
      </c>
      <c r="JT2" s="109">
        <v>42205</v>
      </c>
      <c r="JU2" s="109">
        <v>42206</v>
      </c>
      <c r="JV2" s="109">
        <v>42207</v>
      </c>
      <c r="JW2" s="109">
        <v>42208</v>
      </c>
      <c r="JX2" s="109">
        <v>42209</v>
      </c>
      <c r="JY2" s="109">
        <v>42210</v>
      </c>
      <c r="JZ2" s="109">
        <v>42211</v>
      </c>
      <c r="KA2" s="109">
        <v>42212</v>
      </c>
      <c r="KB2" s="109">
        <v>42213</v>
      </c>
      <c r="KC2" s="109">
        <v>42214</v>
      </c>
      <c r="KD2" s="109">
        <v>42215</v>
      </c>
      <c r="KE2" s="109">
        <v>42216</v>
      </c>
      <c r="KF2" s="109">
        <v>42217</v>
      </c>
      <c r="KG2" s="109">
        <v>42218</v>
      </c>
      <c r="KH2" s="109">
        <v>42219</v>
      </c>
      <c r="KI2" s="109">
        <v>42220</v>
      </c>
      <c r="KJ2" s="109">
        <v>42221</v>
      </c>
      <c r="KK2" s="109">
        <v>42222</v>
      </c>
      <c r="KL2" s="109">
        <v>42223</v>
      </c>
      <c r="KM2" s="109">
        <v>42224</v>
      </c>
      <c r="KN2" s="109">
        <v>42225</v>
      </c>
      <c r="KO2" s="109">
        <v>42226</v>
      </c>
      <c r="KP2" s="109">
        <v>42227</v>
      </c>
      <c r="KQ2" s="109">
        <v>42228</v>
      </c>
      <c r="KR2" s="109">
        <v>42229</v>
      </c>
      <c r="KS2" s="109">
        <v>42230</v>
      </c>
      <c r="KT2" s="109">
        <v>42231</v>
      </c>
      <c r="KU2" s="109">
        <v>42232</v>
      </c>
      <c r="KV2" s="109">
        <v>42233</v>
      </c>
      <c r="KW2" s="109">
        <v>42234</v>
      </c>
      <c r="KX2" s="109">
        <v>42235</v>
      </c>
      <c r="KY2" s="109">
        <v>42236</v>
      </c>
      <c r="KZ2" s="109">
        <v>42237</v>
      </c>
      <c r="LA2" s="109">
        <v>42238</v>
      </c>
      <c r="LB2" s="109">
        <v>42239</v>
      </c>
      <c r="LC2" s="109">
        <v>42240</v>
      </c>
      <c r="LD2" s="109">
        <v>42241</v>
      </c>
      <c r="LE2" s="109">
        <v>42242</v>
      </c>
      <c r="LF2" s="109">
        <v>42243</v>
      </c>
      <c r="LG2" s="109">
        <v>42244</v>
      </c>
      <c r="LH2" s="109">
        <v>42245</v>
      </c>
      <c r="LI2" s="109">
        <v>42246</v>
      </c>
      <c r="LJ2" s="109">
        <v>42247</v>
      </c>
      <c r="LK2" s="109">
        <v>42248</v>
      </c>
      <c r="LL2" s="109">
        <v>42249</v>
      </c>
      <c r="LM2" s="109">
        <v>42250</v>
      </c>
      <c r="LN2" s="109">
        <v>42251</v>
      </c>
      <c r="LO2" s="109">
        <v>42252</v>
      </c>
      <c r="LP2" s="109">
        <v>42253</v>
      </c>
      <c r="LQ2" s="109">
        <v>42254</v>
      </c>
      <c r="LR2" s="109">
        <v>42255</v>
      </c>
      <c r="LS2" s="109">
        <v>42256</v>
      </c>
      <c r="LT2" s="109">
        <v>42257</v>
      </c>
      <c r="LU2" s="109">
        <v>42258</v>
      </c>
      <c r="LV2" s="109">
        <v>42259</v>
      </c>
      <c r="LW2" s="109">
        <v>42260</v>
      </c>
      <c r="LX2" s="109">
        <v>42261</v>
      </c>
      <c r="LY2" s="109">
        <v>42262</v>
      </c>
      <c r="LZ2" s="109">
        <v>42263</v>
      </c>
      <c r="MA2" s="109">
        <v>42264</v>
      </c>
      <c r="MB2" s="109">
        <v>42265</v>
      </c>
      <c r="MC2" s="109">
        <v>42266</v>
      </c>
      <c r="MD2" s="109">
        <v>42267</v>
      </c>
      <c r="ME2" s="109">
        <v>42268</v>
      </c>
      <c r="MF2" s="109">
        <v>42269</v>
      </c>
      <c r="MG2" s="109">
        <v>42270</v>
      </c>
      <c r="MH2" s="109">
        <v>42271</v>
      </c>
      <c r="MI2" s="109">
        <v>42272</v>
      </c>
      <c r="MJ2" s="109">
        <v>42273</v>
      </c>
      <c r="MK2" s="109">
        <v>42274</v>
      </c>
      <c r="ML2" s="109">
        <v>42275</v>
      </c>
      <c r="MM2" s="109">
        <v>42276</v>
      </c>
      <c r="MN2" s="109">
        <v>42277</v>
      </c>
      <c r="MO2" s="109">
        <v>42278</v>
      </c>
      <c r="MP2" s="109">
        <v>42279</v>
      </c>
      <c r="MQ2" s="109">
        <v>42280</v>
      </c>
      <c r="MR2" s="109">
        <v>42281</v>
      </c>
      <c r="MS2" s="109">
        <v>42282</v>
      </c>
      <c r="MT2" s="109">
        <v>42283</v>
      </c>
      <c r="MU2" s="109">
        <v>42284</v>
      </c>
      <c r="MV2" s="109">
        <v>42285</v>
      </c>
      <c r="MW2" s="109">
        <v>42286</v>
      </c>
      <c r="MX2" s="109">
        <v>42287</v>
      </c>
      <c r="MY2" s="109">
        <v>42288</v>
      </c>
      <c r="MZ2" s="109">
        <v>42289</v>
      </c>
      <c r="NA2" s="109">
        <v>42290</v>
      </c>
      <c r="NB2" s="109">
        <v>42291</v>
      </c>
      <c r="NC2" s="109">
        <v>42292</v>
      </c>
      <c r="ND2" s="109">
        <v>42293</v>
      </c>
      <c r="NE2" s="109">
        <v>42294</v>
      </c>
      <c r="NF2" s="109">
        <v>42295</v>
      </c>
      <c r="NG2" s="109">
        <v>42296</v>
      </c>
      <c r="NH2" s="109">
        <v>42297</v>
      </c>
      <c r="NI2" s="109">
        <v>42298</v>
      </c>
      <c r="NJ2" s="109">
        <v>42299</v>
      </c>
      <c r="NK2" s="109">
        <v>42300</v>
      </c>
      <c r="NL2" s="109">
        <v>42301</v>
      </c>
      <c r="NM2" s="109">
        <v>42302</v>
      </c>
      <c r="NN2" s="109">
        <v>42303</v>
      </c>
      <c r="NO2" s="109">
        <v>42304</v>
      </c>
      <c r="NP2" s="109">
        <v>42305</v>
      </c>
      <c r="NQ2" s="109">
        <v>42306</v>
      </c>
      <c r="NR2" s="109">
        <v>42307</v>
      </c>
      <c r="NS2" s="109">
        <v>42308</v>
      </c>
      <c r="NT2" s="109">
        <v>42309</v>
      </c>
      <c r="NU2" s="109">
        <v>42310</v>
      </c>
      <c r="NV2" s="109">
        <v>42311</v>
      </c>
      <c r="NW2" s="109">
        <v>42312</v>
      </c>
      <c r="NX2" s="109">
        <v>42313</v>
      </c>
      <c r="NY2" s="109">
        <v>42314</v>
      </c>
      <c r="NZ2" s="109">
        <v>42315</v>
      </c>
      <c r="OA2" s="109">
        <v>42316</v>
      </c>
      <c r="OB2" s="109">
        <v>42317</v>
      </c>
      <c r="OC2" s="109">
        <v>42318</v>
      </c>
      <c r="OD2" s="109">
        <v>42319</v>
      </c>
      <c r="OE2" s="109">
        <v>42320</v>
      </c>
      <c r="OF2" s="109">
        <v>42321</v>
      </c>
      <c r="OG2" s="109">
        <v>42322</v>
      </c>
      <c r="OH2" s="109">
        <v>42323</v>
      </c>
      <c r="OI2" s="109">
        <v>42324</v>
      </c>
      <c r="OJ2" s="109">
        <v>42325</v>
      </c>
      <c r="OK2" s="109">
        <v>42326</v>
      </c>
      <c r="OL2" s="109">
        <v>42327</v>
      </c>
      <c r="OM2" s="109">
        <v>42328</v>
      </c>
      <c r="ON2" s="109">
        <v>42329</v>
      </c>
      <c r="OO2" s="109">
        <v>42330</v>
      </c>
      <c r="OP2" s="109">
        <v>42331</v>
      </c>
      <c r="OQ2" s="109">
        <v>42332</v>
      </c>
      <c r="OR2" s="109">
        <v>42333</v>
      </c>
      <c r="OS2" s="109">
        <v>42334</v>
      </c>
      <c r="OT2" s="109">
        <v>42335</v>
      </c>
      <c r="OU2" s="109">
        <v>42336</v>
      </c>
      <c r="OV2" s="109">
        <v>42337</v>
      </c>
      <c r="OW2" s="109">
        <v>42338</v>
      </c>
      <c r="OX2" s="109">
        <v>42339</v>
      </c>
      <c r="OY2" s="109">
        <v>42340</v>
      </c>
      <c r="OZ2" s="109">
        <v>42341</v>
      </c>
      <c r="PA2" s="109">
        <v>42342</v>
      </c>
      <c r="PB2" s="109">
        <v>42343</v>
      </c>
      <c r="PC2" s="109">
        <v>42344</v>
      </c>
      <c r="PD2" s="109">
        <v>42345</v>
      </c>
      <c r="PE2" s="109">
        <v>42346</v>
      </c>
      <c r="PF2" s="109">
        <v>42347</v>
      </c>
      <c r="PG2" s="109">
        <v>42348</v>
      </c>
      <c r="PH2" s="109">
        <v>42349</v>
      </c>
      <c r="PI2" s="109">
        <v>42350</v>
      </c>
      <c r="PJ2" s="109">
        <v>42351</v>
      </c>
      <c r="PK2" s="109">
        <v>42352</v>
      </c>
      <c r="PL2" s="109">
        <v>42353</v>
      </c>
      <c r="PM2" s="109">
        <v>42354</v>
      </c>
      <c r="PN2" s="109">
        <v>42355</v>
      </c>
      <c r="PO2" s="109">
        <v>42356</v>
      </c>
      <c r="PP2" s="109">
        <v>42357</v>
      </c>
      <c r="PQ2" s="109">
        <v>42358</v>
      </c>
      <c r="PR2" s="109">
        <v>42359</v>
      </c>
      <c r="PS2" s="109">
        <v>42360</v>
      </c>
      <c r="PT2" s="109">
        <v>42361</v>
      </c>
      <c r="PU2" s="109">
        <v>42362</v>
      </c>
      <c r="PV2" s="109">
        <v>42363</v>
      </c>
      <c r="PW2" s="109">
        <v>42364</v>
      </c>
      <c r="PX2" s="109">
        <v>42365</v>
      </c>
      <c r="PY2" s="109">
        <v>42366</v>
      </c>
      <c r="PZ2" s="109">
        <v>42367</v>
      </c>
      <c r="QA2" s="109">
        <v>42368</v>
      </c>
      <c r="QB2" s="109">
        <v>42369</v>
      </c>
      <c r="QC2" s="109">
        <v>42370</v>
      </c>
      <c r="QD2" s="109">
        <v>42371</v>
      </c>
      <c r="QE2" s="109">
        <v>42372</v>
      </c>
      <c r="QF2" s="109">
        <v>42373</v>
      </c>
      <c r="QG2" s="109">
        <v>42374</v>
      </c>
      <c r="QH2" s="109">
        <v>42375</v>
      </c>
      <c r="QI2" s="109">
        <v>42376</v>
      </c>
      <c r="QJ2" s="109">
        <v>42377</v>
      </c>
      <c r="QK2" s="109">
        <v>42378</v>
      </c>
      <c r="QL2" s="109">
        <v>42379</v>
      </c>
      <c r="QM2" s="109">
        <v>42380</v>
      </c>
      <c r="QN2" s="109">
        <v>42381</v>
      </c>
      <c r="QO2" s="109">
        <v>42382</v>
      </c>
      <c r="QP2" s="109">
        <v>42383</v>
      </c>
      <c r="QQ2" s="109">
        <v>42384</v>
      </c>
      <c r="QR2" s="109">
        <v>42385</v>
      </c>
      <c r="QS2" s="109">
        <v>42386</v>
      </c>
      <c r="QT2" s="109">
        <v>42387</v>
      </c>
      <c r="QU2" s="109">
        <v>42388</v>
      </c>
      <c r="QV2" s="109">
        <v>42389</v>
      </c>
      <c r="QW2" s="109">
        <v>42390</v>
      </c>
      <c r="QX2" s="109">
        <v>42391</v>
      </c>
      <c r="QY2" s="109">
        <v>42392</v>
      </c>
      <c r="QZ2" s="109">
        <v>42393</v>
      </c>
      <c r="RA2" s="109">
        <v>42394</v>
      </c>
      <c r="RB2" s="109">
        <v>42395</v>
      </c>
      <c r="RC2" s="109">
        <v>42396</v>
      </c>
      <c r="RD2" s="109">
        <v>42397</v>
      </c>
      <c r="RE2" s="109">
        <v>42398</v>
      </c>
      <c r="RF2" s="109">
        <v>42399</v>
      </c>
      <c r="RG2" s="109">
        <v>42400</v>
      </c>
      <c r="RH2" s="109">
        <v>42401</v>
      </c>
      <c r="RI2" s="109">
        <v>42402</v>
      </c>
      <c r="RJ2" s="109">
        <v>42403</v>
      </c>
      <c r="RK2" s="109">
        <v>42404</v>
      </c>
      <c r="RL2" s="109">
        <v>42405</v>
      </c>
      <c r="RM2" s="109">
        <v>42406</v>
      </c>
      <c r="RN2" s="109">
        <v>42407</v>
      </c>
      <c r="RO2" s="109">
        <v>42408</v>
      </c>
      <c r="RP2" s="109">
        <v>42409</v>
      </c>
      <c r="RQ2" s="109">
        <v>42410</v>
      </c>
      <c r="RR2" s="109">
        <v>42411</v>
      </c>
      <c r="RS2" s="109">
        <v>42412</v>
      </c>
      <c r="RT2" s="109">
        <v>42413</v>
      </c>
      <c r="RU2" s="109">
        <v>42414</v>
      </c>
      <c r="RV2" s="109">
        <v>42415</v>
      </c>
      <c r="RW2" s="109">
        <v>42416</v>
      </c>
      <c r="RX2" s="109">
        <v>42417</v>
      </c>
      <c r="RY2" s="109">
        <v>42418</v>
      </c>
      <c r="RZ2" s="109">
        <v>42419</v>
      </c>
      <c r="SA2" s="109">
        <v>42420</v>
      </c>
      <c r="SB2" s="109">
        <v>42421</v>
      </c>
      <c r="SC2" s="109">
        <v>42422</v>
      </c>
      <c r="SD2" s="109">
        <v>42423</v>
      </c>
      <c r="SE2" s="109">
        <v>42424</v>
      </c>
      <c r="SF2" s="109">
        <v>42425</v>
      </c>
      <c r="SG2" s="109">
        <v>42426</v>
      </c>
      <c r="SH2" s="109">
        <v>42427</v>
      </c>
      <c r="SI2" s="109">
        <v>42428</v>
      </c>
      <c r="SJ2" s="109">
        <v>42429</v>
      </c>
      <c r="SK2" s="109">
        <v>42430</v>
      </c>
      <c r="SL2" s="109">
        <v>42431</v>
      </c>
      <c r="SM2" s="109">
        <v>42432</v>
      </c>
      <c r="SN2" s="109">
        <v>42433</v>
      </c>
      <c r="SO2" s="109">
        <v>42434</v>
      </c>
      <c r="SP2" s="109">
        <v>42435</v>
      </c>
      <c r="SQ2" s="109">
        <v>42436</v>
      </c>
      <c r="SR2" s="109">
        <v>42437</v>
      </c>
      <c r="SS2" s="109">
        <v>42438</v>
      </c>
      <c r="ST2" s="109">
        <v>42439</v>
      </c>
      <c r="SU2" s="109">
        <v>42440</v>
      </c>
      <c r="SV2" s="109">
        <v>42441</v>
      </c>
      <c r="SW2" s="109">
        <v>42442</v>
      </c>
      <c r="SX2" s="109">
        <v>42443</v>
      </c>
      <c r="SY2" s="109">
        <v>42444</v>
      </c>
      <c r="SZ2" s="109">
        <v>42445</v>
      </c>
      <c r="TA2" s="109">
        <v>42446</v>
      </c>
      <c r="TB2" s="109">
        <v>42447</v>
      </c>
      <c r="TC2" s="109">
        <v>42448</v>
      </c>
      <c r="TD2" s="109">
        <v>42449</v>
      </c>
      <c r="TE2" s="109">
        <v>42450</v>
      </c>
      <c r="TF2" s="109">
        <v>42451</v>
      </c>
      <c r="TG2" s="109">
        <v>42452</v>
      </c>
      <c r="TH2" s="109">
        <v>42453</v>
      </c>
      <c r="TI2" s="109">
        <v>42454</v>
      </c>
      <c r="TJ2" s="109">
        <v>42455</v>
      </c>
      <c r="TK2" s="109">
        <v>42456</v>
      </c>
      <c r="TL2" s="109">
        <v>42457</v>
      </c>
      <c r="TM2" s="109">
        <v>42458</v>
      </c>
      <c r="TN2" s="109">
        <v>42459</v>
      </c>
      <c r="TO2" s="109">
        <v>42460</v>
      </c>
      <c r="TP2" s="109">
        <v>42461</v>
      </c>
      <c r="TQ2" s="109">
        <v>42462</v>
      </c>
      <c r="TR2" s="109">
        <v>42463</v>
      </c>
      <c r="TS2" s="109">
        <v>42464</v>
      </c>
      <c r="TT2" s="109">
        <v>42465</v>
      </c>
      <c r="TU2" s="109">
        <v>42466</v>
      </c>
      <c r="TV2" s="109">
        <v>42467</v>
      </c>
      <c r="TW2" s="109">
        <v>42468</v>
      </c>
      <c r="TX2" s="109">
        <v>42469</v>
      </c>
      <c r="TY2" s="109">
        <v>42470</v>
      </c>
      <c r="TZ2" s="109">
        <v>42471</v>
      </c>
      <c r="UA2" s="109">
        <v>42472</v>
      </c>
      <c r="UB2" s="109">
        <v>42473</v>
      </c>
      <c r="UC2" s="109">
        <v>42474</v>
      </c>
      <c r="UD2" s="109">
        <v>42475</v>
      </c>
      <c r="UE2" s="109">
        <v>42476</v>
      </c>
      <c r="UF2" s="109">
        <v>42477</v>
      </c>
      <c r="UG2" s="109">
        <v>42478</v>
      </c>
      <c r="UH2" s="109">
        <v>42479</v>
      </c>
      <c r="UI2" s="109">
        <v>42480</v>
      </c>
      <c r="UJ2" s="109">
        <v>42481</v>
      </c>
      <c r="UK2" s="109">
        <v>42482</v>
      </c>
      <c r="UL2" s="109">
        <v>42483</v>
      </c>
      <c r="UM2" s="109">
        <v>42484</v>
      </c>
      <c r="UN2" s="109">
        <v>42485</v>
      </c>
      <c r="UO2" s="109">
        <v>42486</v>
      </c>
      <c r="UP2" s="109">
        <v>42487</v>
      </c>
      <c r="UQ2" s="109">
        <v>42488</v>
      </c>
      <c r="UR2" s="109">
        <v>42489</v>
      </c>
      <c r="US2" s="109">
        <v>42490</v>
      </c>
      <c r="UT2" s="109">
        <v>42491</v>
      </c>
      <c r="UU2" s="109">
        <v>42492</v>
      </c>
      <c r="UV2" s="109">
        <v>42493</v>
      </c>
      <c r="UW2" s="109">
        <v>42494</v>
      </c>
      <c r="UX2" s="109">
        <v>42495</v>
      </c>
      <c r="UY2" s="109">
        <v>42496</v>
      </c>
      <c r="UZ2" s="109">
        <v>42497</v>
      </c>
      <c r="VA2" s="109">
        <v>42498</v>
      </c>
      <c r="VB2" s="109">
        <v>42499</v>
      </c>
      <c r="VC2" s="109">
        <v>42500</v>
      </c>
      <c r="VD2" s="109">
        <v>42501</v>
      </c>
      <c r="VE2" s="109">
        <v>42502</v>
      </c>
      <c r="VF2" s="109">
        <v>42503</v>
      </c>
      <c r="VG2" s="109">
        <v>42504</v>
      </c>
      <c r="VH2" s="109">
        <v>42505</v>
      </c>
      <c r="VI2" s="109">
        <v>42506</v>
      </c>
      <c r="VJ2" s="109">
        <v>42507</v>
      </c>
      <c r="VK2" s="109">
        <v>42508</v>
      </c>
      <c r="VL2" s="109">
        <v>42509</v>
      </c>
      <c r="VM2" s="109">
        <v>42510</v>
      </c>
      <c r="VN2" s="109">
        <v>42511</v>
      </c>
      <c r="VO2" s="109">
        <v>42512</v>
      </c>
      <c r="VP2" s="109">
        <v>42513</v>
      </c>
      <c r="VQ2" s="109">
        <v>42514</v>
      </c>
      <c r="VR2" s="109">
        <v>42515</v>
      </c>
      <c r="VS2" s="109">
        <v>42516</v>
      </c>
      <c r="VT2" s="109">
        <v>42517</v>
      </c>
      <c r="VU2" s="109">
        <v>42518</v>
      </c>
      <c r="VV2" s="109">
        <v>42519</v>
      </c>
      <c r="VW2" s="109">
        <v>42520</v>
      </c>
      <c r="VX2" s="109">
        <v>42521</v>
      </c>
      <c r="VY2" s="109">
        <v>42522</v>
      </c>
      <c r="VZ2" s="109">
        <v>42523</v>
      </c>
      <c r="WA2" s="109">
        <v>42524</v>
      </c>
      <c r="WB2" s="109">
        <v>42525</v>
      </c>
      <c r="WC2" s="109">
        <v>42526</v>
      </c>
      <c r="WD2" s="109">
        <v>42527</v>
      </c>
      <c r="WE2" s="109">
        <v>42528</v>
      </c>
      <c r="WF2" s="109">
        <v>42529</v>
      </c>
      <c r="WG2" s="109">
        <v>42530</v>
      </c>
      <c r="WH2" s="109">
        <v>42531</v>
      </c>
      <c r="WI2" s="109">
        <v>42532</v>
      </c>
      <c r="WJ2" s="109">
        <v>42533</v>
      </c>
      <c r="WK2" s="109">
        <v>42534</v>
      </c>
      <c r="WL2" s="109">
        <v>42535</v>
      </c>
      <c r="WM2" s="109">
        <v>42536</v>
      </c>
      <c r="WN2" s="109">
        <v>42537</v>
      </c>
      <c r="WO2" s="109">
        <v>42538</v>
      </c>
      <c r="WP2" s="109">
        <v>42539</v>
      </c>
      <c r="WQ2" s="109">
        <v>42540</v>
      </c>
      <c r="WR2" s="109">
        <v>42541</v>
      </c>
      <c r="WS2" s="109">
        <v>42542</v>
      </c>
      <c r="WT2" s="109">
        <v>42543</v>
      </c>
      <c r="WU2" s="109">
        <v>42544</v>
      </c>
      <c r="WV2" s="109">
        <v>42545</v>
      </c>
      <c r="WW2" s="109">
        <v>42546</v>
      </c>
      <c r="WX2" s="109">
        <v>42547</v>
      </c>
      <c r="WY2" s="109">
        <v>42548</v>
      </c>
      <c r="WZ2" s="109">
        <v>42549</v>
      </c>
      <c r="XA2" s="109">
        <v>42550</v>
      </c>
      <c r="XB2" s="109">
        <v>42551</v>
      </c>
      <c r="XC2" s="109">
        <v>42552</v>
      </c>
      <c r="XD2" s="109">
        <v>42553</v>
      </c>
      <c r="XE2" s="109">
        <v>42554</v>
      </c>
      <c r="XF2" s="109">
        <v>42555</v>
      </c>
      <c r="XG2" s="109">
        <v>42556</v>
      </c>
      <c r="XH2" s="109">
        <v>42557</v>
      </c>
      <c r="XI2" s="109">
        <v>42558</v>
      </c>
      <c r="XJ2" s="109">
        <v>42559</v>
      </c>
      <c r="XK2" s="109">
        <v>42560</v>
      </c>
      <c r="XL2" s="109">
        <v>42561</v>
      </c>
      <c r="XM2" s="109">
        <v>42562</v>
      </c>
      <c r="XN2" s="109">
        <v>42563</v>
      </c>
      <c r="XO2" s="109">
        <v>42564</v>
      </c>
      <c r="XP2" s="109">
        <v>42565</v>
      </c>
      <c r="XQ2" s="109">
        <v>42566</v>
      </c>
      <c r="XR2" s="109">
        <v>42567</v>
      </c>
      <c r="XS2" s="109">
        <v>42568</v>
      </c>
      <c r="XT2" s="109">
        <v>42569</v>
      </c>
      <c r="XU2" s="109">
        <v>42570</v>
      </c>
      <c r="XV2" s="109">
        <v>42571</v>
      </c>
      <c r="XW2" s="109">
        <v>42572</v>
      </c>
      <c r="XX2" s="109">
        <v>42573</v>
      </c>
      <c r="XY2" s="109">
        <v>42574</v>
      </c>
      <c r="XZ2" s="109">
        <v>42575</v>
      </c>
      <c r="YA2" s="109">
        <v>42576</v>
      </c>
      <c r="YB2" s="109">
        <v>42577</v>
      </c>
      <c r="YC2" s="109">
        <v>42578</v>
      </c>
      <c r="YD2" s="109">
        <v>42579</v>
      </c>
      <c r="YE2" s="109">
        <v>42580</v>
      </c>
      <c r="YF2" s="109">
        <v>42581</v>
      </c>
      <c r="YG2" s="109">
        <v>42582</v>
      </c>
      <c r="YH2" s="109">
        <v>42583</v>
      </c>
      <c r="YI2" s="109">
        <v>42584</v>
      </c>
      <c r="YJ2" s="109">
        <v>42585</v>
      </c>
      <c r="YK2" s="109">
        <v>42586</v>
      </c>
      <c r="YL2" s="109">
        <v>42587</v>
      </c>
      <c r="YM2" s="109">
        <v>42588</v>
      </c>
      <c r="YN2" s="109">
        <v>42589</v>
      </c>
      <c r="YO2" s="109">
        <v>42590</v>
      </c>
      <c r="YP2" s="109">
        <v>42591</v>
      </c>
      <c r="YQ2" s="109">
        <v>42592</v>
      </c>
      <c r="YR2" s="109">
        <v>42593</v>
      </c>
      <c r="YS2" s="109">
        <v>42594</v>
      </c>
      <c r="YT2" s="109">
        <v>42595</v>
      </c>
      <c r="YU2" s="109">
        <v>42596</v>
      </c>
      <c r="YV2" s="109">
        <v>42597</v>
      </c>
      <c r="YW2" s="109">
        <v>42598</v>
      </c>
      <c r="YX2" s="109">
        <v>42599</v>
      </c>
      <c r="YY2" s="109">
        <v>42600</v>
      </c>
      <c r="YZ2" s="109">
        <v>42601</v>
      </c>
      <c r="ZA2" s="109">
        <v>42602</v>
      </c>
      <c r="ZB2" s="109">
        <v>42603</v>
      </c>
      <c r="ZC2" s="109">
        <v>42604</v>
      </c>
      <c r="ZD2" s="109">
        <v>42605</v>
      </c>
      <c r="ZE2" s="109">
        <v>42606</v>
      </c>
      <c r="ZF2" s="109">
        <v>42607</v>
      </c>
      <c r="ZG2" s="109">
        <v>42608</v>
      </c>
      <c r="ZH2" s="109">
        <v>42609</v>
      </c>
      <c r="ZI2" s="109">
        <v>42610</v>
      </c>
      <c r="ZJ2" s="109">
        <v>42611</v>
      </c>
      <c r="ZK2" s="109">
        <v>42612</v>
      </c>
      <c r="ZL2" s="109">
        <v>42613</v>
      </c>
      <c r="ZM2" s="109">
        <v>42614</v>
      </c>
      <c r="ZN2" s="109">
        <v>42615</v>
      </c>
      <c r="ZO2" s="109">
        <v>42616</v>
      </c>
      <c r="ZP2" s="109">
        <v>42617</v>
      </c>
      <c r="ZQ2" s="109">
        <v>42618</v>
      </c>
      <c r="ZR2" s="109">
        <v>42619</v>
      </c>
      <c r="ZS2" s="109">
        <v>42620</v>
      </c>
      <c r="ZT2" s="109">
        <v>42621</v>
      </c>
      <c r="ZU2" s="109">
        <v>42622</v>
      </c>
      <c r="ZV2" s="109">
        <v>42623</v>
      </c>
      <c r="ZW2" s="109">
        <v>42624</v>
      </c>
      <c r="ZX2" s="109">
        <v>42625</v>
      </c>
      <c r="ZY2" s="109">
        <v>42626</v>
      </c>
      <c r="ZZ2" s="109">
        <v>42627</v>
      </c>
      <c r="AAA2" s="109">
        <v>42628</v>
      </c>
      <c r="AAB2" s="109">
        <v>42629</v>
      </c>
      <c r="AAC2" s="109">
        <v>42630</v>
      </c>
      <c r="AAD2" s="109">
        <v>42631</v>
      </c>
      <c r="AAE2" s="109">
        <v>42632</v>
      </c>
      <c r="AAF2" s="109">
        <v>42633</v>
      </c>
      <c r="AAG2" s="109">
        <v>42634</v>
      </c>
      <c r="AAH2" s="109">
        <v>42635</v>
      </c>
      <c r="AAI2" s="109">
        <v>42636</v>
      </c>
      <c r="AAJ2" s="109">
        <v>42637</v>
      </c>
      <c r="AAK2" s="109">
        <v>42638</v>
      </c>
      <c r="AAL2" s="109">
        <v>42639</v>
      </c>
      <c r="AAM2" s="109">
        <v>42640</v>
      </c>
      <c r="AAN2" s="109">
        <v>42641</v>
      </c>
      <c r="AAO2" s="109">
        <v>42642</v>
      </c>
      <c r="AAP2" s="109">
        <v>42643</v>
      </c>
      <c r="AAQ2" s="109">
        <v>42644</v>
      </c>
      <c r="AAR2" s="109">
        <v>42645</v>
      </c>
      <c r="AAS2" s="109">
        <v>42646</v>
      </c>
      <c r="AAT2" s="109">
        <v>42647</v>
      </c>
      <c r="AAU2" s="109">
        <v>42648</v>
      </c>
      <c r="AAV2" s="109">
        <v>42649</v>
      </c>
      <c r="AAW2" s="109">
        <v>42650</v>
      </c>
      <c r="AAX2" s="109">
        <v>42651</v>
      </c>
      <c r="AAY2" s="109">
        <v>42652</v>
      </c>
      <c r="AAZ2" s="109">
        <v>42653</v>
      </c>
      <c r="ABA2" s="109">
        <v>42654</v>
      </c>
      <c r="ABB2" s="109">
        <v>42655</v>
      </c>
      <c r="ABC2" s="109">
        <v>42656</v>
      </c>
    </row>
    <row r="3" spans="1:731" s="90" customFormat="1">
      <c r="A3" s="89" t="s">
        <v>40</v>
      </c>
      <c r="B3" s="89">
        <f t="shared" ref="B3:BM3" si="0">SUM(B4:B38)</f>
        <v>0</v>
      </c>
      <c r="C3" s="89">
        <f t="shared" si="0"/>
        <v>0</v>
      </c>
      <c r="D3" s="89">
        <f t="shared" si="0"/>
        <v>0</v>
      </c>
      <c r="E3" s="89">
        <f t="shared" si="0"/>
        <v>0</v>
      </c>
      <c r="F3" s="89">
        <f t="shared" si="0"/>
        <v>0</v>
      </c>
      <c r="G3" s="89">
        <f t="shared" si="0"/>
        <v>0</v>
      </c>
      <c r="H3" s="89">
        <f t="shared" si="0"/>
        <v>0</v>
      </c>
      <c r="I3" s="89">
        <f t="shared" si="0"/>
        <v>0</v>
      </c>
      <c r="J3" s="89">
        <f t="shared" si="0"/>
        <v>0</v>
      </c>
      <c r="K3" s="89">
        <f t="shared" si="0"/>
        <v>24</v>
      </c>
      <c r="L3" s="89">
        <f t="shared" si="0"/>
        <v>24</v>
      </c>
      <c r="M3" s="89">
        <f t="shared" si="0"/>
        <v>24</v>
      </c>
      <c r="N3" s="89">
        <f t="shared" si="0"/>
        <v>24</v>
      </c>
      <c r="O3" s="89">
        <f t="shared" si="0"/>
        <v>24</v>
      </c>
      <c r="P3" s="89">
        <f t="shared" si="0"/>
        <v>24</v>
      </c>
      <c r="Q3" s="89">
        <f t="shared" si="0"/>
        <v>24</v>
      </c>
      <c r="R3" s="89">
        <f t="shared" si="0"/>
        <v>24</v>
      </c>
      <c r="S3" s="89">
        <f t="shared" si="0"/>
        <v>24</v>
      </c>
      <c r="T3" s="89">
        <f t="shared" si="0"/>
        <v>24</v>
      </c>
      <c r="U3" s="89">
        <f t="shared" si="0"/>
        <v>24</v>
      </c>
      <c r="V3" s="89">
        <f t="shared" si="0"/>
        <v>24</v>
      </c>
      <c r="W3" s="89">
        <f t="shared" si="0"/>
        <v>24</v>
      </c>
      <c r="X3" s="89">
        <f t="shared" si="0"/>
        <v>24</v>
      </c>
      <c r="Y3" s="89">
        <f t="shared" si="0"/>
        <v>24</v>
      </c>
      <c r="Z3" s="89">
        <f t="shared" si="0"/>
        <v>24</v>
      </c>
      <c r="AA3" s="89">
        <f t="shared" si="0"/>
        <v>24</v>
      </c>
      <c r="AB3" s="89">
        <f t="shared" si="0"/>
        <v>24</v>
      </c>
      <c r="AC3" s="89">
        <f t="shared" si="0"/>
        <v>24</v>
      </c>
      <c r="AD3" s="89">
        <f t="shared" si="0"/>
        <v>24</v>
      </c>
      <c r="AE3" s="89">
        <f t="shared" si="0"/>
        <v>24</v>
      </c>
      <c r="AF3" s="89">
        <f t="shared" si="0"/>
        <v>24</v>
      </c>
      <c r="AG3" s="89">
        <f t="shared" si="0"/>
        <v>24</v>
      </c>
      <c r="AH3" s="89">
        <f t="shared" si="0"/>
        <v>24</v>
      </c>
      <c r="AI3" s="89">
        <f t="shared" si="0"/>
        <v>24</v>
      </c>
      <c r="AJ3" s="89">
        <f t="shared" si="0"/>
        <v>24</v>
      </c>
      <c r="AK3" s="89">
        <f t="shared" si="0"/>
        <v>0</v>
      </c>
      <c r="AL3" s="89">
        <f t="shared" si="0"/>
        <v>0</v>
      </c>
      <c r="AM3" s="89">
        <f t="shared" si="0"/>
        <v>0</v>
      </c>
      <c r="AN3" s="89">
        <f t="shared" si="0"/>
        <v>0</v>
      </c>
      <c r="AO3" s="89">
        <f t="shared" si="0"/>
        <v>0</v>
      </c>
      <c r="AP3" s="89">
        <f t="shared" si="0"/>
        <v>11</v>
      </c>
      <c r="AQ3" s="89">
        <f t="shared" si="0"/>
        <v>11</v>
      </c>
      <c r="AR3" s="89">
        <f t="shared" si="0"/>
        <v>11</v>
      </c>
      <c r="AS3" s="89">
        <f t="shared" si="0"/>
        <v>11</v>
      </c>
      <c r="AT3" s="89">
        <f t="shared" si="0"/>
        <v>0</v>
      </c>
      <c r="AU3" s="89">
        <f t="shared" si="0"/>
        <v>11</v>
      </c>
      <c r="AV3" s="89">
        <f t="shared" si="0"/>
        <v>11</v>
      </c>
      <c r="AW3" s="89">
        <f t="shared" si="0"/>
        <v>11</v>
      </c>
      <c r="AX3" s="89">
        <f t="shared" si="0"/>
        <v>11</v>
      </c>
      <c r="AY3" s="89">
        <f t="shared" si="0"/>
        <v>11</v>
      </c>
      <c r="AZ3" s="89">
        <f t="shared" si="0"/>
        <v>11</v>
      </c>
      <c r="BA3" s="89">
        <f t="shared" si="0"/>
        <v>0</v>
      </c>
      <c r="BB3" s="89">
        <f t="shared" si="0"/>
        <v>11</v>
      </c>
      <c r="BC3" s="89">
        <f t="shared" si="0"/>
        <v>11</v>
      </c>
      <c r="BD3" s="89">
        <f t="shared" si="0"/>
        <v>11</v>
      </c>
      <c r="BE3" s="89">
        <f t="shared" si="0"/>
        <v>11</v>
      </c>
      <c r="BF3" s="89">
        <f t="shared" si="0"/>
        <v>11</v>
      </c>
      <c r="BG3" s="89">
        <f t="shared" si="0"/>
        <v>17</v>
      </c>
      <c r="BH3" s="89">
        <f t="shared" si="0"/>
        <v>0</v>
      </c>
      <c r="BI3" s="89">
        <f t="shared" si="0"/>
        <v>17</v>
      </c>
      <c r="BJ3" s="89">
        <f t="shared" si="0"/>
        <v>17</v>
      </c>
      <c r="BK3" s="89">
        <f t="shared" si="0"/>
        <v>17</v>
      </c>
      <c r="BL3" s="89">
        <f t="shared" si="0"/>
        <v>17</v>
      </c>
      <c r="BM3" s="89">
        <f t="shared" si="0"/>
        <v>17</v>
      </c>
      <c r="BN3" s="89">
        <f t="shared" ref="BN3:DY3" si="1">SUM(BN4:BN38)</f>
        <v>0</v>
      </c>
      <c r="BO3" s="89">
        <f t="shared" si="1"/>
        <v>0</v>
      </c>
      <c r="BP3" s="89">
        <f t="shared" si="1"/>
        <v>17</v>
      </c>
      <c r="BQ3" s="89">
        <f t="shared" si="1"/>
        <v>17</v>
      </c>
      <c r="BR3" s="89">
        <f t="shared" si="1"/>
        <v>17</v>
      </c>
      <c r="BS3" s="89">
        <f t="shared" si="1"/>
        <v>17</v>
      </c>
      <c r="BT3" s="89">
        <f t="shared" si="1"/>
        <v>17</v>
      </c>
      <c r="BU3" s="89">
        <f t="shared" si="1"/>
        <v>17</v>
      </c>
      <c r="BV3" s="89">
        <f t="shared" si="1"/>
        <v>0</v>
      </c>
      <c r="BW3" s="89">
        <f t="shared" si="1"/>
        <v>34</v>
      </c>
      <c r="BX3" s="89">
        <f t="shared" si="1"/>
        <v>34</v>
      </c>
      <c r="BY3" s="89">
        <f t="shared" si="1"/>
        <v>34</v>
      </c>
      <c r="BZ3" s="89">
        <f t="shared" si="1"/>
        <v>36</v>
      </c>
      <c r="CA3" s="89">
        <f t="shared" si="1"/>
        <v>36</v>
      </c>
      <c r="CB3" s="89">
        <f t="shared" si="1"/>
        <v>61</v>
      </c>
      <c r="CC3" s="89">
        <f t="shared" si="1"/>
        <v>0</v>
      </c>
      <c r="CD3" s="89">
        <f t="shared" si="1"/>
        <v>85</v>
      </c>
      <c r="CE3" s="89">
        <f t="shared" si="1"/>
        <v>80</v>
      </c>
      <c r="CF3" s="89">
        <f t="shared" si="1"/>
        <v>80</v>
      </c>
      <c r="CG3" s="89">
        <f t="shared" si="1"/>
        <v>88</v>
      </c>
      <c r="CH3" s="89">
        <f t="shared" si="1"/>
        <v>60</v>
      </c>
      <c r="CI3" s="89">
        <f t="shared" si="1"/>
        <v>60</v>
      </c>
      <c r="CJ3" s="89">
        <f t="shared" si="1"/>
        <v>0</v>
      </c>
      <c r="CK3" s="89">
        <f t="shared" si="1"/>
        <v>79</v>
      </c>
      <c r="CL3" s="89">
        <f t="shared" si="1"/>
        <v>123</v>
      </c>
      <c r="CM3" s="89">
        <f t="shared" si="1"/>
        <v>120</v>
      </c>
      <c r="CN3" s="89">
        <f t="shared" si="1"/>
        <v>115</v>
      </c>
      <c r="CO3" s="89">
        <f t="shared" si="1"/>
        <v>102</v>
      </c>
      <c r="CP3" s="89">
        <f t="shared" si="1"/>
        <v>102</v>
      </c>
      <c r="CQ3" s="89">
        <f t="shared" si="1"/>
        <v>0</v>
      </c>
      <c r="CR3" s="89">
        <f t="shared" si="1"/>
        <v>98</v>
      </c>
      <c r="CS3" s="89">
        <f t="shared" si="1"/>
        <v>106</v>
      </c>
      <c r="CT3" s="89">
        <f t="shared" si="1"/>
        <v>106</v>
      </c>
      <c r="CU3" s="89">
        <f t="shared" si="1"/>
        <v>110</v>
      </c>
      <c r="CV3" s="89">
        <f t="shared" si="1"/>
        <v>116</v>
      </c>
      <c r="CW3" s="89">
        <f t="shared" si="1"/>
        <v>96</v>
      </c>
      <c r="CX3" s="89">
        <f t="shared" si="1"/>
        <v>0</v>
      </c>
      <c r="CY3" s="89">
        <f t="shared" si="1"/>
        <v>90</v>
      </c>
      <c r="CZ3" s="89">
        <f t="shared" si="1"/>
        <v>70</v>
      </c>
      <c r="DA3" s="89">
        <f t="shared" si="1"/>
        <v>70</v>
      </c>
      <c r="DB3" s="89">
        <f t="shared" si="1"/>
        <v>76</v>
      </c>
      <c r="DC3" s="89">
        <f t="shared" si="1"/>
        <v>96</v>
      </c>
      <c r="DD3" s="89">
        <f t="shared" si="1"/>
        <v>90</v>
      </c>
      <c r="DE3" s="89">
        <f t="shared" si="1"/>
        <v>0</v>
      </c>
      <c r="DF3" s="89">
        <f t="shared" si="1"/>
        <v>82</v>
      </c>
      <c r="DG3" s="89">
        <f t="shared" si="1"/>
        <v>92</v>
      </c>
      <c r="DH3" s="89">
        <f t="shared" si="1"/>
        <v>89</v>
      </c>
      <c r="DI3" s="89">
        <f t="shared" si="1"/>
        <v>85</v>
      </c>
      <c r="DJ3" s="89">
        <f t="shared" si="1"/>
        <v>80</v>
      </c>
      <c r="DK3" s="89">
        <f t="shared" si="1"/>
        <v>98</v>
      </c>
      <c r="DL3" s="89">
        <f t="shared" si="1"/>
        <v>0</v>
      </c>
      <c r="DM3" s="89">
        <f t="shared" si="1"/>
        <v>76</v>
      </c>
      <c r="DN3" s="89">
        <f t="shared" si="1"/>
        <v>78</v>
      </c>
      <c r="DO3" s="89">
        <f t="shared" si="1"/>
        <v>123</v>
      </c>
      <c r="DP3" s="89">
        <f t="shared" si="1"/>
        <v>102</v>
      </c>
      <c r="DQ3" s="89">
        <f t="shared" si="1"/>
        <v>110</v>
      </c>
      <c r="DR3" s="89">
        <f t="shared" si="1"/>
        <v>92</v>
      </c>
      <c r="DS3" s="89">
        <f t="shared" si="1"/>
        <v>0</v>
      </c>
      <c r="DT3" s="89">
        <f t="shared" si="1"/>
        <v>70</v>
      </c>
      <c r="DU3" s="89">
        <f t="shared" si="1"/>
        <v>70</v>
      </c>
      <c r="DV3" s="89">
        <f t="shared" si="1"/>
        <v>95</v>
      </c>
      <c r="DW3" s="89">
        <f t="shared" si="1"/>
        <v>98</v>
      </c>
      <c r="DX3" s="89">
        <f t="shared" si="1"/>
        <v>98</v>
      </c>
      <c r="DY3" s="89">
        <f t="shared" si="1"/>
        <v>139</v>
      </c>
      <c r="DZ3" s="89">
        <f t="shared" ref="DZ3:GK3" si="2">SUM(DZ4:DZ38)</f>
        <v>0</v>
      </c>
      <c r="EA3" s="89">
        <f t="shared" si="2"/>
        <v>96</v>
      </c>
      <c r="EB3" s="89">
        <f t="shared" si="2"/>
        <v>114</v>
      </c>
      <c r="EC3" s="89">
        <f t="shared" si="2"/>
        <v>131</v>
      </c>
      <c r="ED3" s="89">
        <f t="shared" si="2"/>
        <v>141</v>
      </c>
      <c r="EE3" s="89">
        <f t="shared" si="2"/>
        <v>100</v>
      </c>
      <c r="EF3" s="89">
        <f t="shared" si="2"/>
        <v>133</v>
      </c>
      <c r="EG3" s="89">
        <f t="shared" si="2"/>
        <v>0</v>
      </c>
      <c r="EH3" s="89">
        <f t="shared" si="2"/>
        <v>161</v>
      </c>
      <c r="EI3" s="89">
        <f t="shared" si="2"/>
        <v>133</v>
      </c>
      <c r="EJ3" s="89">
        <f t="shared" si="2"/>
        <v>145</v>
      </c>
      <c r="EK3" s="89">
        <f t="shared" si="2"/>
        <v>171</v>
      </c>
      <c r="EL3" s="89">
        <f t="shared" si="2"/>
        <v>122</v>
      </c>
      <c r="EM3" s="89">
        <f t="shared" si="2"/>
        <v>114</v>
      </c>
      <c r="EN3" s="89">
        <f t="shared" si="2"/>
        <v>0</v>
      </c>
      <c r="EO3" s="89">
        <f t="shared" si="2"/>
        <v>122</v>
      </c>
      <c r="EP3" s="89">
        <f t="shared" si="2"/>
        <v>102</v>
      </c>
      <c r="EQ3" s="89">
        <f t="shared" si="2"/>
        <v>92</v>
      </c>
      <c r="ER3" s="89">
        <f t="shared" si="2"/>
        <v>58</v>
      </c>
      <c r="ES3" s="89">
        <f t="shared" si="2"/>
        <v>57</v>
      </c>
      <c r="ET3" s="89">
        <f t="shared" si="2"/>
        <v>53</v>
      </c>
      <c r="EU3" s="89">
        <f t="shared" si="2"/>
        <v>0</v>
      </c>
      <c r="EV3" s="89">
        <f t="shared" si="2"/>
        <v>24</v>
      </c>
      <c r="EW3" s="89">
        <f t="shared" si="2"/>
        <v>38</v>
      </c>
      <c r="EX3" s="89">
        <f t="shared" si="2"/>
        <v>32</v>
      </c>
      <c r="EY3" s="89">
        <f t="shared" si="2"/>
        <v>32</v>
      </c>
      <c r="EZ3" s="89">
        <f t="shared" si="2"/>
        <v>22</v>
      </c>
      <c r="FA3" s="89">
        <f t="shared" si="2"/>
        <v>22</v>
      </c>
      <c r="FB3" s="89">
        <f t="shared" si="2"/>
        <v>0</v>
      </c>
      <c r="FC3" s="89">
        <f t="shared" si="2"/>
        <v>30</v>
      </c>
      <c r="FD3" s="89">
        <f t="shared" si="2"/>
        <v>32</v>
      </c>
      <c r="FE3" s="89">
        <f t="shared" si="2"/>
        <v>34</v>
      </c>
      <c r="FF3" s="89">
        <f t="shared" si="2"/>
        <v>36</v>
      </c>
      <c r="FG3" s="89">
        <f t="shared" si="2"/>
        <v>38</v>
      </c>
      <c r="FH3" s="89">
        <f t="shared" si="2"/>
        <v>44</v>
      </c>
      <c r="FI3" s="89">
        <f t="shared" si="2"/>
        <v>0</v>
      </c>
      <c r="FJ3" s="89">
        <f t="shared" si="2"/>
        <v>20</v>
      </c>
      <c r="FK3" s="89">
        <f t="shared" si="2"/>
        <v>20</v>
      </c>
      <c r="FL3" s="89">
        <f t="shared" si="2"/>
        <v>28</v>
      </c>
      <c r="FM3" s="89">
        <f t="shared" si="2"/>
        <v>28</v>
      </c>
      <c r="FN3" s="89">
        <f t="shared" si="2"/>
        <v>28</v>
      </c>
      <c r="FO3" s="89">
        <f t="shared" si="2"/>
        <v>28</v>
      </c>
      <c r="FP3" s="89">
        <f t="shared" si="2"/>
        <v>0</v>
      </c>
      <c r="FQ3" s="89">
        <f t="shared" si="2"/>
        <v>28</v>
      </c>
      <c r="FR3" s="89">
        <f t="shared" si="2"/>
        <v>34</v>
      </c>
      <c r="FS3" s="89">
        <f t="shared" si="2"/>
        <v>60</v>
      </c>
      <c r="FT3" s="89">
        <f t="shared" si="2"/>
        <v>52</v>
      </c>
      <c r="FU3" s="89">
        <f t="shared" si="2"/>
        <v>42</v>
      </c>
      <c r="FV3" s="89">
        <f t="shared" si="2"/>
        <v>34</v>
      </c>
      <c r="FW3" s="89">
        <f t="shared" si="2"/>
        <v>0</v>
      </c>
      <c r="FX3" s="89">
        <f t="shared" si="2"/>
        <v>53</v>
      </c>
      <c r="FY3" s="89">
        <f t="shared" si="2"/>
        <v>59</v>
      </c>
      <c r="FZ3" s="89">
        <f t="shared" si="2"/>
        <v>60</v>
      </c>
      <c r="GA3" s="89">
        <f t="shared" si="2"/>
        <v>52</v>
      </c>
      <c r="GB3" s="89">
        <f t="shared" si="2"/>
        <v>46</v>
      </c>
      <c r="GC3" s="89">
        <f t="shared" si="2"/>
        <v>40</v>
      </c>
      <c r="GD3" s="89">
        <f t="shared" si="2"/>
        <v>0</v>
      </c>
      <c r="GE3" s="89">
        <f t="shared" si="2"/>
        <v>39</v>
      </c>
      <c r="GF3" s="89">
        <f t="shared" si="2"/>
        <v>78</v>
      </c>
      <c r="GG3" s="89">
        <f t="shared" si="2"/>
        <v>49</v>
      </c>
      <c r="GH3" s="89">
        <f t="shared" si="2"/>
        <v>51</v>
      </c>
      <c r="GI3" s="89">
        <f t="shared" si="2"/>
        <v>111</v>
      </c>
      <c r="GJ3" s="89">
        <f t="shared" si="2"/>
        <v>82</v>
      </c>
      <c r="GK3" s="89">
        <f t="shared" si="2"/>
        <v>0</v>
      </c>
      <c r="GL3" s="89">
        <f t="shared" ref="GL3:IW3" si="3">SUM(GL4:GL38)</f>
        <v>107</v>
      </c>
      <c r="GM3" s="89">
        <f t="shared" si="3"/>
        <v>143</v>
      </c>
      <c r="GN3" s="89">
        <f t="shared" si="3"/>
        <v>155</v>
      </c>
      <c r="GO3" s="89">
        <f t="shared" si="3"/>
        <v>126</v>
      </c>
      <c r="GP3" s="89">
        <f t="shared" si="3"/>
        <v>111</v>
      </c>
      <c r="GQ3" s="89">
        <f t="shared" si="3"/>
        <v>47</v>
      </c>
      <c r="GR3" s="89">
        <f t="shared" si="3"/>
        <v>0</v>
      </c>
      <c r="GS3" s="89">
        <f t="shared" si="3"/>
        <v>103</v>
      </c>
      <c r="GT3" s="89">
        <f t="shared" si="3"/>
        <v>114</v>
      </c>
      <c r="GU3" s="89">
        <f t="shared" si="3"/>
        <v>127</v>
      </c>
      <c r="GV3" s="89">
        <f t="shared" si="3"/>
        <v>149</v>
      </c>
      <c r="GW3" s="89">
        <f t="shared" si="3"/>
        <v>132</v>
      </c>
      <c r="GX3" s="89">
        <f t="shared" si="3"/>
        <v>118</v>
      </c>
      <c r="GY3" s="89">
        <f t="shared" si="3"/>
        <v>0</v>
      </c>
      <c r="GZ3" s="89">
        <f t="shared" si="3"/>
        <v>41</v>
      </c>
      <c r="HA3" s="89">
        <f t="shared" si="3"/>
        <v>34</v>
      </c>
      <c r="HB3" s="89">
        <f t="shared" si="3"/>
        <v>49</v>
      </c>
      <c r="HC3" s="89">
        <f t="shared" si="3"/>
        <v>51</v>
      </c>
      <c r="HD3" s="89">
        <f t="shared" si="3"/>
        <v>40</v>
      </c>
      <c r="HE3" s="89">
        <f t="shared" si="3"/>
        <v>62</v>
      </c>
      <c r="HF3" s="89">
        <f t="shared" si="3"/>
        <v>0</v>
      </c>
      <c r="HG3" s="89">
        <f t="shared" si="3"/>
        <v>31</v>
      </c>
      <c r="HH3" s="89">
        <f t="shared" si="3"/>
        <v>51</v>
      </c>
      <c r="HI3" s="89">
        <f t="shared" si="3"/>
        <v>154</v>
      </c>
      <c r="HJ3" s="89">
        <f t="shared" si="3"/>
        <v>167</v>
      </c>
      <c r="HK3" s="89">
        <f t="shared" si="3"/>
        <v>157</v>
      </c>
      <c r="HL3" s="89">
        <f t="shared" si="3"/>
        <v>141</v>
      </c>
      <c r="HM3" s="89">
        <f t="shared" si="3"/>
        <v>0</v>
      </c>
      <c r="HN3" s="89">
        <f t="shared" si="3"/>
        <v>141</v>
      </c>
      <c r="HO3" s="89">
        <f t="shared" si="3"/>
        <v>31</v>
      </c>
      <c r="HP3" s="89">
        <f t="shared" si="3"/>
        <v>19</v>
      </c>
      <c r="HQ3" s="89">
        <f t="shared" si="3"/>
        <v>67</v>
      </c>
      <c r="HR3" s="89">
        <f t="shared" si="3"/>
        <v>102</v>
      </c>
      <c r="HS3" s="89">
        <f t="shared" si="3"/>
        <v>47</v>
      </c>
      <c r="HT3" s="89">
        <f t="shared" si="3"/>
        <v>0</v>
      </c>
      <c r="HU3" s="89">
        <f t="shared" si="3"/>
        <v>89</v>
      </c>
      <c r="HV3" s="89">
        <f t="shared" si="3"/>
        <v>79</v>
      </c>
      <c r="HW3" s="89">
        <f t="shared" si="3"/>
        <v>92</v>
      </c>
      <c r="HX3" s="89">
        <f t="shared" si="3"/>
        <v>121</v>
      </c>
      <c r="HY3" s="89">
        <f t="shared" si="3"/>
        <v>135</v>
      </c>
      <c r="HZ3" s="89">
        <f t="shared" si="3"/>
        <v>135</v>
      </c>
      <c r="IA3" s="89">
        <f t="shared" si="3"/>
        <v>0</v>
      </c>
      <c r="IB3" s="89">
        <f t="shared" si="3"/>
        <v>121</v>
      </c>
      <c r="IC3" s="89">
        <f t="shared" si="3"/>
        <v>163</v>
      </c>
      <c r="ID3" s="89">
        <f t="shared" si="3"/>
        <v>133</v>
      </c>
      <c r="IE3" s="89">
        <f t="shared" si="3"/>
        <v>153</v>
      </c>
      <c r="IF3" s="89">
        <f t="shared" si="3"/>
        <v>157</v>
      </c>
      <c r="IG3" s="89">
        <f t="shared" si="3"/>
        <v>167</v>
      </c>
      <c r="IH3" s="89">
        <f t="shared" si="3"/>
        <v>0</v>
      </c>
      <c r="II3" s="89">
        <f t="shared" si="3"/>
        <v>159</v>
      </c>
      <c r="IJ3" s="89">
        <f t="shared" si="3"/>
        <v>127</v>
      </c>
      <c r="IK3" s="89">
        <f t="shared" si="3"/>
        <v>121</v>
      </c>
      <c r="IL3" s="89">
        <f t="shared" si="3"/>
        <v>160</v>
      </c>
      <c r="IM3" s="89">
        <f t="shared" si="3"/>
        <v>155</v>
      </c>
      <c r="IN3" s="89">
        <f t="shared" si="3"/>
        <v>150</v>
      </c>
      <c r="IO3" s="89">
        <f t="shared" si="3"/>
        <v>0</v>
      </c>
      <c r="IP3" s="89">
        <f t="shared" si="3"/>
        <v>156</v>
      </c>
      <c r="IQ3" s="89">
        <f t="shared" si="3"/>
        <v>140</v>
      </c>
      <c r="IR3" s="89">
        <f t="shared" si="3"/>
        <v>159</v>
      </c>
      <c r="IS3" s="89">
        <f t="shared" si="3"/>
        <v>144</v>
      </c>
      <c r="IT3" s="89">
        <f t="shared" si="3"/>
        <v>97</v>
      </c>
      <c r="IU3" s="89">
        <f t="shared" si="3"/>
        <v>86</v>
      </c>
      <c r="IV3" s="89">
        <f t="shared" si="3"/>
        <v>0</v>
      </c>
      <c r="IW3" s="89">
        <f t="shared" si="3"/>
        <v>89</v>
      </c>
      <c r="IX3" s="89">
        <f t="shared" ref="IX3:LI3" si="4">SUM(IX4:IX38)</f>
        <v>87</v>
      </c>
      <c r="IY3" s="89">
        <f t="shared" si="4"/>
        <v>77</v>
      </c>
      <c r="IZ3" s="89">
        <f t="shared" si="4"/>
        <v>83</v>
      </c>
      <c r="JA3" s="89">
        <f t="shared" si="4"/>
        <v>128</v>
      </c>
      <c r="JB3" s="89">
        <f t="shared" si="4"/>
        <v>160</v>
      </c>
      <c r="JC3" s="89">
        <f t="shared" si="4"/>
        <v>0</v>
      </c>
      <c r="JD3" s="89">
        <f t="shared" si="4"/>
        <v>172</v>
      </c>
      <c r="JE3" s="89">
        <f t="shared" si="4"/>
        <v>155</v>
      </c>
      <c r="JF3" s="89">
        <f t="shared" si="4"/>
        <v>120</v>
      </c>
      <c r="JG3" s="89">
        <f t="shared" si="4"/>
        <v>103</v>
      </c>
      <c r="JH3" s="89">
        <f t="shared" si="4"/>
        <v>74</v>
      </c>
      <c r="JI3" s="89">
        <f t="shared" si="4"/>
        <v>77</v>
      </c>
      <c r="JJ3" s="89">
        <f t="shared" si="4"/>
        <v>16</v>
      </c>
      <c r="JK3" s="89">
        <f t="shared" si="4"/>
        <v>66</v>
      </c>
      <c r="JL3" s="89">
        <f t="shared" si="4"/>
        <v>60</v>
      </c>
      <c r="JM3" s="89">
        <f t="shared" si="4"/>
        <v>73</v>
      </c>
      <c r="JN3" s="89">
        <f t="shared" si="4"/>
        <v>80</v>
      </c>
      <c r="JO3" s="89">
        <f t="shared" si="4"/>
        <v>141</v>
      </c>
      <c r="JP3" s="89">
        <f t="shared" si="4"/>
        <v>172</v>
      </c>
      <c r="JQ3" s="89">
        <f t="shared" si="4"/>
        <v>0</v>
      </c>
      <c r="JR3" s="89">
        <f t="shared" si="4"/>
        <v>0</v>
      </c>
      <c r="JS3" s="89">
        <f t="shared" si="4"/>
        <v>0</v>
      </c>
      <c r="JT3" s="89">
        <f t="shared" si="4"/>
        <v>0</v>
      </c>
      <c r="JU3" s="89">
        <f t="shared" si="4"/>
        <v>0</v>
      </c>
      <c r="JV3" s="89">
        <f t="shared" si="4"/>
        <v>178</v>
      </c>
      <c r="JW3" s="89">
        <f t="shared" si="4"/>
        <v>172</v>
      </c>
      <c r="JX3" s="89">
        <f t="shared" si="4"/>
        <v>0</v>
      </c>
      <c r="JY3" s="89">
        <f t="shared" si="4"/>
        <v>152</v>
      </c>
      <c r="JZ3" s="89">
        <f t="shared" si="4"/>
        <v>170</v>
      </c>
      <c r="KA3" s="89">
        <f t="shared" si="4"/>
        <v>150</v>
      </c>
      <c r="KB3" s="89">
        <f t="shared" si="4"/>
        <v>106</v>
      </c>
      <c r="KC3" s="89">
        <f t="shared" si="4"/>
        <v>108</v>
      </c>
      <c r="KD3" s="89">
        <f t="shared" si="4"/>
        <v>134</v>
      </c>
      <c r="KE3" s="89">
        <f t="shared" si="4"/>
        <v>0</v>
      </c>
      <c r="KF3" s="89">
        <f t="shared" si="4"/>
        <v>182</v>
      </c>
      <c r="KG3" s="89">
        <f t="shared" si="4"/>
        <v>190</v>
      </c>
      <c r="KH3" s="89">
        <f t="shared" si="4"/>
        <v>187</v>
      </c>
      <c r="KI3" s="89">
        <f t="shared" si="4"/>
        <v>173</v>
      </c>
      <c r="KJ3" s="89">
        <f t="shared" si="4"/>
        <v>161</v>
      </c>
      <c r="KK3" s="89">
        <f t="shared" si="4"/>
        <v>158</v>
      </c>
      <c r="KL3" s="89">
        <f t="shared" si="4"/>
        <v>0</v>
      </c>
      <c r="KM3" s="89">
        <f t="shared" si="4"/>
        <v>154</v>
      </c>
      <c r="KN3" s="89">
        <f t="shared" si="4"/>
        <v>148</v>
      </c>
      <c r="KO3" s="89">
        <f t="shared" si="4"/>
        <v>146</v>
      </c>
      <c r="KP3" s="89">
        <f t="shared" si="4"/>
        <v>188</v>
      </c>
      <c r="KQ3" s="89">
        <f t="shared" si="4"/>
        <v>217</v>
      </c>
      <c r="KR3" s="89">
        <f t="shared" si="4"/>
        <v>211</v>
      </c>
      <c r="KS3" s="89">
        <f t="shared" si="4"/>
        <v>0</v>
      </c>
      <c r="KT3" s="89">
        <f t="shared" si="4"/>
        <v>179</v>
      </c>
      <c r="KU3" s="89">
        <f t="shared" si="4"/>
        <v>174</v>
      </c>
      <c r="KV3" s="89">
        <f t="shared" si="4"/>
        <v>142</v>
      </c>
      <c r="KW3" s="89">
        <f t="shared" si="4"/>
        <v>124</v>
      </c>
      <c r="KX3" s="89">
        <f t="shared" si="4"/>
        <v>100</v>
      </c>
      <c r="KY3" s="89">
        <f t="shared" si="4"/>
        <v>96</v>
      </c>
      <c r="KZ3" s="89">
        <f t="shared" si="4"/>
        <v>0</v>
      </c>
      <c r="LA3" s="89">
        <f t="shared" si="4"/>
        <v>157</v>
      </c>
      <c r="LB3" s="89">
        <f t="shared" si="4"/>
        <v>204</v>
      </c>
      <c r="LC3" s="89">
        <f t="shared" si="4"/>
        <v>224</v>
      </c>
      <c r="LD3" s="89">
        <f t="shared" si="4"/>
        <v>217</v>
      </c>
      <c r="LE3" s="89">
        <f t="shared" si="4"/>
        <v>247</v>
      </c>
      <c r="LF3" s="89">
        <f t="shared" si="4"/>
        <v>256</v>
      </c>
      <c r="LG3" s="89">
        <f t="shared" si="4"/>
        <v>22</v>
      </c>
      <c r="LH3" s="89">
        <f t="shared" si="4"/>
        <v>217</v>
      </c>
      <c r="LI3" s="89">
        <f t="shared" si="4"/>
        <v>196</v>
      </c>
      <c r="LJ3" s="89">
        <f t="shared" ref="LJ3:MX3" si="5">SUM(LJ4:LJ38)</f>
        <v>294</v>
      </c>
      <c r="LK3" s="89">
        <f t="shared" si="5"/>
        <v>263</v>
      </c>
      <c r="LL3" s="89">
        <f t="shared" si="5"/>
        <v>233</v>
      </c>
      <c r="LM3" s="89">
        <f t="shared" si="5"/>
        <v>255</v>
      </c>
      <c r="LN3" s="89">
        <f t="shared" si="5"/>
        <v>0</v>
      </c>
      <c r="LO3" s="89">
        <f t="shared" si="5"/>
        <v>248</v>
      </c>
      <c r="LP3" s="89">
        <f t="shared" si="5"/>
        <v>308</v>
      </c>
      <c r="LQ3" s="89">
        <f t="shared" si="5"/>
        <v>368</v>
      </c>
      <c r="LR3" s="89">
        <f t="shared" si="5"/>
        <v>428</v>
      </c>
      <c r="LS3" s="89">
        <f t="shared" si="5"/>
        <v>503</v>
      </c>
      <c r="LT3" s="89">
        <f t="shared" si="5"/>
        <v>488</v>
      </c>
      <c r="LU3" s="89">
        <f t="shared" si="5"/>
        <v>4</v>
      </c>
      <c r="LV3" s="89">
        <f t="shared" si="5"/>
        <v>426</v>
      </c>
      <c r="LW3" s="89">
        <f t="shared" si="5"/>
        <v>343</v>
      </c>
      <c r="LX3" s="89">
        <f t="shared" si="5"/>
        <v>244</v>
      </c>
      <c r="LY3" s="89">
        <f t="shared" si="5"/>
        <v>174</v>
      </c>
      <c r="LZ3" s="89">
        <f t="shared" si="5"/>
        <v>172</v>
      </c>
      <c r="MA3" s="89">
        <f t="shared" si="5"/>
        <v>162</v>
      </c>
      <c r="MB3" s="89">
        <f t="shared" si="5"/>
        <v>0</v>
      </c>
      <c r="MC3" s="89">
        <f t="shared" si="5"/>
        <v>164</v>
      </c>
      <c r="MD3" s="89">
        <f t="shared" si="5"/>
        <v>194</v>
      </c>
      <c r="ME3" s="89">
        <f t="shared" si="5"/>
        <v>235</v>
      </c>
      <c r="MF3" s="89">
        <f t="shared" si="5"/>
        <v>257</v>
      </c>
      <c r="MG3" s="89">
        <f t="shared" si="5"/>
        <v>0</v>
      </c>
      <c r="MH3" s="89">
        <f t="shared" si="5"/>
        <v>0</v>
      </c>
      <c r="MI3" s="89">
        <f t="shared" si="5"/>
        <v>0</v>
      </c>
      <c r="MJ3" s="89">
        <f t="shared" si="5"/>
        <v>0</v>
      </c>
      <c r="MK3" s="89">
        <f t="shared" si="5"/>
        <v>0</v>
      </c>
      <c r="ML3" s="89">
        <f t="shared" si="5"/>
        <v>0</v>
      </c>
      <c r="MM3" s="89">
        <f t="shared" si="5"/>
        <v>285</v>
      </c>
      <c r="MN3" s="89">
        <f t="shared" si="5"/>
        <v>290</v>
      </c>
      <c r="MO3" s="89">
        <f t="shared" si="5"/>
        <v>283</v>
      </c>
      <c r="MP3" s="89">
        <f t="shared" si="5"/>
        <v>16</v>
      </c>
      <c r="MQ3" s="89">
        <f t="shared" si="5"/>
        <v>269</v>
      </c>
      <c r="MR3" s="89">
        <f t="shared" si="5"/>
        <v>258</v>
      </c>
      <c r="MS3" s="89">
        <f t="shared" si="5"/>
        <v>280</v>
      </c>
      <c r="MT3" s="89">
        <f t="shared" si="5"/>
        <v>298</v>
      </c>
      <c r="MU3" s="89">
        <f t="shared" si="5"/>
        <v>311</v>
      </c>
      <c r="MV3" s="89">
        <f t="shared" si="5"/>
        <v>371</v>
      </c>
      <c r="MW3" s="89">
        <f t="shared" si="5"/>
        <v>20</v>
      </c>
      <c r="MX3" s="89">
        <f t="shared" si="5"/>
        <v>433</v>
      </c>
      <c r="MY3" s="89">
        <v>437</v>
      </c>
      <c r="MZ3" s="89">
        <v>436</v>
      </c>
      <c r="NA3" s="89">
        <v>419</v>
      </c>
      <c r="NB3" s="89">
        <v>389</v>
      </c>
      <c r="NC3" s="89">
        <v>446</v>
      </c>
      <c r="ND3" s="89">
        <v>86</v>
      </c>
      <c r="NE3" s="89">
        <v>564</v>
      </c>
      <c r="NF3" s="89">
        <v>584</v>
      </c>
      <c r="NG3" s="89">
        <v>540</v>
      </c>
      <c r="NH3" s="89">
        <v>651</v>
      </c>
      <c r="NI3" s="89">
        <v>685</v>
      </c>
      <c r="NJ3" s="89">
        <v>660</v>
      </c>
      <c r="NK3" s="89">
        <v>95</v>
      </c>
      <c r="NL3" s="89">
        <v>660</v>
      </c>
      <c r="NM3" s="89">
        <v>624</v>
      </c>
      <c r="NN3" s="89">
        <v>588</v>
      </c>
      <c r="NO3" s="89">
        <v>606</v>
      </c>
      <c r="NP3" s="89">
        <v>650</v>
      </c>
      <c r="NQ3" s="89">
        <v>721</v>
      </c>
      <c r="NR3" s="89">
        <v>145</v>
      </c>
      <c r="NS3" s="89">
        <v>715</v>
      </c>
      <c r="NT3" s="89">
        <v>669</v>
      </c>
      <c r="NU3" s="89">
        <v>707</v>
      </c>
      <c r="NV3" s="89">
        <v>644</v>
      </c>
      <c r="NW3" s="89">
        <v>658</v>
      </c>
      <c r="NX3" s="89">
        <v>576</v>
      </c>
      <c r="NY3" s="89">
        <v>168</v>
      </c>
      <c r="NZ3" s="89">
        <v>575</v>
      </c>
      <c r="OA3" s="89">
        <v>581</v>
      </c>
      <c r="OB3" s="89">
        <v>713</v>
      </c>
      <c r="OC3" s="89">
        <v>809</v>
      </c>
      <c r="OD3" s="89">
        <v>814</v>
      </c>
      <c r="OE3" s="89">
        <v>779</v>
      </c>
      <c r="OF3" s="89">
        <v>189</v>
      </c>
      <c r="OG3" s="89">
        <v>847</v>
      </c>
      <c r="OH3" s="89">
        <v>869</v>
      </c>
      <c r="OI3" s="89">
        <v>877</v>
      </c>
      <c r="OJ3" s="89">
        <v>832</v>
      </c>
      <c r="OK3" s="89">
        <v>824</v>
      </c>
      <c r="OL3" s="89">
        <v>797</v>
      </c>
      <c r="OM3" s="89">
        <v>170</v>
      </c>
      <c r="ON3" s="89">
        <v>846</v>
      </c>
      <c r="OO3" s="89">
        <v>796</v>
      </c>
      <c r="OP3" s="89">
        <v>906</v>
      </c>
      <c r="OQ3" s="89">
        <v>888</v>
      </c>
      <c r="OR3" s="89">
        <v>846</v>
      </c>
      <c r="OS3" s="89">
        <v>725</v>
      </c>
      <c r="OT3" s="89">
        <v>158</v>
      </c>
      <c r="OU3" s="89">
        <v>744</v>
      </c>
      <c r="OV3" s="89">
        <v>744</v>
      </c>
      <c r="OW3" s="89">
        <v>705</v>
      </c>
      <c r="OX3" s="89">
        <v>699</v>
      </c>
      <c r="OY3" s="89">
        <v>763</v>
      </c>
      <c r="OZ3" s="89">
        <v>740</v>
      </c>
      <c r="PA3" s="89">
        <v>127</v>
      </c>
      <c r="PB3" s="89">
        <v>746</v>
      </c>
      <c r="PC3" s="89">
        <v>804</v>
      </c>
      <c r="PD3" s="89">
        <v>844</v>
      </c>
      <c r="PE3" s="89">
        <v>918</v>
      </c>
      <c r="PF3" s="89">
        <v>880</v>
      </c>
      <c r="PG3" s="89">
        <v>906</v>
      </c>
      <c r="PH3" s="89">
        <v>160</v>
      </c>
      <c r="PI3" s="89">
        <v>991</v>
      </c>
      <c r="PJ3" s="89">
        <v>1009</v>
      </c>
      <c r="PK3" s="89">
        <v>1041</v>
      </c>
      <c r="PL3" s="89">
        <v>1033</v>
      </c>
      <c r="PM3" s="89">
        <v>1067</v>
      </c>
      <c r="PN3" s="89">
        <v>1064</v>
      </c>
      <c r="PO3" s="89">
        <v>89</v>
      </c>
      <c r="PP3" s="89">
        <v>1063</v>
      </c>
      <c r="PQ3" s="89">
        <v>970</v>
      </c>
      <c r="PR3" s="89">
        <v>1022</v>
      </c>
      <c r="PS3" s="89">
        <v>1013</v>
      </c>
      <c r="PT3" s="89">
        <v>1008</v>
      </c>
      <c r="PU3" s="89">
        <v>1093</v>
      </c>
      <c r="PV3" s="89">
        <v>44</v>
      </c>
      <c r="PW3" s="89">
        <v>1128</v>
      </c>
      <c r="PX3" s="89">
        <v>1088</v>
      </c>
      <c r="PY3" s="89">
        <v>1103</v>
      </c>
      <c r="PZ3" s="89">
        <v>1062</v>
      </c>
      <c r="QA3" s="89">
        <v>1082</v>
      </c>
      <c r="QB3" s="89">
        <v>1118</v>
      </c>
      <c r="QC3" s="89">
        <v>25</v>
      </c>
      <c r="QD3" s="89">
        <v>1115</v>
      </c>
      <c r="QE3" s="89">
        <v>1116</v>
      </c>
      <c r="QF3" s="89">
        <v>1139</v>
      </c>
      <c r="QG3" s="89">
        <v>1158</v>
      </c>
      <c r="QH3" s="89">
        <v>1232</v>
      </c>
      <c r="QI3" s="89">
        <v>1280</v>
      </c>
      <c r="QJ3" s="89">
        <v>0</v>
      </c>
      <c r="QK3" s="89">
        <v>1320</v>
      </c>
      <c r="QL3" s="89">
        <v>1409</v>
      </c>
      <c r="QM3" s="89">
        <v>1539</v>
      </c>
      <c r="QN3" s="89">
        <v>1616</v>
      </c>
      <c r="QO3" s="89">
        <v>1661</v>
      </c>
      <c r="QP3" s="89">
        <v>1636</v>
      </c>
      <c r="QQ3" s="89">
        <v>0</v>
      </c>
      <c r="QR3" s="89">
        <v>1593</v>
      </c>
      <c r="QS3" s="89">
        <v>1553</v>
      </c>
      <c r="QT3" s="89">
        <v>1518</v>
      </c>
      <c r="QU3" s="89">
        <v>1506</v>
      </c>
      <c r="QV3" s="89">
        <v>1563</v>
      </c>
      <c r="QW3" s="89">
        <v>1503</v>
      </c>
      <c r="QX3" s="89">
        <v>0</v>
      </c>
      <c r="QY3" s="89">
        <v>1418</v>
      </c>
      <c r="QZ3" s="89">
        <v>1467</v>
      </c>
      <c r="RA3" s="89">
        <v>1471</v>
      </c>
      <c r="RB3" s="89">
        <v>1446</v>
      </c>
      <c r="RC3" s="89">
        <v>1402</v>
      </c>
      <c r="RD3" s="89">
        <v>1365</v>
      </c>
      <c r="RE3" s="89">
        <v>0</v>
      </c>
      <c r="RF3" s="89">
        <v>1450</v>
      </c>
      <c r="RG3" s="89">
        <v>1582</v>
      </c>
      <c r="RH3" s="89">
        <v>1652</v>
      </c>
      <c r="RI3" s="89">
        <v>1730</v>
      </c>
      <c r="RJ3" s="89">
        <v>1779</v>
      </c>
      <c r="RK3" s="89">
        <v>1865</v>
      </c>
      <c r="RL3" s="89">
        <v>0</v>
      </c>
      <c r="RM3" s="89">
        <v>1861</v>
      </c>
      <c r="RN3" s="89">
        <v>1831</v>
      </c>
      <c r="RO3" s="89">
        <v>1775</v>
      </c>
      <c r="RP3" s="89">
        <v>1782</v>
      </c>
      <c r="RQ3" s="89">
        <v>1737</v>
      </c>
      <c r="RR3" s="89">
        <v>1728</v>
      </c>
      <c r="RS3" s="89">
        <v>0</v>
      </c>
      <c r="RT3" s="89">
        <v>1661</v>
      </c>
      <c r="RU3" s="89">
        <v>1634</v>
      </c>
      <c r="RV3" s="89">
        <v>1681</v>
      </c>
      <c r="RW3" s="89">
        <v>1788</v>
      </c>
      <c r="RX3" s="89">
        <v>1803</v>
      </c>
      <c r="RY3" s="89">
        <v>1786</v>
      </c>
      <c r="RZ3" s="89">
        <v>0</v>
      </c>
      <c r="SA3" s="89">
        <v>1805</v>
      </c>
      <c r="SB3" s="89">
        <v>1832</v>
      </c>
      <c r="SC3" s="89">
        <v>1785</v>
      </c>
      <c r="SD3" s="89">
        <v>1800</v>
      </c>
      <c r="SE3" s="89">
        <v>1784</v>
      </c>
      <c r="SF3" s="89">
        <v>1850</v>
      </c>
      <c r="SG3" s="89">
        <v>0</v>
      </c>
      <c r="SH3" s="89">
        <v>1840</v>
      </c>
      <c r="SI3" s="89">
        <v>1800</v>
      </c>
      <c r="SJ3" s="89">
        <v>1763</v>
      </c>
      <c r="SK3" s="89">
        <v>1726</v>
      </c>
      <c r="SL3" s="89">
        <v>1667</v>
      </c>
      <c r="SM3" s="89">
        <v>1629</v>
      </c>
      <c r="SN3" s="89">
        <v>0</v>
      </c>
      <c r="SO3" s="89">
        <v>1505</v>
      </c>
      <c r="SP3" s="89">
        <v>1523</v>
      </c>
      <c r="SQ3" s="89">
        <v>1589</v>
      </c>
      <c r="SR3" s="89">
        <v>1573</v>
      </c>
      <c r="SS3" s="89">
        <v>1636</v>
      </c>
      <c r="ST3" s="89">
        <v>1646</v>
      </c>
      <c r="SU3" s="89">
        <v>0</v>
      </c>
      <c r="SV3" s="89">
        <v>1644</v>
      </c>
      <c r="SW3" s="89">
        <v>1677</v>
      </c>
      <c r="SX3" s="89">
        <v>1684</v>
      </c>
      <c r="SY3" s="89">
        <v>1670</v>
      </c>
      <c r="SZ3" s="89">
        <v>1655</v>
      </c>
      <c r="TA3" s="89">
        <v>1614</v>
      </c>
      <c r="TB3" s="89">
        <v>0</v>
      </c>
      <c r="TC3" s="89">
        <v>1636</v>
      </c>
      <c r="TD3" s="89">
        <v>1661</v>
      </c>
      <c r="TE3" s="89">
        <v>1676</v>
      </c>
      <c r="TF3" s="89">
        <v>1760</v>
      </c>
      <c r="TG3" s="89">
        <v>1745</v>
      </c>
      <c r="TH3" s="89">
        <v>1760</v>
      </c>
      <c r="TI3" s="89">
        <v>0</v>
      </c>
      <c r="TJ3" s="89">
        <v>1814</v>
      </c>
      <c r="TK3" s="89">
        <v>1790</v>
      </c>
      <c r="TL3" s="89">
        <v>1824</v>
      </c>
      <c r="TM3" s="89">
        <v>1895</v>
      </c>
      <c r="TN3" s="89">
        <v>1853</v>
      </c>
      <c r="TO3" s="89">
        <v>1815</v>
      </c>
      <c r="TP3" s="89">
        <v>0</v>
      </c>
      <c r="TQ3" s="89">
        <v>1776</v>
      </c>
      <c r="TR3" s="89">
        <v>1788</v>
      </c>
      <c r="TS3" s="89">
        <v>1823</v>
      </c>
      <c r="TT3" s="89">
        <v>1787</v>
      </c>
      <c r="TU3" s="89">
        <v>1782</v>
      </c>
      <c r="TV3" s="89">
        <v>1778</v>
      </c>
      <c r="TW3" s="89">
        <v>0</v>
      </c>
      <c r="TX3" s="89">
        <v>1829</v>
      </c>
      <c r="TY3" s="89">
        <v>1763</v>
      </c>
      <c r="TZ3" s="89">
        <v>1734</v>
      </c>
      <c r="UA3" s="89">
        <v>1795</v>
      </c>
      <c r="UB3" s="89">
        <v>1793</v>
      </c>
      <c r="UC3" s="89">
        <v>1802</v>
      </c>
      <c r="UD3" s="89">
        <v>0</v>
      </c>
      <c r="UE3" s="89">
        <v>1801</v>
      </c>
      <c r="UF3" s="89">
        <v>1780</v>
      </c>
      <c r="UG3" s="89">
        <v>1817</v>
      </c>
      <c r="UH3" s="89">
        <v>1805</v>
      </c>
      <c r="UI3" s="89">
        <v>1800</v>
      </c>
      <c r="UJ3" s="89">
        <v>1744</v>
      </c>
      <c r="UK3" s="89">
        <v>0</v>
      </c>
      <c r="UL3" s="89">
        <v>1659</v>
      </c>
      <c r="UM3" s="89">
        <v>1572</v>
      </c>
      <c r="UN3" s="89">
        <v>1582</v>
      </c>
      <c r="UO3" s="89">
        <v>1469</v>
      </c>
      <c r="UP3" s="89">
        <v>1430</v>
      </c>
      <c r="UQ3" s="89">
        <v>1396</v>
      </c>
      <c r="UR3" s="89">
        <v>0</v>
      </c>
      <c r="US3" s="89">
        <v>1360</v>
      </c>
      <c r="UT3" s="89">
        <v>1350</v>
      </c>
      <c r="UU3" s="89">
        <v>1323</v>
      </c>
      <c r="UV3" s="89">
        <v>1245</v>
      </c>
      <c r="UW3" s="89">
        <v>1219</v>
      </c>
      <c r="UX3" s="89">
        <v>1107</v>
      </c>
      <c r="UY3" s="89">
        <v>0</v>
      </c>
      <c r="UZ3" s="89">
        <v>1106</v>
      </c>
      <c r="VA3" s="89">
        <v>1074</v>
      </c>
      <c r="VB3" s="89">
        <v>1025</v>
      </c>
      <c r="VC3" s="89">
        <v>1004</v>
      </c>
      <c r="VD3" s="89">
        <v>972</v>
      </c>
      <c r="VE3" s="89">
        <v>887</v>
      </c>
      <c r="VF3" s="89">
        <v>0</v>
      </c>
      <c r="VG3" s="89">
        <v>853</v>
      </c>
      <c r="VH3" s="89">
        <v>803</v>
      </c>
      <c r="VI3" s="89">
        <v>813</v>
      </c>
      <c r="VJ3" s="89">
        <v>823</v>
      </c>
      <c r="VK3" s="89">
        <v>815</v>
      </c>
      <c r="VL3" s="89">
        <v>809</v>
      </c>
      <c r="VM3" s="89">
        <v>0</v>
      </c>
      <c r="VN3" s="89">
        <v>832</v>
      </c>
      <c r="VO3" s="89">
        <v>828</v>
      </c>
      <c r="VP3" s="89">
        <v>896</v>
      </c>
      <c r="VQ3" s="89">
        <v>923</v>
      </c>
      <c r="VR3" s="89">
        <v>911</v>
      </c>
      <c r="VS3" s="89">
        <v>880</v>
      </c>
      <c r="VT3" s="89">
        <v>0</v>
      </c>
      <c r="VU3" s="89">
        <v>892</v>
      </c>
      <c r="VV3" s="89">
        <v>870</v>
      </c>
      <c r="VW3" s="89">
        <v>887</v>
      </c>
      <c r="VX3" s="89">
        <v>891</v>
      </c>
      <c r="VY3" s="89">
        <v>833</v>
      </c>
      <c r="VZ3" s="89">
        <v>782</v>
      </c>
      <c r="WA3" s="89">
        <v>0</v>
      </c>
      <c r="WB3" s="89">
        <v>655</v>
      </c>
      <c r="WC3" s="89">
        <v>646</v>
      </c>
      <c r="WD3" s="89">
        <v>627</v>
      </c>
      <c r="WE3" s="89">
        <v>572</v>
      </c>
      <c r="WF3" s="89">
        <v>570</v>
      </c>
      <c r="WG3" s="89">
        <v>551</v>
      </c>
      <c r="WH3" s="89">
        <v>0</v>
      </c>
      <c r="WI3" s="89">
        <v>533</v>
      </c>
      <c r="WJ3" s="89">
        <v>536</v>
      </c>
      <c r="WK3" s="89">
        <v>547</v>
      </c>
      <c r="WL3" s="89">
        <v>513</v>
      </c>
      <c r="WM3" s="89">
        <v>515</v>
      </c>
      <c r="WN3" s="89">
        <v>490</v>
      </c>
      <c r="WO3" s="89">
        <v>0</v>
      </c>
      <c r="WP3" s="89">
        <v>422</v>
      </c>
      <c r="WQ3" s="89">
        <v>412</v>
      </c>
      <c r="WR3" s="89">
        <v>435</v>
      </c>
      <c r="WS3" s="89">
        <v>402</v>
      </c>
      <c r="WT3" s="89">
        <v>406</v>
      </c>
      <c r="WU3" s="89">
        <v>401</v>
      </c>
      <c r="WV3" s="89">
        <v>0</v>
      </c>
      <c r="WW3" s="89">
        <v>383</v>
      </c>
      <c r="WX3" s="89">
        <v>355</v>
      </c>
      <c r="WY3" s="89">
        <v>336</v>
      </c>
      <c r="WZ3" s="89">
        <v>342</v>
      </c>
      <c r="XA3" s="89">
        <v>308</v>
      </c>
      <c r="XB3" s="89">
        <v>262</v>
      </c>
      <c r="XC3" s="89">
        <v>0</v>
      </c>
      <c r="XD3" s="89">
        <v>250</v>
      </c>
      <c r="XE3" s="89">
        <v>239</v>
      </c>
      <c r="XF3" s="89">
        <v>230</v>
      </c>
      <c r="XG3" s="89">
        <v>215</v>
      </c>
      <c r="XH3" s="89">
        <v>212</v>
      </c>
      <c r="XI3" s="89">
        <v>0</v>
      </c>
      <c r="XJ3" s="89">
        <v>0</v>
      </c>
      <c r="XK3" s="89">
        <v>0</v>
      </c>
      <c r="XL3" s="89">
        <v>0</v>
      </c>
      <c r="XM3" s="89">
        <v>0</v>
      </c>
      <c r="XN3" s="89">
        <v>197</v>
      </c>
      <c r="XO3" s="89">
        <v>197</v>
      </c>
      <c r="XP3" s="89">
        <v>170</v>
      </c>
      <c r="XQ3" s="89">
        <v>0</v>
      </c>
      <c r="XR3" s="89">
        <v>176</v>
      </c>
      <c r="XS3" s="89">
        <v>176</v>
      </c>
      <c r="XT3" s="89">
        <v>176</v>
      </c>
      <c r="XU3" s="89">
        <v>150</v>
      </c>
      <c r="XV3" s="89">
        <v>129</v>
      </c>
      <c r="XW3" s="89">
        <v>125</v>
      </c>
      <c r="XX3" s="89">
        <v>0</v>
      </c>
      <c r="XY3" s="89">
        <v>122</v>
      </c>
      <c r="XZ3" s="89">
        <v>113</v>
      </c>
      <c r="YA3" s="89">
        <v>95</v>
      </c>
      <c r="YB3" s="89">
        <v>86</v>
      </c>
      <c r="YC3" s="89">
        <v>86</v>
      </c>
      <c r="YD3" s="89">
        <v>86</v>
      </c>
      <c r="YE3" s="89">
        <v>0</v>
      </c>
      <c r="YF3" s="89">
        <v>86</v>
      </c>
      <c r="YG3" s="89">
        <v>68</v>
      </c>
      <c r="YH3" s="89">
        <v>68</v>
      </c>
      <c r="YI3" s="89">
        <v>68</v>
      </c>
      <c r="YJ3" s="89">
        <v>68</v>
      </c>
      <c r="YK3" s="89">
        <v>68</v>
      </c>
      <c r="YL3" s="89">
        <v>0</v>
      </c>
      <c r="YM3" s="89">
        <v>68</v>
      </c>
      <c r="YN3" s="89">
        <v>69</v>
      </c>
      <c r="YO3" s="89">
        <v>77</v>
      </c>
      <c r="YP3" s="89">
        <v>77</v>
      </c>
      <c r="YQ3" s="89">
        <v>77</v>
      </c>
      <c r="YR3" s="89">
        <v>77</v>
      </c>
      <c r="YS3" s="89">
        <v>0</v>
      </c>
      <c r="YT3" s="89">
        <v>77</v>
      </c>
      <c r="YU3" s="89">
        <v>72</v>
      </c>
      <c r="YV3" s="89">
        <v>72</v>
      </c>
      <c r="YW3" s="89">
        <v>72</v>
      </c>
      <c r="YX3" s="89">
        <v>72</v>
      </c>
      <c r="YY3" s="89">
        <v>72</v>
      </c>
      <c r="YZ3" s="89">
        <v>0</v>
      </c>
      <c r="ZA3" s="89">
        <v>72</v>
      </c>
      <c r="ZB3" s="89">
        <v>72</v>
      </c>
      <c r="ZC3" s="89">
        <v>72</v>
      </c>
      <c r="ZD3" s="89">
        <v>79</v>
      </c>
      <c r="ZE3" s="89">
        <v>70</v>
      </c>
      <c r="ZF3" s="89">
        <v>36</v>
      </c>
      <c r="ZG3" s="89">
        <v>0</v>
      </c>
      <c r="ZH3" s="89">
        <v>36</v>
      </c>
      <c r="ZI3" s="89">
        <v>36</v>
      </c>
      <c r="ZJ3" s="89">
        <v>36</v>
      </c>
      <c r="ZK3" s="89">
        <v>36</v>
      </c>
      <c r="ZL3" s="89">
        <v>39</v>
      </c>
      <c r="ZM3" s="89">
        <v>39</v>
      </c>
      <c r="ZN3" s="89">
        <v>0</v>
      </c>
      <c r="ZO3" s="89">
        <v>39</v>
      </c>
      <c r="ZP3" s="89">
        <v>40</v>
      </c>
      <c r="ZQ3" s="89">
        <v>44</v>
      </c>
      <c r="ZR3" s="89">
        <v>44</v>
      </c>
      <c r="ZS3" s="89">
        <v>44</v>
      </c>
      <c r="ZT3" s="89">
        <v>0</v>
      </c>
      <c r="ZU3" s="89">
        <v>0</v>
      </c>
      <c r="ZV3" s="89">
        <v>0</v>
      </c>
      <c r="ZW3" s="89">
        <v>0</v>
      </c>
      <c r="ZX3" s="89">
        <v>0</v>
      </c>
      <c r="ZY3" s="89">
        <v>44</v>
      </c>
      <c r="ZZ3" s="89">
        <v>35</v>
      </c>
      <c r="AAA3" s="89">
        <v>30</v>
      </c>
      <c r="AAB3" s="89">
        <v>0</v>
      </c>
      <c r="AAC3" s="89">
        <v>9</v>
      </c>
      <c r="AAD3" s="89">
        <v>9</v>
      </c>
      <c r="AAE3" s="89">
        <v>9</v>
      </c>
      <c r="AAF3" s="89">
        <v>8</v>
      </c>
      <c r="AAG3" s="89">
        <v>4</v>
      </c>
      <c r="AAH3" s="89">
        <v>4</v>
      </c>
      <c r="AAI3" s="89">
        <v>0</v>
      </c>
      <c r="AAJ3" s="89">
        <v>4</v>
      </c>
      <c r="AAK3" s="89">
        <v>4</v>
      </c>
      <c r="AAL3" s="89">
        <v>0</v>
      </c>
      <c r="AAM3" s="89">
        <v>0</v>
      </c>
      <c r="AAN3" s="89">
        <v>0</v>
      </c>
      <c r="AAO3" s="89">
        <v>0</v>
      </c>
      <c r="AAP3" s="89">
        <v>0</v>
      </c>
      <c r="AAQ3" s="89">
        <v>0</v>
      </c>
      <c r="AAR3" s="89">
        <v>0</v>
      </c>
      <c r="AAS3" s="89">
        <v>0</v>
      </c>
      <c r="AAT3" s="89">
        <v>0</v>
      </c>
      <c r="AAU3" s="89">
        <v>0</v>
      </c>
      <c r="AAV3" s="89">
        <v>0</v>
      </c>
      <c r="AAW3" s="89">
        <v>0</v>
      </c>
      <c r="AAX3" s="89">
        <v>0</v>
      </c>
      <c r="AAY3" s="89">
        <v>0</v>
      </c>
      <c r="AAZ3" s="89">
        <v>0</v>
      </c>
      <c r="ABA3" s="89">
        <v>0</v>
      </c>
      <c r="ABB3" s="89">
        <v>0</v>
      </c>
      <c r="ABC3" s="89">
        <v>0</v>
      </c>
    </row>
    <row r="4" spans="1:731">
      <c r="A4" s="75" t="s">
        <v>41</v>
      </c>
      <c r="B4" s="75">
        <v>0</v>
      </c>
      <c r="C4" s="75">
        <v>0</v>
      </c>
      <c r="D4" s="75">
        <v>0</v>
      </c>
      <c r="E4" s="75">
        <v>0</v>
      </c>
      <c r="F4" s="75">
        <v>0</v>
      </c>
      <c r="G4" s="75">
        <v>0</v>
      </c>
      <c r="H4" s="75">
        <v>0</v>
      </c>
      <c r="I4" s="75">
        <v>0</v>
      </c>
      <c r="J4" s="75">
        <v>0</v>
      </c>
      <c r="K4" s="75">
        <v>10</v>
      </c>
      <c r="L4" s="75">
        <v>10</v>
      </c>
      <c r="M4" s="75">
        <v>10</v>
      </c>
      <c r="N4" s="75">
        <v>10</v>
      </c>
      <c r="O4" s="75">
        <v>10</v>
      </c>
      <c r="P4" s="75">
        <v>10</v>
      </c>
      <c r="Q4" s="75">
        <v>10</v>
      </c>
      <c r="R4" s="75">
        <v>10</v>
      </c>
      <c r="S4" s="75">
        <v>10</v>
      </c>
      <c r="T4" s="75">
        <v>10</v>
      </c>
      <c r="U4" s="75">
        <v>10</v>
      </c>
      <c r="V4" s="75">
        <v>10</v>
      </c>
      <c r="W4" s="75">
        <v>10</v>
      </c>
      <c r="X4" s="75">
        <v>10</v>
      </c>
      <c r="Y4" s="75">
        <v>10</v>
      </c>
      <c r="Z4" s="75">
        <v>10</v>
      </c>
      <c r="AA4" s="75">
        <v>10</v>
      </c>
      <c r="AB4" s="75">
        <v>10</v>
      </c>
      <c r="AC4" s="75">
        <v>10</v>
      </c>
      <c r="AD4" s="75">
        <v>10</v>
      </c>
      <c r="AE4" s="75">
        <v>10</v>
      </c>
      <c r="AF4" s="75">
        <v>10</v>
      </c>
      <c r="AG4" s="75">
        <v>10</v>
      </c>
      <c r="AH4" s="75">
        <v>10</v>
      </c>
      <c r="AI4" s="75">
        <v>10</v>
      </c>
      <c r="AJ4" s="75">
        <v>10</v>
      </c>
      <c r="AK4" s="75">
        <v>0</v>
      </c>
      <c r="AL4" s="75">
        <v>0</v>
      </c>
      <c r="AM4" s="75">
        <v>0</v>
      </c>
      <c r="AN4" s="75">
        <v>0</v>
      </c>
      <c r="AO4" s="75">
        <v>0</v>
      </c>
      <c r="AP4" s="75">
        <v>0</v>
      </c>
      <c r="AQ4" s="75">
        <v>0</v>
      </c>
      <c r="AR4" s="75">
        <v>0</v>
      </c>
      <c r="AS4" s="75">
        <v>0</v>
      </c>
      <c r="AT4" s="75">
        <v>0</v>
      </c>
      <c r="AU4" s="75">
        <v>0</v>
      </c>
      <c r="AV4" s="75">
        <v>0</v>
      </c>
      <c r="AW4" s="75">
        <v>0</v>
      </c>
      <c r="AX4" s="75">
        <v>0</v>
      </c>
      <c r="AY4" s="75">
        <v>0</v>
      </c>
      <c r="AZ4" s="75">
        <v>0</v>
      </c>
      <c r="BA4" s="75">
        <v>0</v>
      </c>
      <c r="BB4" s="75">
        <v>0</v>
      </c>
      <c r="BC4" s="75">
        <v>0</v>
      </c>
      <c r="BD4" s="75">
        <v>0</v>
      </c>
      <c r="BE4" s="75">
        <v>0</v>
      </c>
      <c r="BF4" s="75">
        <v>0</v>
      </c>
      <c r="BG4" s="75">
        <v>0</v>
      </c>
      <c r="BH4" s="75">
        <v>0</v>
      </c>
      <c r="BI4" s="75">
        <v>0</v>
      </c>
      <c r="BJ4" s="75">
        <v>0</v>
      </c>
      <c r="BK4" s="75">
        <v>0</v>
      </c>
      <c r="BL4" s="75">
        <v>0</v>
      </c>
      <c r="BM4" s="75">
        <v>0</v>
      </c>
      <c r="BN4" s="75">
        <v>0</v>
      </c>
      <c r="BO4" s="75">
        <v>0</v>
      </c>
      <c r="BP4" s="75">
        <v>0</v>
      </c>
      <c r="BQ4" s="75">
        <v>0</v>
      </c>
      <c r="BR4" s="75">
        <v>0</v>
      </c>
      <c r="BS4" s="75">
        <v>0</v>
      </c>
      <c r="BT4" s="75">
        <v>0</v>
      </c>
      <c r="BU4" s="75">
        <v>0</v>
      </c>
      <c r="BV4" s="75">
        <v>0</v>
      </c>
      <c r="BW4" s="75">
        <v>0</v>
      </c>
      <c r="BX4" s="75">
        <v>0</v>
      </c>
      <c r="BY4" s="75">
        <v>0</v>
      </c>
      <c r="BZ4" s="75">
        <v>0</v>
      </c>
      <c r="CA4" s="75">
        <v>0</v>
      </c>
      <c r="CB4" s="75">
        <v>0</v>
      </c>
      <c r="CC4" s="75">
        <v>0</v>
      </c>
      <c r="CD4" s="75">
        <v>0</v>
      </c>
      <c r="CE4" s="75">
        <v>0</v>
      </c>
      <c r="CF4" s="75">
        <v>0</v>
      </c>
      <c r="CG4" s="75">
        <v>0</v>
      </c>
      <c r="CH4" s="75">
        <v>0</v>
      </c>
      <c r="CI4" s="75">
        <v>0</v>
      </c>
      <c r="CJ4" s="75">
        <v>0</v>
      </c>
      <c r="CK4" s="75">
        <v>0</v>
      </c>
      <c r="CL4" s="75">
        <v>10</v>
      </c>
      <c r="CM4" s="75">
        <v>10</v>
      </c>
      <c r="CN4" s="75">
        <v>10</v>
      </c>
      <c r="CO4" s="75">
        <v>10</v>
      </c>
      <c r="CP4" s="75">
        <v>10</v>
      </c>
      <c r="CQ4" s="75">
        <v>0</v>
      </c>
      <c r="CR4" s="75">
        <v>10</v>
      </c>
      <c r="CS4" s="75">
        <v>10</v>
      </c>
      <c r="CT4" s="75">
        <v>10</v>
      </c>
      <c r="CU4" s="75">
        <v>10</v>
      </c>
      <c r="CV4" s="75">
        <v>13</v>
      </c>
      <c r="CW4" s="75">
        <v>3</v>
      </c>
      <c r="CX4" s="75">
        <v>0</v>
      </c>
      <c r="CY4" s="75">
        <v>3</v>
      </c>
      <c r="CZ4" s="75">
        <v>3</v>
      </c>
      <c r="DA4" s="75">
        <v>3</v>
      </c>
      <c r="DB4" s="75">
        <v>3</v>
      </c>
      <c r="DC4" s="75">
        <v>13</v>
      </c>
      <c r="DD4" s="75">
        <v>10</v>
      </c>
      <c r="DE4" s="75">
        <v>0</v>
      </c>
      <c r="DF4" s="75">
        <v>10</v>
      </c>
      <c r="DG4" s="75">
        <v>10</v>
      </c>
      <c r="DH4" s="75">
        <v>10</v>
      </c>
      <c r="DI4" s="75">
        <v>10</v>
      </c>
      <c r="DJ4" s="75">
        <v>10</v>
      </c>
      <c r="DK4" s="75">
        <v>10</v>
      </c>
      <c r="DL4" s="75">
        <v>0</v>
      </c>
      <c r="DM4" s="75">
        <v>10</v>
      </c>
      <c r="DN4" s="75">
        <v>10</v>
      </c>
      <c r="DO4" s="75">
        <v>10</v>
      </c>
      <c r="DP4" s="75">
        <v>10</v>
      </c>
      <c r="DQ4" s="75">
        <v>14</v>
      </c>
      <c r="DR4" s="75">
        <v>14</v>
      </c>
      <c r="DS4" s="75">
        <v>0</v>
      </c>
      <c r="DT4" s="75">
        <v>14</v>
      </c>
      <c r="DU4" s="75">
        <v>14</v>
      </c>
      <c r="DV4" s="75">
        <v>14</v>
      </c>
      <c r="DW4" s="75">
        <v>14</v>
      </c>
      <c r="DX4" s="75">
        <v>10</v>
      </c>
      <c r="DY4" s="75">
        <v>10</v>
      </c>
      <c r="DZ4" s="75">
        <v>0</v>
      </c>
      <c r="EA4" s="75">
        <v>4</v>
      </c>
      <c r="EB4" s="75">
        <v>4</v>
      </c>
      <c r="EC4" s="75">
        <v>4</v>
      </c>
      <c r="ED4" s="75">
        <v>9</v>
      </c>
      <c r="EE4" s="75">
        <v>5</v>
      </c>
      <c r="EF4" s="75">
        <v>5</v>
      </c>
      <c r="EG4" s="75">
        <v>0</v>
      </c>
      <c r="EH4" s="75">
        <v>15</v>
      </c>
      <c r="EI4" s="75">
        <v>15</v>
      </c>
      <c r="EJ4" s="75">
        <v>15</v>
      </c>
      <c r="EK4" s="75">
        <v>20</v>
      </c>
      <c r="EL4" s="75">
        <v>20</v>
      </c>
      <c r="EM4" s="75">
        <v>20</v>
      </c>
      <c r="EN4" s="75">
        <v>0</v>
      </c>
      <c r="EO4" s="75">
        <v>20</v>
      </c>
      <c r="EP4" s="75">
        <v>20</v>
      </c>
      <c r="EQ4" s="75">
        <v>15</v>
      </c>
      <c r="ER4" s="75">
        <v>15</v>
      </c>
      <c r="ES4" s="75">
        <v>5</v>
      </c>
      <c r="ET4" s="75">
        <v>5</v>
      </c>
      <c r="EU4" s="75">
        <v>0</v>
      </c>
      <c r="EV4" s="75">
        <v>5</v>
      </c>
      <c r="EW4" s="75">
        <v>12</v>
      </c>
      <c r="EX4" s="75">
        <v>9</v>
      </c>
      <c r="EY4" s="75">
        <v>9</v>
      </c>
      <c r="EZ4" s="75">
        <v>9</v>
      </c>
      <c r="FA4" s="75">
        <v>9</v>
      </c>
      <c r="FB4" s="75">
        <v>0</v>
      </c>
      <c r="FC4" s="75">
        <v>13</v>
      </c>
      <c r="FD4" s="75">
        <v>11</v>
      </c>
      <c r="FE4" s="75">
        <v>9</v>
      </c>
      <c r="FF4" s="75">
        <v>9</v>
      </c>
      <c r="FG4" s="75">
        <v>9</v>
      </c>
      <c r="FH4" s="75">
        <v>4</v>
      </c>
      <c r="FI4" s="75">
        <v>0</v>
      </c>
      <c r="FJ4" s="75">
        <v>0</v>
      </c>
      <c r="FK4" s="75">
        <v>0</v>
      </c>
      <c r="FL4" s="75">
        <v>0</v>
      </c>
      <c r="FM4" s="75">
        <v>0</v>
      </c>
      <c r="FN4" s="75">
        <v>0</v>
      </c>
      <c r="FO4" s="75">
        <v>0</v>
      </c>
      <c r="FP4" s="75">
        <v>0</v>
      </c>
      <c r="FQ4" s="75">
        <v>0</v>
      </c>
      <c r="FR4" s="75">
        <v>0</v>
      </c>
      <c r="FS4" s="75">
        <v>0</v>
      </c>
      <c r="FT4" s="75">
        <v>4</v>
      </c>
      <c r="FU4" s="75">
        <v>5</v>
      </c>
      <c r="FV4" s="75">
        <v>5</v>
      </c>
      <c r="FW4" s="75">
        <v>0</v>
      </c>
      <c r="FX4" s="75">
        <v>5</v>
      </c>
      <c r="FY4" s="75">
        <v>5</v>
      </c>
      <c r="FZ4" s="75">
        <v>5</v>
      </c>
      <c r="GA4" s="75">
        <v>5</v>
      </c>
      <c r="GB4" s="75">
        <v>5</v>
      </c>
      <c r="GC4" s="75">
        <v>5</v>
      </c>
      <c r="GD4" s="75">
        <v>0</v>
      </c>
      <c r="GE4" s="75">
        <v>5</v>
      </c>
      <c r="GF4" s="75">
        <v>6</v>
      </c>
      <c r="GG4" s="75">
        <v>5</v>
      </c>
      <c r="GH4" s="75">
        <v>5</v>
      </c>
      <c r="GI4" s="75">
        <v>5</v>
      </c>
      <c r="GJ4" s="75">
        <v>6</v>
      </c>
      <c r="GK4" s="75">
        <v>0</v>
      </c>
      <c r="GL4" s="75">
        <v>12</v>
      </c>
      <c r="GM4" s="75">
        <v>30</v>
      </c>
      <c r="GN4" s="75">
        <v>30</v>
      </c>
      <c r="GO4" s="75">
        <v>29</v>
      </c>
      <c r="GP4" s="75">
        <v>23</v>
      </c>
      <c r="GQ4" s="75">
        <v>0</v>
      </c>
      <c r="GR4" s="75">
        <v>0</v>
      </c>
      <c r="GS4" s="75">
        <v>5</v>
      </c>
      <c r="GT4" s="75">
        <v>28</v>
      </c>
      <c r="GU4" s="75">
        <v>29</v>
      </c>
      <c r="GV4" s="75">
        <v>34</v>
      </c>
      <c r="GW4" s="75">
        <v>34</v>
      </c>
      <c r="GX4" s="75">
        <v>34</v>
      </c>
      <c r="GY4" s="75">
        <v>0</v>
      </c>
      <c r="GZ4" s="75">
        <v>11</v>
      </c>
      <c r="HA4" s="75">
        <v>5</v>
      </c>
      <c r="HB4" s="75">
        <v>5</v>
      </c>
      <c r="HC4" s="75">
        <v>5</v>
      </c>
      <c r="HD4" s="75">
        <v>3</v>
      </c>
      <c r="HE4" s="75">
        <v>3</v>
      </c>
      <c r="HF4" s="75">
        <v>0</v>
      </c>
      <c r="HG4" s="75">
        <v>2</v>
      </c>
      <c r="HH4" s="75">
        <v>4</v>
      </c>
      <c r="HI4" s="75">
        <v>13</v>
      </c>
      <c r="HJ4" s="75">
        <v>14</v>
      </c>
      <c r="HK4" s="75">
        <v>14</v>
      </c>
      <c r="HL4" s="75">
        <v>10</v>
      </c>
      <c r="HM4" s="75">
        <v>0</v>
      </c>
      <c r="HN4" s="75">
        <v>10</v>
      </c>
      <c r="HO4" s="75">
        <v>0</v>
      </c>
      <c r="HP4" s="75">
        <v>0</v>
      </c>
      <c r="HQ4" s="75">
        <v>0</v>
      </c>
      <c r="HR4" s="75">
        <v>0</v>
      </c>
      <c r="HS4" s="75">
        <v>0</v>
      </c>
      <c r="HT4" s="75">
        <v>0</v>
      </c>
      <c r="HU4" s="75">
        <v>0</v>
      </c>
      <c r="HV4" s="75">
        <v>0</v>
      </c>
      <c r="HW4" s="75">
        <v>0</v>
      </c>
      <c r="HX4" s="75">
        <v>18</v>
      </c>
      <c r="HY4" s="75">
        <v>25</v>
      </c>
      <c r="HZ4" s="75">
        <v>25</v>
      </c>
      <c r="IA4" s="75">
        <v>0</v>
      </c>
      <c r="IB4" s="75">
        <v>25</v>
      </c>
      <c r="IC4" s="75">
        <v>40</v>
      </c>
      <c r="ID4" s="75">
        <v>26</v>
      </c>
      <c r="IE4" s="75">
        <v>34</v>
      </c>
      <c r="IF4" s="75">
        <v>34</v>
      </c>
      <c r="IG4" s="75">
        <v>46</v>
      </c>
      <c r="IH4" s="75">
        <v>0</v>
      </c>
      <c r="II4" s="75">
        <v>30</v>
      </c>
      <c r="IJ4" s="75">
        <v>30</v>
      </c>
      <c r="IK4" s="75">
        <v>30</v>
      </c>
      <c r="IL4" s="75">
        <v>37</v>
      </c>
      <c r="IM4" s="75">
        <v>30</v>
      </c>
      <c r="IN4" s="75">
        <v>30</v>
      </c>
      <c r="IO4" s="75">
        <v>0</v>
      </c>
      <c r="IP4" s="75">
        <v>30</v>
      </c>
      <c r="IQ4" s="75">
        <v>25</v>
      </c>
      <c r="IR4" s="75">
        <v>27</v>
      </c>
      <c r="IS4" s="75">
        <v>29</v>
      </c>
      <c r="IT4" s="75">
        <v>29</v>
      </c>
      <c r="IU4" s="75">
        <v>29</v>
      </c>
      <c r="IV4" s="75">
        <v>0</v>
      </c>
      <c r="IW4" s="75">
        <v>29</v>
      </c>
      <c r="IX4" s="75">
        <v>27</v>
      </c>
      <c r="IY4" s="75">
        <v>25</v>
      </c>
      <c r="IZ4" s="75">
        <v>25</v>
      </c>
      <c r="JA4" s="75">
        <v>36</v>
      </c>
      <c r="JB4" s="75">
        <v>54</v>
      </c>
      <c r="JC4" s="75">
        <v>0</v>
      </c>
      <c r="JD4" s="75">
        <v>54</v>
      </c>
      <c r="JE4" s="75">
        <v>48</v>
      </c>
      <c r="JF4" s="75">
        <v>34</v>
      </c>
      <c r="JG4" s="75">
        <v>21</v>
      </c>
      <c r="JH4" s="75">
        <v>15</v>
      </c>
      <c r="JI4" s="75">
        <v>17</v>
      </c>
      <c r="JJ4" s="75">
        <v>4</v>
      </c>
      <c r="JK4" s="75">
        <v>16</v>
      </c>
      <c r="JL4" s="75">
        <v>14</v>
      </c>
      <c r="JM4" s="75">
        <v>12</v>
      </c>
      <c r="JN4" s="75">
        <v>18</v>
      </c>
      <c r="JO4" s="75">
        <v>38</v>
      </c>
      <c r="JP4" s="75">
        <v>55</v>
      </c>
      <c r="JQ4" s="75">
        <v>0</v>
      </c>
      <c r="JR4" s="75">
        <v>0</v>
      </c>
      <c r="JS4" s="75">
        <v>0</v>
      </c>
      <c r="JT4" s="75">
        <v>0</v>
      </c>
      <c r="JU4" s="75">
        <v>0</v>
      </c>
      <c r="JV4" s="75">
        <v>55</v>
      </c>
      <c r="JW4" s="75">
        <v>49</v>
      </c>
      <c r="JX4" s="75">
        <v>0</v>
      </c>
      <c r="JY4" s="75">
        <v>40</v>
      </c>
      <c r="JZ4" s="75">
        <v>37</v>
      </c>
      <c r="KA4" s="75">
        <v>25</v>
      </c>
      <c r="KB4" s="75">
        <v>16</v>
      </c>
      <c r="KC4" s="75">
        <v>16</v>
      </c>
      <c r="KD4" s="75">
        <v>17</v>
      </c>
      <c r="KE4" s="75">
        <v>0</v>
      </c>
      <c r="KF4" s="75">
        <v>27</v>
      </c>
      <c r="KG4" s="75">
        <v>33</v>
      </c>
      <c r="KH4" s="75">
        <v>33</v>
      </c>
      <c r="KI4" s="75">
        <v>33</v>
      </c>
      <c r="KJ4" s="75">
        <v>33</v>
      </c>
      <c r="KK4" s="75">
        <v>33</v>
      </c>
      <c r="KL4" s="75">
        <v>0</v>
      </c>
      <c r="KM4" s="75">
        <v>33</v>
      </c>
      <c r="KN4" s="75">
        <v>36</v>
      </c>
      <c r="KO4" s="75">
        <v>33</v>
      </c>
      <c r="KP4" s="75">
        <v>41</v>
      </c>
      <c r="KQ4" s="75">
        <v>48</v>
      </c>
      <c r="KR4" s="75">
        <v>41</v>
      </c>
      <c r="KS4" s="75">
        <v>0</v>
      </c>
      <c r="KT4" s="75">
        <v>40</v>
      </c>
      <c r="KU4" s="75">
        <v>39</v>
      </c>
      <c r="KV4" s="75">
        <v>39</v>
      </c>
      <c r="KW4" s="75">
        <v>34</v>
      </c>
      <c r="KX4" s="75">
        <v>18</v>
      </c>
      <c r="KY4" s="75">
        <v>22</v>
      </c>
      <c r="KZ4" s="75">
        <v>0</v>
      </c>
      <c r="LA4" s="75">
        <v>38</v>
      </c>
      <c r="LB4" s="75">
        <v>57</v>
      </c>
      <c r="LC4" s="75">
        <v>59</v>
      </c>
      <c r="LD4" s="75">
        <v>51</v>
      </c>
      <c r="LE4" s="75">
        <v>54</v>
      </c>
      <c r="LF4" s="75">
        <v>45</v>
      </c>
      <c r="LG4" s="75">
        <v>1</v>
      </c>
      <c r="LH4" s="75">
        <v>33</v>
      </c>
      <c r="LI4" s="75">
        <v>33</v>
      </c>
      <c r="LJ4" s="75">
        <v>54</v>
      </c>
      <c r="LK4" s="75">
        <v>58</v>
      </c>
      <c r="LL4" s="75">
        <v>58</v>
      </c>
      <c r="LM4" s="75">
        <v>69</v>
      </c>
      <c r="LN4" s="75">
        <v>0</v>
      </c>
      <c r="LO4" s="75">
        <v>65</v>
      </c>
      <c r="LP4" s="75">
        <v>71</v>
      </c>
      <c r="LQ4" s="75">
        <v>94</v>
      </c>
      <c r="LR4" s="75">
        <v>121</v>
      </c>
      <c r="LS4" s="75">
        <v>132</v>
      </c>
      <c r="LT4" s="75">
        <v>130</v>
      </c>
      <c r="LU4" s="75">
        <v>2</v>
      </c>
      <c r="LV4" s="75">
        <v>106</v>
      </c>
      <c r="LW4" s="75">
        <v>57</v>
      </c>
      <c r="LX4" s="75">
        <v>33</v>
      </c>
      <c r="LY4" s="75">
        <v>26</v>
      </c>
      <c r="LZ4" s="75">
        <v>39</v>
      </c>
      <c r="MA4" s="75">
        <v>37</v>
      </c>
      <c r="MB4" s="75">
        <v>0</v>
      </c>
      <c r="MC4" s="75">
        <v>31</v>
      </c>
      <c r="MD4" s="75">
        <v>19</v>
      </c>
      <c r="ME4" s="75">
        <v>15</v>
      </c>
      <c r="MF4" s="75">
        <v>16</v>
      </c>
      <c r="MG4" s="75">
        <v>0</v>
      </c>
      <c r="MH4" s="75">
        <v>0</v>
      </c>
      <c r="MI4" s="75">
        <v>0</v>
      </c>
      <c r="MJ4" s="75">
        <v>0</v>
      </c>
      <c r="MK4" s="75">
        <v>0</v>
      </c>
      <c r="ML4" s="75">
        <v>0</v>
      </c>
      <c r="MM4" s="75">
        <v>31</v>
      </c>
      <c r="MN4" s="75">
        <v>31</v>
      </c>
      <c r="MO4" s="75">
        <v>41</v>
      </c>
      <c r="MP4" s="75">
        <v>4</v>
      </c>
      <c r="MQ4" s="75">
        <v>41</v>
      </c>
      <c r="MR4" s="75">
        <v>38</v>
      </c>
      <c r="MS4" s="75">
        <v>67</v>
      </c>
      <c r="MT4" s="75">
        <v>78</v>
      </c>
      <c r="MU4" s="75">
        <v>72</v>
      </c>
      <c r="MV4" s="75">
        <v>70</v>
      </c>
      <c r="MW4" s="75">
        <v>0</v>
      </c>
      <c r="MX4" s="75">
        <v>61</v>
      </c>
      <c r="MY4" s="75">
        <v>85</v>
      </c>
      <c r="MZ4" s="75">
        <v>98</v>
      </c>
      <c r="NA4" s="75">
        <v>87</v>
      </c>
      <c r="NB4" s="75">
        <v>88</v>
      </c>
      <c r="NC4" s="75">
        <v>101</v>
      </c>
      <c r="ND4" s="75">
        <v>30</v>
      </c>
      <c r="NE4" s="75">
        <v>102</v>
      </c>
      <c r="NF4" s="75">
        <v>107</v>
      </c>
      <c r="NG4" s="75">
        <v>70</v>
      </c>
      <c r="NH4" s="75">
        <v>90</v>
      </c>
      <c r="NI4" s="75">
        <v>97</v>
      </c>
      <c r="NJ4" s="75">
        <v>85</v>
      </c>
      <c r="NK4" s="75">
        <v>26</v>
      </c>
      <c r="NL4" s="75">
        <v>98</v>
      </c>
      <c r="NM4" s="75">
        <v>90</v>
      </c>
      <c r="NN4" s="75">
        <v>103</v>
      </c>
      <c r="NO4" s="75">
        <v>97</v>
      </c>
      <c r="NP4" s="75">
        <v>110</v>
      </c>
      <c r="NQ4" s="75">
        <v>155</v>
      </c>
      <c r="NR4" s="75">
        <v>53</v>
      </c>
      <c r="NS4" s="75">
        <v>131</v>
      </c>
      <c r="NT4" s="75">
        <v>122</v>
      </c>
      <c r="NU4" s="75">
        <v>132</v>
      </c>
      <c r="NV4" s="75">
        <v>124</v>
      </c>
      <c r="NW4" s="75">
        <v>119</v>
      </c>
      <c r="NX4" s="75">
        <v>89</v>
      </c>
      <c r="NY4" s="75">
        <v>52</v>
      </c>
      <c r="NZ4" s="75">
        <v>103</v>
      </c>
      <c r="OA4" s="75">
        <v>96</v>
      </c>
      <c r="OB4" s="75">
        <v>111</v>
      </c>
      <c r="OC4" s="75">
        <v>119</v>
      </c>
      <c r="OD4" s="75">
        <v>131</v>
      </c>
      <c r="OE4" s="75">
        <v>112</v>
      </c>
      <c r="OF4" s="75">
        <v>50</v>
      </c>
      <c r="OG4" s="75">
        <v>126</v>
      </c>
      <c r="OH4" s="75">
        <v>131</v>
      </c>
      <c r="OI4" s="75">
        <v>114</v>
      </c>
      <c r="OJ4" s="75">
        <v>92</v>
      </c>
      <c r="OK4" s="75">
        <v>91</v>
      </c>
      <c r="OL4" s="75">
        <v>106</v>
      </c>
      <c r="OM4" s="75">
        <v>53</v>
      </c>
      <c r="ON4" s="75">
        <v>95</v>
      </c>
      <c r="OO4" s="75">
        <v>112</v>
      </c>
      <c r="OP4" s="75">
        <v>134</v>
      </c>
      <c r="OQ4" s="75">
        <v>126</v>
      </c>
      <c r="OR4" s="75">
        <v>103</v>
      </c>
      <c r="OS4" s="75">
        <v>68</v>
      </c>
      <c r="OT4" s="75">
        <v>47</v>
      </c>
      <c r="OU4" s="75">
        <v>76</v>
      </c>
      <c r="OV4" s="75">
        <v>78</v>
      </c>
      <c r="OW4" s="75">
        <v>42</v>
      </c>
      <c r="OX4" s="75">
        <v>46</v>
      </c>
      <c r="OY4" s="75">
        <v>23</v>
      </c>
      <c r="OZ4" s="75">
        <v>33</v>
      </c>
      <c r="PA4" s="75">
        <v>41</v>
      </c>
      <c r="PB4" s="75">
        <v>61</v>
      </c>
      <c r="PC4" s="75">
        <v>80</v>
      </c>
      <c r="PD4" s="75">
        <v>73</v>
      </c>
      <c r="PE4" s="75">
        <v>60</v>
      </c>
      <c r="PF4" s="75">
        <v>53</v>
      </c>
      <c r="PG4" s="75">
        <v>62</v>
      </c>
      <c r="PH4" s="75">
        <v>51</v>
      </c>
      <c r="PI4" s="75">
        <v>80</v>
      </c>
      <c r="PJ4" s="75">
        <v>69</v>
      </c>
      <c r="PK4" s="75">
        <v>78</v>
      </c>
      <c r="PL4" s="75">
        <v>55</v>
      </c>
      <c r="PM4" s="75">
        <v>40</v>
      </c>
      <c r="PN4" s="75">
        <v>41</v>
      </c>
      <c r="PO4" s="75">
        <v>16</v>
      </c>
      <c r="PP4" s="75">
        <v>58</v>
      </c>
      <c r="PQ4" s="75">
        <v>65</v>
      </c>
      <c r="PR4" s="75">
        <v>55</v>
      </c>
      <c r="PS4" s="75">
        <v>48</v>
      </c>
      <c r="PT4" s="75">
        <v>51</v>
      </c>
      <c r="PU4" s="75">
        <v>50</v>
      </c>
      <c r="PV4" s="75">
        <v>13</v>
      </c>
      <c r="PW4" s="75">
        <v>58</v>
      </c>
      <c r="PX4" s="75">
        <v>35</v>
      </c>
      <c r="PY4" s="75">
        <v>36</v>
      </c>
      <c r="PZ4" s="75">
        <v>30</v>
      </c>
      <c r="QA4" s="75">
        <v>32</v>
      </c>
      <c r="QB4" s="75">
        <v>34</v>
      </c>
      <c r="QC4" s="75">
        <v>12</v>
      </c>
      <c r="QD4" s="75">
        <v>20</v>
      </c>
      <c r="QE4" s="75">
        <v>20</v>
      </c>
      <c r="QF4" s="75">
        <v>24</v>
      </c>
      <c r="QG4" s="75">
        <v>24</v>
      </c>
      <c r="QH4" s="75">
        <v>26</v>
      </c>
      <c r="QI4" s="75">
        <v>23</v>
      </c>
      <c r="QJ4" s="75">
        <v>0</v>
      </c>
      <c r="QK4" s="75">
        <v>20</v>
      </c>
      <c r="QL4" s="75">
        <v>10</v>
      </c>
      <c r="QM4" s="75">
        <v>17</v>
      </c>
      <c r="QN4" s="75">
        <v>37</v>
      </c>
      <c r="QO4" s="75">
        <v>37</v>
      </c>
      <c r="QP4" s="75">
        <v>39</v>
      </c>
      <c r="QQ4" s="75">
        <v>0</v>
      </c>
      <c r="QR4" s="75">
        <v>46</v>
      </c>
      <c r="QS4" s="75">
        <v>45</v>
      </c>
      <c r="QT4" s="75">
        <v>39</v>
      </c>
      <c r="QU4" s="75">
        <v>23</v>
      </c>
      <c r="QV4" s="75">
        <v>31</v>
      </c>
      <c r="QW4" s="75">
        <v>31</v>
      </c>
      <c r="QX4" s="75">
        <v>0</v>
      </c>
      <c r="QY4" s="75">
        <v>28</v>
      </c>
      <c r="QZ4" s="75">
        <v>30</v>
      </c>
      <c r="RA4" s="75">
        <v>21</v>
      </c>
      <c r="RB4" s="75">
        <v>9</v>
      </c>
      <c r="RC4" s="75">
        <v>9</v>
      </c>
      <c r="RD4" s="75">
        <v>7</v>
      </c>
      <c r="RE4" s="75">
        <v>0</v>
      </c>
      <c r="RF4" s="75">
        <v>3</v>
      </c>
      <c r="RG4" s="75">
        <v>3</v>
      </c>
      <c r="RH4" s="75">
        <v>4</v>
      </c>
      <c r="RI4" s="75">
        <v>14</v>
      </c>
      <c r="RJ4" s="75">
        <v>14</v>
      </c>
      <c r="RK4" s="75">
        <v>16</v>
      </c>
      <c r="RL4" s="75">
        <v>0</v>
      </c>
      <c r="RM4" s="75">
        <v>25</v>
      </c>
      <c r="RN4" s="75">
        <v>28</v>
      </c>
      <c r="RO4" s="75">
        <v>21</v>
      </c>
      <c r="RP4" s="75">
        <v>32</v>
      </c>
      <c r="RQ4" s="75">
        <v>30</v>
      </c>
      <c r="RR4" s="75">
        <v>20</v>
      </c>
      <c r="RS4" s="75">
        <v>0</v>
      </c>
      <c r="RT4" s="75">
        <v>16</v>
      </c>
      <c r="RU4" s="75">
        <v>16</v>
      </c>
      <c r="RV4" s="75">
        <v>16</v>
      </c>
      <c r="RW4" s="75">
        <v>16</v>
      </c>
      <c r="RX4" s="75">
        <v>16</v>
      </c>
      <c r="RY4" s="75">
        <v>16</v>
      </c>
      <c r="RZ4" s="75">
        <v>0</v>
      </c>
      <c r="SA4" s="75">
        <v>13</v>
      </c>
      <c r="SB4" s="75">
        <v>10</v>
      </c>
      <c r="SC4" s="75">
        <v>10</v>
      </c>
      <c r="SD4" s="75">
        <v>10</v>
      </c>
      <c r="SE4" s="75">
        <v>10</v>
      </c>
      <c r="SF4" s="75">
        <v>8</v>
      </c>
      <c r="SG4" s="75">
        <v>0</v>
      </c>
      <c r="SH4" s="75">
        <v>0</v>
      </c>
      <c r="SI4" s="75">
        <v>0</v>
      </c>
      <c r="SJ4" s="75">
        <v>0</v>
      </c>
      <c r="SK4" s="75">
        <v>2</v>
      </c>
      <c r="SL4" s="75">
        <v>10</v>
      </c>
      <c r="SM4" s="75">
        <v>10</v>
      </c>
      <c r="SN4" s="75">
        <v>0</v>
      </c>
      <c r="SO4" s="75">
        <v>10</v>
      </c>
      <c r="SP4" s="75">
        <v>12</v>
      </c>
      <c r="SQ4" s="75">
        <v>20</v>
      </c>
      <c r="SR4" s="75">
        <v>20</v>
      </c>
      <c r="SS4" s="75">
        <v>20</v>
      </c>
      <c r="ST4" s="75">
        <v>21</v>
      </c>
      <c r="SU4" s="75">
        <v>0</v>
      </c>
      <c r="SV4" s="75">
        <v>24</v>
      </c>
      <c r="SW4" s="75">
        <v>24</v>
      </c>
      <c r="SX4" s="75">
        <v>24</v>
      </c>
      <c r="SY4" s="75">
        <v>24</v>
      </c>
      <c r="SZ4" s="75">
        <v>24</v>
      </c>
      <c r="TA4" s="75">
        <v>26</v>
      </c>
      <c r="TB4" s="75">
        <v>0</v>
      </c>
      <c r="TC4" s="75">
        <v>32</v>
      </c>
      <c r="TD4" s="75">
        <v>23</v>
      </c>
      <c r="TE4" s="75">
        <v>20</v>
      </c>
      <c r="TF4" s="75">
        <v>26</v>
      </c>
      <c r="TG4" s="75">
        <v>38</v>
      </c>
      <c r="TH4" s="75">
        <v>30</v>
      </c>
      <c r="TI4" s="75">
        <v>0</v>
      </c>
      <c r="TJ4" s="75">
        <v>30</v>
      </c>
      <c r="TK4" s="75">
        <v>30</v>
      </c>
      <c r="TL4" s="75">
        <v>30</v>
      </c>
      <c r="TM4" s="75">
        <v>30</v>
      </c>
      <c r="TN4" s="75">
        <v>30</v>
      </c>
      <c r="TO4" s="75">
        <v>30</v>
      </c>
      <c r="TP4" s="75">
        <v>0</v>
      </c>
      <c r="TQ4" s="75">
        <v>31</v>
      </c>
      <c r="TR4" s="75">
        <v>42</v>
      </c>
      <c r="TS4" s="75">
        <v>52</v>
      </c>
      <c r="TT4" s="75">
        <v>44</v>
      </c>
      <c r="TU4" s="75">
        <v>44</v>
      </c>
      <c r="TV4" s="75">
        <v>44</v>
      </c>
      <c r="TW4" s="75">
        <v>0</v>
      </c>
      <c r="TX4" s="75">
        <v>38</v>
      </c>
      <c r="TY4" s="75">
        <v>24</v>
      </c>
      <c r="TZ4" s="75">
        <v>23</v>
      </c>
      <c r="UA4" s="75">
        <v>20</v>
      </c>
      <c r="UB4" s="75">
        <v>20</v>
      </c>
      <c r="UC4" s="75">
        <v>20</v>
      </c>
      <c r="UD4" s="75">
        <v>0</v>
      </c>
      <c r="UE4" s="75">
        <v>34</v>
      </c>
      <c r="UF4" s="75">
        <v>39</v>
      </c>
      <c r="UG4" s="75">
        <v>47</v>
      </c>
      <c r="UH4" s="75">
        <v>48</v>
      </c>
      <c r="UI4" s="75">
        <v>43</v>
      </c>
      <c r="UJ4" s="75">
        <v>31</v>
      </c>
      <c r="UK4" s="75">
        <v>0</v>
      </c>
      <c r="UL4" s="75">
        <v>31</v>
      </c>
      <c r="UM4" s="75">
        <v>32</v>
      </c>
      <c r="UN4" s="75">
        <v>35</v>
      </c>
      <c r="UO4" s="75">
        <v>31</v>
      </c>
      <c r="UP4" s="75">
        <v>31</v>
      </c>
      <c r="UQ4" s="75">
        <v>31</v>
      </c>
      <c r="UR4" s="75">
        <v>0</v>
      </c>
      <c r="US4" s="75">
        <v>31</v>
      </c>
      <c r="UT4" s="75">
        <v>31</v>
      </c>
      <c r="UU4" s="75">
        <v>27</v>
      </c>
      <c r="UV4" s="75">
        <v>14</v>
      </c>
      <c r="UW4" s="75">
        <v>12</v>
      </c>
      <c r="UX4" s="75">
        <v>3</v>
      </c>
      <c r="UY4" s="75">
        <v>0</v>
      </c>
      <c r="UZ4" s="75">
        <v>0</v>
      </c>
      <c r="VA4" s="75">
        <v>0</v>
      </c>
      <c r="VB4" s="75">
        <v>0</v>
      </c>
      <c r="VC4" s="75">
        <v>2</v>
      </c>
      <c r="VD4" s="75">
        <v>4</v>
      </c>
      <c r="VE4" s="75">
        <v>4</v>
      </c>
      <c r="VF4" s="75">
        <v>0</v>
      </c>
      <c r="VG4" s="75">
        <v>4</v>
      </c>
      <c r="VH4" s="75">
        <v>8</v>
      </c>
      <c r="VI4" s="75">
        <v>8</v>
      </c>
      <c r="VJ4" s="75">
        <v>10</v>
      </c>
      <c r="VK4" s="75">
        <v>10</v>
      </c>
      <c r="VL4" s="75">
        <v>12</v>
      </c>
      <c r="VM4" s="75">
        <v>0</v>
      </c>
      <c r="VN4" s="75">
        <v>14</v>
      </c>
      <c r="VO4" s="75">
        <v>12</v>
      </c>
      <c r="VP4" s="75">
        <v>10</v>
      </c>
      <c r="VQ4" s="75">
        <v>12</v>
      </c>
      <c r="VR4" s="75">
        <v>12</v>
      </c>
      <c r="VS4" s="75">
        <v>8</v>
      </c>
      <c r="VT4" s="75">
        <v>0</v>
      </c>
      <c r="VU4" s="75">
        <v>7</v>
      </c>
      <c r="VV4" s="75">
        <v>6</v>
      </c>
      <c r="VW4" s="75">
        <v>6</v>
      </c>
      <c r="VX4" s="75">
        <v>2</v>
      </c>
      <c r="VY4" s="75">
        <v>0</v>
      </c>
      <c r="VZ4" s="75">
        <v>1</v>
      </c>
      <c r="WA4" s="75">
        <v>0</v>
      </c>
      <c r="WB4" s="75">
        <v>4</v>
      </c>
      <c r="WC4" s="75">
        <v>4</v>
      </c>
      <c r="WD4" s="75">
        <v>4</v>
      </c>
      <c r="WE4" s="75">
        <v>4</v>
      </c>
      <c r="WF4" s="75">
        <v>4</v>
      </c>
      <c r="WG4" s="75">
        <v>4</v>
      </c>
      <c r="WH4" s="75">
        <v>0</v>
      </c>
      <c r="WI4" s="75">
        <v>4</v>
      </c>
      <c r="WJ4" s="75">
        <v>4</v>
      </c>
      <c r="WK4" s="75">
        <v>4</v>
      </c>
      <c r="WL4" s="75">
        <v>3</v>
      </c>
      <c r="WM4" s="75">
        <v>0</v>
      </c>
      <c r="WN4" s="75">
        <v>0</v>
      </c>
      <c r="WO4" s="75">
        <v>0</v>
      </c>
      <c r="WP4" s="75">
        <v>0</v>
      </c>
      <c r="WQ4" s="75">
        <v>0</v>
      </c>
      <c r="WR4" s="75">
        <v>0</v>
      </c>
      <c r="WS4" s="75">
        <v>0</v>
      </c>
      <c r="WT4" s="75">
        <v>0</v>
      </c>
      <c r="WU4" s="75">
        <v>0</v>
      </c>
      <c r="WV4" s="75">
        <v>0</v>
      </c>
      <c r="WW4" s="75">
        <v>0</v>
      </c>
      <c r="WX4" s="75">
        <v>0</v>
      </c>
      <c r="WY4" s="75">
        <v>0</v>
      </c>
      <c r="WZ4" s="75">
        <v>0</v>
      </c>
      <c r="XA4" s="75">
        <v>0</v>
      </c>
      <c r="XB4" s="75">
        <v>0</v>
      </c>
      <c r="XC4" s="75">
        <v>0</v>
      </c>
      <c r="XD4" s="75">
        <v>0</v>
      </c>
      <c r="XE4" s="75">
        <v>0</v>
      </c>
      <c r="XF4" s="75">
        <v>0</v>
      </c>
      <c r="XG4" s="75">
        <v>0</v>
      </c>
      <c r="XH4" s="75">
        <v>0</v>
      </c>
      <c r="XI4" s="75">
        <v>0</v>
      </c>
      <c r="XJ4" s="75">
        <v>0</v>
      </c>
      <c r="XK4" s="75">
        <v>0</v>
      </c>
      <c r="XL4" s="75">
        <v>0</v>
      </c>
      <c r="XM4" s="75">
        <v>0</v>
      </c>
      <c r="XN4" s="75">
        <v>0</v>
      </c>
      <c r="XO4" s="75">
        <v>0</v>
      </c>
      <c r="XP4" s="75">
        <v>0</v>
      </c>
      <c r="XQ4" s="75">
        <v>0</v>
      </c>
      <c r="XR4" s="75">
        <v>0</v>
      </c>
      <c r="XS4" s="75">
        <v>0</v>
      </c>
      <c r="XT4" s="75">
        <v>0</v>
      </c>
      <c r="XU4" s="75">
        <v>0</v>
      </c>
      <c r="XV4" s="75">
        <v>0</v>
      </c>
      <c r="XW4" s="75">
        <v>0</v>
      </c>
      <c r="XX4" s="75">
        <v>0</v>
      </c>
      <c r="XY4" s="75">
        <v>0</v>
      </c>
      <c r="XZ4" s="75">
        <v>0</v>
      </c>
      <c r="YA4" s="75">
        <v>0</v>
      </c>
      <c r="YB4" s="75">
        <v>0</v>
      </c>
      <c r="YC4" s="75">
        <v>0</v>
      </c>
      <c r="YD4" s="75">
        <v>0</v>
      </c>
      <c r="YE4" s="75">
        <v>0</v>
      </c>
      <c r="YF4" s="75">
        <v>0</v>
      </c>
      <c r="YG4" s="75">
        <v>0</v>
      </c>
      <c r="YH4" s="75">
        <v>0</v>
      </c>
      <c r="YI4" s="75">
        <v>0</v>
      </c>
      <c r="YJ4" s="75">
        <v>0</v>
      </c>
      <c r="YK4" s="75">
        <v>0</v>
      </c>
      <c r="YL4" s="75">
        <v>0</v>
      </c>
      <c r="YM4" s="75">
        <v>0</v>
      </c>
      <c r="YN4" s="75">
        <v>0</v>
      </c>
      <c r="YO4" s="75">
        <v>0</v>
      </c>
      <c r="YP4" s="75">
        <v>0</v>
      </c>
      <c r="YQ4" s="75">
        <v>0</v>
      </c>
      <c r="YR4" s="75">
        <v>0</v>
      </c>
      <c r="YS4" s="75">
        <v>0</v>
      </c>
      <c r="YT4" s="75">
        <v>0</v>
      </c>
      <c r="YU4" s="75">
        <v>0</v>
      </c>
      <c r="YV4" s="75">
        <v>0</v>
      </c>
      <c r="YW4" s="75">
        <v>0</v>
      </c>
      <c r="YX4" s="75">
        <v>0</v>
      </c>
      <c r="YY4" s="75">
        <v>0</v>
      </c>
      <c r="YZ4" s="75">
        <v>0</v>
      </c>
      <c r="ZA4" s="75">
        <v>0</v>
      </c>
      <c r="ZB4" s="75">
        <v>0</v>
      </c>
      <c r="ZC4" s="75">
        <v>0</v>
      </c>
      <c r="ZD4" s="75">
        <v>0</v>
      </c>
      <c r="ZE4" s="75">
        <v>0</v>
      </c>
      <c r="ZF4" s="75">
        <v>0</v>
      </c>
      <c r="ZG4" s="75">
        <v>0</v>
      </c>
      <c r="ZH4" s="75">
        <v>0</v>
      </c>
      <c r="ZI4" s="75">
        <v>0</v>
      </c>
      <c r="ZJ4" s="75">
        <v>0</v>
      </c>
      <c r="ZK4" s="75">
        <v>0</v>
      </c>
      <c r="ZL4" s="75">
        <v>0</v>
      </c>
      <c r="ZM4" s="75">
        <v>0</v>
      </c>
      <c r="ZN4" s="75">
        <v>0</v>
      </c>
      <c r="ZO4" s="75">
        <v>0</v>
      </c>
      <c r="ZP4" s="75">
        <v>0</v>
      </c>
      <c r="ZQ4" s="75">
        <v>0</v>
      </c>
      <c r="ZR4" s="75">
        <v>0</v>
      </c>
      <c r="ZS4" s="75">
        <v>0</v>
      </c>
      <c r="ZT4" s="75">
        <v>0</v>
      </c>
      <c r="ZU4" s="75">
        <v>0</v>
      </c>
      <c r="ZV4" s="75">
        <v>0</v>
      </c>
      <c r="ZW4" s="75">
        <v>0</v>
      </c>
      <c r="ZX4" s="75">
        <v>0</v>
      </c>
      <c r="ZY4" s="75">
        <v>0</v>
      </c>
      <c r="ZZ4" s="75">
        <v>0</v>
      </c>
      <c r="AAA4" s="75">
        <v>0</v>
      </c>
      <c r="AAB4" s="75">
        <v>0</v>
      </c>
      <c r="AAC4" s="75">
        <v>0</v>
      </c>
      <c r="AAD4" s="75">
        <v>0</v>
      </c>
      <c r="AAE4" s="75">
        <v>0</v>
      </c>
      <c r="AAF4" s="75">
        <v>0</v>
      </c>
      <c r="AAG4" s="75">
        <v>0</v>
      </c>
      <c r="AAH4" s="75">
        <v>0</v>
      </c>
      <c r="AAI4" s="75">
        <v>0</v>
      </c>
      <c r="AAJ4" s="75">
        <v>0</v>
      </c>
      <c r="AAK4" s="75">
        <v>0</v>
      </c>
      <c r="AAL4" s="75">
        <v>0</v>
      </c>
      <c r="AAM4" s="75">
        <v>0</v>
      </c>
      <c r="AAN4" s="75">
        <v>0</v>
      </c>
      <c r="AAO4" s="75">
        <v>0</v>
      </c>
      <c r="AAP4" s="75">
        <v>0</v>
      </c>
      <c r="AAQ4" s="75">
        <v>0</v>
      </c>
      <c r="AAR4" s="75">
        <v>0</v>
      </c>
      <c r="AAS4" s="75">
        <v>0</v>
      </c>
      <c r="AAT4" s="75">
        <v>0</v>
      </c>
      <c r="AAU4" s="75">
        <v>0</v>
      </c>
      <c r="AAV4" s="75">
        <v>0</v>
      </c>
      <c r="AAW4" s="75">
        <v>0</v>
      </c>
      <c r="AAX4" s="75">
        <v>0</v>
      </c>
      <c r="AAY4" s="75">
        <v>0</v>
      </c>
      <c r="AAZ4" s="75">
        <v>0</v>
      </c>
      <c r="ABA4" s="75">
        <v>0</v>
      </c>
      <c r="ABB4" s="75">
        <v>0</v>
      </c>
      <c r="ABC4" s="75">
        <v>0</v>
      </c>
    </row>
    <row r="5" spans="1:731">
      <c r="A5" s="75" t="s">
        <v>42</v>
      </c>
      <c r="B5" s="75">
        <v>0</v>
      </c>
      <c r="C5" s="75">
        <v>0</v>
      </c>
      <c r="D5" s="75">
        <v>0</v>
      </c>
      <c r="E5" s="75">
        <v>0</v>
      </c>
      <c r="F5" s="75">
        <v>0</v>
      </c>
      <c r="G5" s="75">
        <v>0</v>
      </c>
      <c r="H5" s="75">
        <v>0</v>
      </c>
      <c r="I5" s="75">
        <v>0</v>
      </c>
      <c r="J5" s="75">
        <v>0</v>
      </c>
      <c r="K5" s="75">
        <v>2</v>
      </c>
      <c r="L5" s="75">
        <v>2</v>
      </c>
      <c r="M5" s="75">
        <v>2</v>
      </c>
      <c r="N5" s="75">
        <v>2</v>
      </c>
      <c r="O5" s="75">
        <v>2</v>
      </c>
      <c r="P5" s="75">
        <v>2</v>
      </c>
      <c r="Q5" s="75">
        <v>2</v>
      </c>
      <c r="R5" s="75">
        <v>2</v>
      </c>
      <c r="S5" s="75">
        <v>2</v>
      </c>
      <c r="T5" s="75">
        <v>2</v>
      </c>
      <c r="U5" s="75">
        <v>2</v>
      </c>
      <c r="V5" s="75">
        <v>2</v>
      </c>
      <c r="W5" s="75">
        <v>2</v>
      </c>
      <c r="X5" s="75">
        <v>2</v>
      </c>
      <c r="Y5" s="75">
        <v>2</v>
      </c>
      <c r="Z5" s="75">
        <v>2</v>
      </c>
      <c r="AA5" s="75">
        <v>2</v>
      </c>
      <c r="AB5" s="75">
        <v>2</v>
      </c>
      <c r="AC5" s="75">
        <v>2</v>
      </c>
      <c r="AD5" s="75">
        <v>2</v>
      </c>
      <c r="AE5" s="75">
        <v>2</v>
      </c>
      <c r="AF5" s="75">
        <v>2</v>
      </c>
      <c r="AG5" s="75">
        <v>2</v>
      </c>
      <c r="AH5" s="75">
        <v>2</v>
      </c>
      <c r="AI5" s="75">
        <v>2</v>
      </c>
      <c r="AJ5" s="75">
        <v>2</v>
      </c>
      <c r="AK5" s="75">
        <v>0</v>
      </c>
      <c r="AL5" s="75">
        <v>0</v>
      </c>
      <c r="AM5" s="75">
        <v>0</v>
      </c>
      <c r="AN5" s="75">
        <v>0</v>
      </c>
      <c r="AO5" s="75">
        <v>0</v>
      </c>
      <c r="AP5" s="75">
        <v>0</v>
      </c>
      <c r="AQ5" s="75">
        <v>0</v>
      </c>
      <c r="AR5" s="75">
        <v>0</v>
      </c>
      <c r="AS5" s="75">
        <v>0</v>
      </c>
      <c r="AT5" s="75">
        <v>0</v>
      </c>
      <c r="AU5" s="75">
        <v>0</v>
      </c>
      <c r="AV5" s="75">
        <v>0</v>
      </c>
      <c r="AW5" s="75">
        <v>0</v>
      </c>
      <c r="AX5" s="75">
        <v>0</v>
      </c>
      <c r="AY5" s="75">
        <v>0</v>
      </c>
      <c r="AZ5" s="75">
        <v>0</v>
      </c>
      <c r="BA5" s="75">
        <v>0</v>
      </c>
      <c r="BB5" s="75">
        <v>0</v>
      </c>
      <c r="BC5" s="75">
        <v>0</v>
      </c>
      <c r="BD5" s="75">
        <v>0</v>
      </c>
      <c r="BE5" s="75">
        <v>0</v>
      </c>
      <c r="BF5" s="75">
        <v>0</v>
      </c>
      <c r="BG5" s="75">
        <v>0</v>
      </c>
      <c r="BH5" s="75">
        <v>0</v>
      </c>
      <c r="BI5" s="75">
        <v>0</v>
      </c>
      <c r="BJ5" s="75">
        <v>0</v>
      </c>
      <c r="BK5" s="75">
        <v>0</v>
      </c>
      <c r="BL5" s="75">
        <v>0</v>
      </c>
      <c r="BM5" s="75">
        <v>0</v>
      </c>
      <c r="BN5" s="75">
        <v>0</v>
      </c>
      <c r="BO5" s="75">
        <v>0</v>
      </c>
      <c r="BP5" s="75">
        <v>0</v>
      </c>
      <c r="BQ5" s="75">
        <v>0</v>
      </c>
      <c r="BR5" s="75">
        <v>0</v>
      </c>
      <c r="BS5" s="75">
        <v>0</v>
      </c>
      <c r="BT5" s="75">
        <v>0</v>
      </c>
      <c r="BU5" s="75">
        <v>0</v>
      </c>
      <c r="BV5" s="75">
        <v>0</v>
      </c>
      <c r="BW5" s="75">
        <v>0</v>
      </c>
      <c r="BX5" s="75">
        <v>0</v>
      </c>
      <c r="BY5" s="75">
        <v>0</v>
      </c>
      <c r="BZ5" s="75">
        <v>0</v>
      </c>
      <c r="CA5" s="75">
        <v>0</v>
      </c>
      <c r="CB5" s="75">
        <v>0</v>
      </c>
      <c r="CC5" s="75">
        <v>0</v>
      </c>
      <c r="CD5" s="75">
        <v>0</v>
      </c>
      <c r="CE5" s="75">
        <v>0</v>
      </c>
      <c r="CF5" s="75">
        <v>0</v>
      </c>
      <c r="CG5" s="75">
        <v>0</v>
      </c>
      <c r="CH5" s="75">
        <v>0</v>
      </c>
      <c r="CI5" s="75">
        <v>0</v>
      </c>
      <c r="CJ5" s="75">
        <v>0</v>
      </c>
      <c r="CK5" s="75">
        <v>0</v>
      </c>
      <c r="CL5" s="75">
        <v>12</v>
      </c>
      <c r="CM5" s="75">
        <v>12</v>
      </c>
      <c r="CN5" s="75">
        <v>12</v>
      </c>
      <c r="CO5" s="75">
        <v>12</v>
      </c>
      <c r="CP5" s="75">
        <v>12</v>
      </c>
      <c r="CQ5" s="75">
        <v>0</v>
      </c>
      <c r="CR5" s="75">
        <v>12</v>
      </c>
      <c r="CS5" s="75">
        <v>12</v>
      </c>
      <c r="CT5" s="75">
        <v>12</v>
      </c>
      <c r="CU5" s="75">
        <v>12</v>
      </c>
      <c r="CV5" s="75">
        <v>12</v>
      </c>
      <c r="CW5" s="75">
        <v>12</v>
      </c>
      <c r="CX5" s="75">
        <v>0</v>
      </c>
      <c r="CY5" s="75">
        <v>12</v>
      </c>
      <c r="CZ5" s="75">
        <v>4</v>
      </c>
      <c r="DA5" s="75">
        <v>4</v>
      </c>
      <c r="DB5" s="75">
        <v>8</v>
      </c>
      <c r="DC5" s="75">
        <v>8</v>
      </c>
      <c r="DD5" s="75">
        <v>8</v>
      </c>
      <c r="DE5" s="75">
        <v>0</v>
      </c>
      <c r="DF5" s="75">
        <v>8</v>
      </c>
      <c r="DG5" s="75">
        <v>8</v>
      </c>
      <c r="DH5" s="75">
        <v>8</v>
      </c>
      <c r="DI5" s="75">
        <v>4</v>
      </c>
      <c r="DJ5" s="75">
        <v>4</v>
      </c>
      <c r="DK5" s="75">
        <v>4</v>
      </c>
      <c r="DL5" s="75">
        <v>0</v>
      </c>
      <c r="DM5" s="75">
        <v>4</v>
      </c>
      <c r="DN5" s="75">
        <v>0</v>
      </c>
      <c r="DO5" s="75">
        <v>14</v>
      </c>
      <c r="DP5" s="75">
        <v>14</v>
      </c>
      <c r="DQ5" s="75">
        <v>14</v>
      </c>
      <c r="DR5" s="75">
        <v>14</v>
      </c>
      <c r="DS5" s="75">
        <v>0</v>
      </c>
      <c r="DT5" s="75">
        <v>14</v>
      </c>
      <c r="DU5" s="75">
        <v>14</v>
      </c>
      <c r="DV5" s="75">
        <v>12</v>
      </c>
      <c r="DW5" s="75">
        <v>12</v>
      </c>
      <c r="DX5" s="75">
        <v>12</v>
      </c>
      <c r="DY5" s="75">
        <v>12</v>
      </c>
      <c r="DZ5" s="75">
        <v>0</v>
      </c>
      <c r="EA5" s="75">
        <v>12</v>
      </c>
      <c r="EB5" s="75">
        <v>12</v>
      </c>
      <c r="EC5" s="75">
        <v>0</v>
      </c>
      <c r="ED5" s="75">
        <v>0</v>
      </c>
      <c r="EE5" s="75">
        <v>5</v>
      </c>
      <c r="EF5" s="75">
        <v>9</v>
      </c>
      <c r="EG5" s="75">
        <v>0</v>
      </c>
      <c r="EH5" s="75">
        <v>9</v>
      </c>
      <c r="EI5" s="75">
        <v>9</v>
      </c>
      <c r="EJ5" s="75">
        <v>9</v>
      </c>
      <c r="EK5" s="75">
        <v>9</v>
      </c>
      <c r="EL5" s="75">
        <v>14</v>
      </c>
      <c r="EM5" s="75">
        <v>14</v>
      </c>
      <c r="EN5" s="75">
        <v>0</v>
      </c>
      <c r="EO5" s="75">
        <v>14</v>
      </c>
      <c r="EP5" s="75">
        <v>14</v>
      </c>
      <c r="EQ5" s="75">
        <v>14</v>
      </c>
      <c r="ER5" s="75">
        <v>10</v>
      </c>
      <c r="ES5" s="75">
        <v>5</v>
      </c>
      <c r="ET5" s="75">
        <v>7</v>
      </c>
      <c r="EU5" s="75">
        <v>0</v>
      </c>
      <c r="EV5" s="75">
        <v>7</v>
      </c>
      <c r="EW5" s="75">
        <v>7</v>
      </c>
      <c r="EX5" s="75">
        <v>7</v>
      </c>
      <c r="EY5" s="75">
        <v>7</v>
      </c>
      <c r="EZ5" s="75">
        <v>2</v>
      </c>
      <c r="FA5" s="75">
        <v>2</v>
      </c>
      <c r="FB5" s="75">
        <v>0</v>
      </c>
      <c r="FC5" s="75">
        <v>2</v>
      </c>
      <c r="FD5" s="75">
        <v>0</v>
      </c>
      <c r="FE5" s="75">
        <v>0</v>
      </c>
      <c r="FF5" s="75">
        <v>1</v>
      </c>
      <c r="FG5" s="75">
        <v>2</v>
      </c>
      <c r="FH5" s="75">
        <v>2</v>
      </c>
      <c r="FI5" s="75">
        <v>0</v>
      </c>
      <c r="FJ5" s="75">
        <v>2</v>
      </c>
      <c r="FK5" s="75">
        <v>2</v>
      </c>
      <c r="FL5" s="75">
        <v>2</v>
      </c>
      <c r="FM5" s="75">
        <v>2</v>
      </c>
      <c r="FN5" s="75">
        <v>2</v>
      </c>
      <c r="FO5" s="75">
        <v>2</v>
      </c>
      <c r="FP5" s="75">
        <v>0</v>
      </c>
      <c r="FQ5" s="75">
        <v>2</v>
      </c>
      <c r="FR5" s="75">
        <v>1</v>
      </c>
      <c r="FS5" s="75">
        <v>1</v>
      </c>
      <c r="FT5" s="75">
        <v>4</v>
      </c>
      <c r="FU5" s="75">
        <v>4</v>
      </c>
      <c r="FV5" s="75">
        <v>4</v>
      </c>
      <c r="FW5" s="75">
        <v>0</v>
      </c>
      <c r="FX5" s="75">
        <v>6</v>
      </c>
      <c r="FY5" s="75">
        <v>6</v>
      </c>
      <c r="FZ5" s="75">
        <v>6</v>
      </c>
      <c r="GA5" s="75">
        <v>6</v>
      </c>
      <c r="GB5" s="75">
        <v>6</v>
      </c>
      <c r="GC5" s="75">
        <v>3</v>
      </c>
      <c r="GD5" s="75">
        <v>0</v>
      </c>
      <c r="GE5" s="75">
        <v>2</v>
      </c>
      <c r="GF5" s="75">
        <v>2</v>
      </c>
      <c r="GG5" s="75">
        <v>2</v>
      </c>
      <c r="GH5" s="75">
        <v>2</v>
      </c>
      <c r="GI5" s="75">
        <v>0</v>
      </c>
      <c r="GJ5" s="75">
        <v>1</v>
      </c>
      <c r="GK5" s="75">
        <v>0</v>
      </c>
      <c r="GL5" s="75">
        <v>11</v>
      </c>
      <c r="GM5" s="75">
        <v>11</v>
      </c>
      <c r="GN5" s="75">
        <v>11</v>
      </c>
      <c r="GO5" s="75">
        <v>11</v>
      </c>
      <c r="GP5" s="75">
        <v>2</v>
      </c>
      <c r="GQ5" s="75">
        <v>12</v>
      </c>
      <c r="GR5" s="75">
        <v>0</v>
      </c>
      <c r="GS5" s="75">
        <v>14</v>
      </c>
      <c r="GT5" s="75">
        <v>14</v>
      </c>
      <c r="GU5" s="75">
        <v>14</v>
      </c>
      <c r="GV5" s="75">
        <v>14</v>
      </c>
      <c r="GW5" s="75">
        <v>4</v>
      </c>
      <c r="GX5" s="75">
        <v>2</v>
      </c>
      <c r="GY5" s="75">
        <v>0</v>
      </c>
      <c r="GZ5" s="75">
        <v>0</v>
      </c>
      <c r="HA5" s="75">
        <v>0</v>
      </c>
      <c r="HB5" s="75">
        <v>3</v>
      </c>
      <c r="HC5" s="75">
        <v>4</v>
      </c>
      <c r="HD5" s="75">
        <v>4</v>
      </c>
      <c r="HE5" s="75">
        <v>4</v>
      </c>
      <c r="HF5" s="75">
        <v>0</v>
      </c>
      <c r="HG5" s="75">
        <v>4</v>
      </c>
      <c r="HH5" s="75">
        <v>1</v>
      </c>
      <c r="HI5" s="75">
        <v>0</v>
      </c>
      <c r="HJ5" s="75">
        <v>0</v>
      </c>
      <c r="HK5" s="75">
        <v>0</v>
      </c>
      <c r="HL5" s="75">
        <v>0</v>
      </c>
      <c r="HM5" s="75">
        <v>0</v>
      </c>
      <c r="HN5" s="75">
        <v>0</v>
      </c>
      <c r="HO5" s="75">
        <v>0</v>
      </c>
      <c r="HP5" s="75">
        <v>0</v>
      </c>
      <c r="HQ5" s="75">
        <v>0</v>
      </c>
      <c r="HR5" s="75">
        <v>0</v>
      </c>
      <c r="HS5" s="75">
        <v>0</v>
      </c>
      <c r="HT5" s="75">
        <v>0</v>
      </c>
      <c r="HU5" s="75">
        <v>18</v>
      </c>
      <c r="HV5" s="75">
        <v>20</v>
      </c>
      <c r="HW5" s="75">
        <v>27</v>
      </c>
      <c r="HX5" s="75">
        <v>29</v>
      </c>
      <c r="HY5" s="75">
        <v>27</v>
      </c>
      <c r="HZ5" s="75">
        <v>9</v>
      </c>
      <c r="IA5" s="75">
        <v>0</v>
      </c>
      <c r="IB5" s="75">
        <v>16</v>
      </c>
      <c r="IC5" s="75">
        <v>9</v>
      </c>
      <c r="ID5" s="75">
        <v>9</v>
      </c>
      <c r="IE5" s="75">
        <v>11</v>
      </c>
      <c r="IF5" s="75">
        <v>13</v>
      </c>
      <c r="IG5" s="75">
        <v>6</v>
      </c>
      <c r="IH5" s="75">
        <v>0</v>
      </c>
      <c r="II5" s="75">
        <v>6</v>
      </c>
      <c r="IJ5" s="75">
        <v>6</v>
      </c>
      <c r="IK5" s="75">
        <v>6</v>
      </c>
      <c r="IL5" s="75">
        <v>11</v>
      </c>
      <c r="IM5" s="75">
        <v>19</v>
      </c>
      <c r="IN5" s="75">
        <v>25</v>
      </c>
      <c r="IO5" s="75">
        <v>0</v>
      </c>
      <c r="IP5" s="75">
        <v>33</v>
      </c>
      <c r="IQ5" s="75">
        <v>35</v>
      </c>
      <c r="IR5" s="75">
        <v>31</v>
      </c>
      <c r="IS5" s="75">
        <v>23</v>
      </c>
      <c r="IT5" s="75">
        <v>16</v>
      </c>
      <c r="IU5" s="75">
        <v>7</v>
      </c>
      <c r="IV5" s="75">
        <v>0</v>
      </c>
      <c r="IW5" s="75">
        <v>5</v>
      </c>
      <c r="IX5" s="75">
        <v>4</v>
      </c>
      <c r="IY5" s="75">
        <v>4</v>
      </c>
      <c r="IZ5" s="75">
        <v>12</v>
      </c>
      <c r="JA5" s="75">
        <v>23</v>
      </c>
      <c r="JB5" s="75">
        <v>23</v>
      </c>
      <c r="JC5" s="75">
        <v>0</v>
      </c>
      <c r="JD5" s="75">
        <v>23</v>
      </c>
      <c r="JE5" s="75">
        <v>23</v>
      </c>
      <c r="JF5" s="75">
        <v>15</v>
      </c>
      <c r="JG5" s="75">
        <v>6</v>
      </c>
      <c r="JH5" s="75">
        <v>8</v>
      </c>
      <c r="JI5" s="75">
        <v>8</v>
      </c>
      <c r="JJ5" s="75">
        <v>4</v>
      </c>
      <c r="JK5" s="75">
        <v>6</v>
      </c>
      <c r="JL5" s="75">
        <v>4</v>
      </c>
      <c r="JM5" s="75">
        <v>8</v>
      </c>
      <c r="JN5" s="75">
        <v>12</v>
      </c>
      <c r="JO5" s="75">
        <v>14</v>
      </c>
      <c r="JP5" s="75">
        <v>14</v>
      </c>
      <c r="JQ5" s="75">
        <v>0</v>
      </c>
      <c r="JR5" s="75">
        <v>0</v>
      </c>
      <c r="JS5" s="75">
        <v>0</v>
      </c>
      <c r="JT5" s="75">
        <v>0</v>
      </c>
      <c r="JU5" s="75">
        <v>0</v>
      </c>
      <c r="JV5" s="75">
        <v>19</v>
      </c>
      <c r="JW5" s="75">
        <v>22</v>
      </c>
      <c r="JX5" s="75">
        <v>0</v>
      </c>
      <c r="JY5" s="75">
        <v>20</v>
      </c>
      <c r="JZ5" s="75">
        <v>19</v>
      </c>
      <c r="KA5" s="75">
        <v>19</v>
      </c>
      <c r="KB5" s="75">
        <v>19</v>
      </c>
      <c r="KC5" s="75">
        <v>24</v>
      </c>
      <c r="KD5" s="75">
        <v>29</v>
      </c>
      <c r="KE5" s="75">
        <v>0</v>
      </c>
      <c r="KF5" s="75">
        <v>26</v>
      </c>
      <c r="KG5" s="75">
        <v>19</v>
      </c>
      <c r="KH5" s="75">
        <v>20</v>
      </c>
      <c r="KI5" s="75">
        <v>25</v>
      </c>
      <c r="KJ5" s="75">
        <v>19</v>
      </c>
      <c r="KK5" s="75">
        <v>12</v>
      </c>
      <c r="KL5" s="75">
        <v>0</v>
      </c>
      <c r="KM5" s="75">
        <v>12</v>
      </c>
      <c r="KN5" s="75">
        <v>12</v>
      </c>
      <c r="KO5" s="75">
        <v>13</v>
      </c>
      <c r="KP5" s="75">
        <v>26</v>
      </c>
      <c r="KQ5" s="75">
        <v>22</v>
      </c>
      <c r="KR5" s="75">
        <v>22</v>
      </c>
      <c r="KS5" s="75">
        <v>0</v>
      </c>
      <c r="KT5" s="75">
        <v>24</v>
      </c>
      <c r="KU5" s="75">
        <v>26</v>
      </c>
      <c r="KV5" s="75">
        <v>13</v>
      </c>
      <c r="KW5" s="75">
        <v>8</v>
      </c>
      <c r="KX5" s="75">
        <v>8</v>
      </c>
      <c r="KY5" s="75">
        <v>10</v>
      </c>
      <c r="KZ5" s="75">
        <v>0</v>
      </c>
      <c r="LA5" s="75">
        <v>12</v>
      </c>
      <c r="LB5" s="75">
        <v>16</v>
      </c>
      <c r="LC5" s="75">
        <v>28</v>
      </c>
      <c r="LD5" s="75">
        <v>37</v>
      </c>
      <c r="LE5" s="75">
        <v>37</v>
      </c>
      <c r="LF5" s="75">
        <v>34</v>
      </c>
      <c r="LG5" s="75">
        <v>0</v>
      </c>
      <c r="LH5" s="75">
        <v>30</v>
      </c>
      <c r="LI5" s="75">
        <v>16</v>
      </c>
      <c r="LJ5" s="75">
        <v>6</v>
      </c>
      <c r="LK5" s="75">
        <v>17</v>
      </c>
      <c r="LL5" s="75">
        <v>19</v>
      </c>
      <c r="LM5" s="75">
        <v>20</v>
      </c>
      <c r="LN5" s="75">
        <v>0</v>
      </c>
      <c r="LO5" s="75">
        <v>20</v>
      </c>
      <c r="LP5" s="75">
        <v>22</v>
      </c>
      <c r="LQ5" s="75">
        <v>13</v>
      </c>
      <c r="LR5" s="75">
        <v>11</v>
      </c>
      <c r="LS5" s="75">
        <v>20</v>
      </c>
      <c r="LT5" s="75">
        <v>25</v>
      </c>
      <c r="LU5" s="75">
        <v>0</v>
      </c>
      <c r="LV5" s="75">
        <v>21</v>
      </c>
      <c r="LW5" s="75">
        <v>22</v>
      </c>
      <c r="LX5" s="75">
        <v>27</v>
      </c>
      <c r="LY5" s="75">
        <v>28</v>
      </c>
      <c r="LZ5" s="75">
        <v>20</v>
      </c>
      <c r="MA5" s="75">
        <v>22</v>
      </c>
      <c r="MB5" s="75">
        <v>0</v>
      </c>
      <c r="MC5" s="75">
        <v>22</v>
      </c>
      <c r="MD5" s="75">
        <v>23</v>
      </c>
      <c r="ME5" s="75">
        <v>21</v>
      </c>
      <c r="MF5" s="75">
        <v>25</v>
      </c>
      <c r="MG5" s="75">
        <v>0</v>
      </c>
      <c r="MH5" s="75">
        <v>0</v>
      </c>
      <c r="MI5" s="75">
        <v>0</v>
      </c>
      <c r="MJ5" s="75">
        <v>0</v>
      </c>
      <c r="MK5" s="75">
        <v>0</v>
      </c>
      <c r="ML5" s="75">
        <v>0</v>
      </c>
      <c r="MM5" s="75">
        <v>47</v>
      </c>
      <c r="MN5" s="75">
        <v>53</v>
      </c>
      <c r="MO5" s="75">
        <v>49</v>
      </c>
      <c r="MP5" s="75">
        <v>4</v>
      </c>
      <c r="MQ5" s="75">
        <v>45</v>
      </c>
      <c r="MR5" s="75">
        <v>36</v>
      </c>
      <c r="MS5" s="75">
        <v>15</v>
      </c>
      <c r="MT5" s="75">
        <v>16</v>
      </c>
      <c r="MU5" s="75">
        <v>32</v>
      </c>
      <c r="MV5" s="75">
        <v>33</v>
      </c>
      <c r="MW5" s="75">
        <v>0</v>
      </c>
      <c r="MX5" s="75">
        <v>58</v>
      </c>
      <c r="MY5" s="75">
        <v>54</v>
      </c>
      <c r="MZ5" s="75">
        <v>55</v>
      </c>
      <c r="NA5" s="75">
        <v>53</v>
      </c>
      <c r="NB5" s="75">
        <v>43</v>
      </c>
      <c r="NC5" s="75">
        <v>22</v>
      </c>
      <c r="ND5" s="75">
        <v>13</v>
      </c>
      <c r="NE5" s="75">
        <v>36</v>
      </c>
      <c r="NF5" s="75">
        <v>62</v>
      </c>
      <c r="NG5" s="75">
        <v>68</v>
      </c>
      <c r="NH5" s="75">
        <v>71</v>
      </c>
      <c r="NI5" s="75">
        <v>73</v>
      </c>
      <c r="NJ5" s="75">
        <v>77</v>
      </c>
      <c r="NK5" s="75">
        <v>22</v>
      </c>
      <c r="NL5" s="75">
        <v>66</v>
      </c>
      <c r="NM5" s="75">
        <v>45</v>
      </c>
      <c r="NN5" s="75">
        <v>43</v>
      </c>
      <c r="NO5" s="75">
        <v>35</v>
      </c>
      <c r="NP5" s="75">
        <v>46</v>
      </c>
      <c r="NQ5" s="75">
        <v>61</v>
      </c>
      <c r="NR5" s="75">
        <v>18</v>
      </c>
      <c r="NS5" s="75">
        <v>49</v>
      </c>
      <c r="NT5" s="75">
        <v>66</v>
      </c>
      <c r="NU5" s="75">
        <v>75</v>
      </c>
      <c r="NV5" s="75">
        <v>59</v>
      </c>
      <c r="NW5" s="75">
        <v>48</v>
      </c>
      <c r="NX5" s="75">
        <v>50</v>
      </c>
      <c r="NY5" s="75">
        <v>21</v>
      </c>
      <c r="NZ5" s="75">
        <v>38</v>
      </c>
      <c r="OA5" s="75">
        <v>33</v>
      </c>
      <c r="OB5" s="75">
        <v>70</v>
      </c>
      <c r="OC5" s="75">
        <v>75</v>
      </c>
      <c r="OD5" s="75">
        <v>66</v>
      </c>
      <c r="OE5" s="75">
        <v>73</v>
      </c>
      <c r="OF5" s="75">
        <v>31</v>
      </c>
      <c r="OG5" s="75">
        <v>73</v>
      </c>
      <c r="OH5" s="75">
        <v>69</v>
      </c>
      <c r="OI5" s="75">
        <v>80</v>
      </c>
      <c r="OJ5" s="75">
        <v>66</v>
      </c>
      <c r="OK5" s="75">
        <v>49</v>
      </c>
      <c r="OL5" s="75">
        <v>32</v>
      </c>
      <c r="OM5" s="75">
        <v>16</v>
      </c>
      <c r="ON5" s="75">
        <v>44</v>
      </c>
      <c r="OO5" s="75">
        <v>57</v>
      </c>
      <c r="OP5" s="75">
        <v>67</v>
      </c>
      <c r="OQ5" s="75">
        <v>65</v>
      </c>
      <c r="OR5" s="75">
        <v>62</v>
      </c>
      <c r="OS5" s="75">
        <v>53</v>
      </c>
      <c r="OT5" s="75">
        <v>29</v>
      </c>
      <c r="OU5" s="75">
        <v>53</v>
      </c>
      <c r="OV5" s="75">
        <v>51</v>
      </c>
      <c r="OW5" s="75">
        <v>51</v>
      </c>
      <c r="OX5" s="75">
        <v>46</v>
      </c>
      <c r="OY5" s="75">
        <v>26</v>
      </c>
      <c r="OZ5" s="75">
        <v>28</v>
      </c>
      <c r="PA5" s="75">
        <v>12</v>
      </c>
      <c r="PB5" s="75">
        <v>36</v>
      </c>
      <c r="PC5" s="75">
        <v>48</v>
      </c>
      <c r="PD5" s="75">
        <v>41</v>
      </c>
      <c r="PE5" s="75">
        <v>41</v>
      </c>
      <c r="PF5" s="75">
        <v>37</v>
      </c>
      <c r="PG5" s="75">
        <v>22</v>
      </c>
      <c r="PH5" s="75">
        <v>11</v>
      </c>
      <c r="PI5" s="75">
        <v>15</v>
      </c>
      <c r="PJ5" s="75">
        <v>35</v>
      </c>
      <c r="PK5" s="75">
        <v>37</v>
      </c>
      <c r="PL5" s="75">
        <v>35</v>
      </c>
      <c r="PM5" s="75">
        <v>37</v>
      </c>
      <c r="PN5" s="75">
        <v>40</v>
      </c>
      <c r="PO5" s="75">
        <v>13</v>
      </c>
      <c r="PP5" s="75">
        <v>28</v>
      </c>
      <c r="PQ5" s="75">
        <v>18</v>
      </c>
      <c r="PR5" s="75">
        <v>15</v>
      </c>
      <c r="PS5" s="75">
        <v>8</v>
      </c>
      <c r="PT5" s="75">
        <v>9</v>
      </c>
      <c r="PU5" s="75">
        <v>12</v>
      </c>
      <c r="PV5" s="75">
        <v>5</v>
      </c>
      <c r="PW5" s="75">
        <v>8</v>
      </c>
      <c r="PX5" s="75">
        <v>11</v>
      </c>
      <c r="PY5" s="75">
        <v>14</v>
      </c>
      <c r="PZ5" s="75">
        <v>14</v>
      </c>
      <c r="QA5" s="75">
        <v>13</v>
      </c>
      <c r="QB5" s="75">
        <v>9</v>
      </c>
      <c r="QC5" s="75">
        <v>1</v>
      </c>
      <c r="QD5" s="75">
        <v>13</v>
      </c>
      <c r="QE5" s="75">
        <v>10</v>
      </c>
      <c r="QF5" s="75">
        <v>8</v>
      </c>
      <c r="QG5" s="75">
        <v>7</v>
      </c>
      <c r="QH5" s="75">
        <v>3</v>
      </c>
      <c r="QI5" s="75">
        <v>0</v>
      </c>
      <c r="QJ5" s="75">
        <v>0</v>
      </c>
      <c r="QK5" s="75">
        <v>0</v>
      </c>
      <c r="QL5" s="75">
        <v>0</v>
      </c>
      <c r="QM5" s="75">
        <v>0</v>
      </c>
      <c r="QN5" s="75">
        <v>0</v>
      </c>
      <c r="QO5" s="75">
        <v>0</v>
      </c>
      <c r="QP5" s="75">
        <v>1</v>
      </c>
      <c r="QQ5" s="75">
        <v>0</v>
      </c>
      <c r="QR5" s="75">
        <v>5</v>
      </c>
      <c r="QS5" s="75">
        <v>5</v>
      </c>
      <c r="QT5" s="75">
        <v>5</v>
      </c>
      <c r="QU5" s="75">
        <v>9</v>
      </c>
      <c r="QV5" s="75">
        <v>12</v>
      </c>
      <c r="QW5" s="75">
        <v>12</v>
      </c>
      <c r="QX5" s="75">
        <v>0</v>
      </c>
      <c r="QY5" s="75">
        <v>12</v>
      </c>
      <c r="QZ5" s="75">
        <v>21</v>
      </c>
      <c r="RA5" s="75">
        <v>16</v>
      </c>
      <c r="RB5" s="75">
        <v>13</v>
      </c>
      <c r="RC5" s="75">
        <v>13</v>
      </c>
      <c r="RD5" s="75">
        <v>13</v>
      </c>
      <c r="RE5" s="75">
        <v>0</v>
      </c>
      <c r="RF5" s="75">
        <v>13</v>
      </c>
      <c r="RG5" s="75">
        <v>10</v>
      </c>
      <c r="RH5" s="75">
        <v>0</v>
      </c>
      <c r="RI5" s="75">
        <v>0</v>
      </c>
      <c r="RJ5" s="75">
        <v>10</v>
      </c>
      <c r="RK5" s="75">
        <v>10</v>
      </c>
      <c r="RL5" s="75">
        <v>0</v>
      </c>
      <c r="RM5" s="75">
        <v>10</v>
      </c>
      <c r="RN5" s="75">
        <v>10</v>
      </c>
      <c r="RO5" s="75">
        <v>10</v>
      </c>
      <c r="RP5" s="75">
        <v>0</v>
      </c>
      <c r="RQ5" s="75">
        <v>0</v>
      </c>
      <c r="RR5" s="75">
        <v>0</v>
      </c>
      <c r="RS5" s="75">
        <v>0</v>
      </c>
      <c r="RT5" s="75">
        <v>0</v>
      </c>
      <c r="RU5" s="75">
        <v>0</v>
      </c>
      <c r="RV5" s="75">
        <v>0</v>
      </c>
      <c r="RW5" s="75">
        <v>0</v>
      </c>
      <c r="RX5" s="75">
        <v>0</v>
      </c>
      <c r="RY5" s="75">
        <v>0</v>
      </c>
      <c r="RZ5" s="75">
        <v>0</v>
      </c>
      <c r="SA5" s="75">
        <v>0</v>
      </c>
      <c r="SB5" s="75">
        <v>0</v>
      </c>
      <c r="SC5" s="75">
        <v>0</v>
      </c>
      <c r="SD5" s="75">
        <v>0</v>
      </c>
      <c r="SE5" s="75">
        <v>0</v>
      </c>
      <c r="SF5" s="75">
        <v>0</v>
      </c>
      <c r="SG5" s="75">
        <v>0</v>
      </c>
      <c r="SH5" s="75">
        <v>0</v>
      </c>
      <c r="SI5" s="75">
        <v>0</v>
      </c>
      <c r="SJ5" s="75">
        <v>0</v>
      </c>
      <c r="SK5" s="75">
        <v>0</v>
      </c>
      <c r="SL5" s="75">
        <v>0</v>
      </c>
      <c r="SM5" s="75">
        <v>0</v>
      </c>
      <c r="SN5" s="75">
        <v>0</v>
      </c>
      <c r="SO5" s="75">
        <v>0</v>
      </c>
      <c r="SP5" s="75">
        <v>0</v>
      </c>
      <c r="SQ5" s="75">
        <v>0</v>
      </c>
      <c r="SR5" s="75">
        <v>0</v>
      </c>
      <c r="SS5" s="75">
        <v>0</v>
      </c>
      <c r="ST5" s="75">
        <v>0</v>
      </c>
      <c r="SU5" s="75">
        <v>0</v>
      </c>
      <c r="SV5" s="75">
        <v>0</v>
      </c>
      <c r="SW5" s="75">
        <v>0</v>
      </c>
      <c r="SX5" s="75">
        <v>0</v>
      </c>
      <c r="SY5" s="75">
        <v>0</v>
      </c>
      <c r="SZ5" s="75">
        <v>0</v>
      </c>
      <c r="TA5" s="75">
        <v>0</v>
      </c>
      <c r="TB5" s="75">
        <v>0</v>
      </c>
      <c r="TC5" s="75">
        <v>0</v>
      </c>
      <c r="TD5" s="75">
        <v>0</v>
      </c>
      <c r="TE5" s="75">
        <v>0</v>
      </c>
      <c r="TF5" s="75">
        <v>0</v>
      </c>
      <c r="TG5" s="75">
        <v>0</v>
      </c>
      <c r="TH5" s="75">
        <v>0</v>
      </c>
      <c r="TI5" s="75">
        <v>0</v>
      </c>
      <c r="TJ5" s="75">
        <v>0</v>
      </c>
      <c r="TK5" s="75">
        <v>0</v>
      </c>
      <c r="TL5" s="75">
        <v>0</v>
      </c>
      <c r="TM5" s="75">
        <v>0</v>
      </c>
      <c r="TN5" s="75">
        <v>0</v>
      </c>
      <c r="TO5" s="75">
        <v>0</v>
      </c>
      <c r="TP5" s="75">
        <v>0</v>
      </c>
      <c r="TQ5" s="75">
        <v>0</v>
      </c>
      <c r="TR5" s="75">
        <v>0</v>
      </c>
      <c r="TS5" s="75">
        <v>0</v>
      </c>
      <c r="TT5" s="75">
        <v>0</v>
      </c>
      <c r="TU5" s="75">
        <v>0</v>
      </c>
      <c r="TV5" s="75">
        <v>0</v>
      </c>
      <c r="TW5" s="75">
        <v>0</v>
      </c>
      <c r="TX5" s="75">
        <v>0</v>
      </c>
      <c r="TY5" s="75">
        <v>0</v>
      </c>
      <c r="TZ5" s="75">
        <v>0</v>
      </c>
      <c r="UA5" s="75">
        <v>0</v>
      </c>
      <c r="UB5" s="75">
        <v>0</v>
      </c>
      <c r="UC5" s="75">
        <v>0</v>
      </c>
      <c r="UD5" s="75">
        <v>0</v>
      </c>
      <c r="UE5" s="75">
        <v>0</v>
      </c>
      <c r="UF5" s="75">
        <v>0</v>
      </c>
      <c r="UG5" s="75">
        <v>0</v>
      </c>
      <c r="UH5" s="75">
        <v>0</v>
      </c>
      <c r="UI5" s="75">
        <v>0</v>
      </c>
      <c r="UJ5" s="75">
        <v>0</v>
      </c>
      <c r="UK5" s="75">
        <v>0</v>
      </c>
      <c r="UL5" s="75">
        <v>0</v>
      </c>
      <c r="UM5" s="75">
        <v>0</v>
      </c>
      <c r="UN5" s="75">
        <v>0</v>
      </c>
      <c r="UO5" s="75">
        <v>0</v>
      </c>
      <c r="UP5" s="75">
        <v>0</v>
      </c>
      <c r="UQ5" s="75">
        <v>0</v>
      </c>
      <c r="UR5" s="75">
        <v>0</v>
      </c>
      <c r="US5" s="75">
        <v>0</v>
      </c>
      <c r="UT5" s="75">
        <v>0</v>
      </c>
      <c r="UU5" s="75">
        <v>0</v>
      </c>
      <c r="UV5" s="75">
        <v>0</v>
      </c>
      <c r="UW5" s="75">
        <v>0</v>
      </c>
      <c r="UX5" s="75">
        <v>0</v>
      </c>
      <c r="UY5" s="75">
        <v>0</v>
      </c>
      <c r="UZ5" s="75">
        <v>0</v>
      </c>
      <c r="VA5" s="75">
        <v>0</v>
      </c>
      <c r="VB5" s="75">
        <v>0</v>
      </c>
      <c r="VC5" s="75">
        <v>0</v>
      </c>
      <c r="VD5" s="75">
        <v>0</v>
      </c>
      <c r="VE5" s="75">
        <v>0</v>
      </c>
      <c r="VF5" s="75">
        <v>0</v>
      </c>
      <c r="VG5" s="75">
        <v>0</v>
      </c>
      <c r="VH5" s="75">
        <v>0</v>
      </c>
      <c r="VI5" s="75">
        <v>0</v>
      </c>
      <c r="VJ5" s="75">
        <v>1</v>
      </c>
      <c r="VK5" s="75">
        <v>1</v>
      </c>
      <c r="VL5" s="75">
        <v>1</v>
      </c>
      <c r="VM5" s="75">
        <v>0</v>
      </c>
      <c r="VN5" s="75">
        <v>1</v>
      </c>
      <c r="VO5" s="75">
        <v>1</v>
      </c>
      <c r="VP5" s="75">
        <v>1</v>
      </c>
      <c r="VQ5" s="75">
        <v>1</v>
      </c>
      <c r="VR5" s="75">
        <v>1</v>
      </c>
      <c r="VS5" s="75">
        <v>1</v>
      </c>
      <c r="VT5" s="75">
        <v>0</v>
      </c>
      <c r="VU5" s="75">
        <v>1</v>
      </c>
      <c r="VV5" s="75">
        <v>1</v>
      </c>
      <c r="VW5" s="75">
        <v>1</v>
      </c>
      <c r="VX5" s="75">
        <v>0</v>
      </c>
      <c r="VY5" s="75">
        <v>0</v>
      </c>
      <c r="VZ5" s="75">
        <v>0</v>
      </c>
      <c r="WA5" s="75">
        <v>0</v>
      </c>
      <c r="WB5" s="75">
        <v>0</v>
      </c>
      <c r="WC5" s="75">
        <v>0</v>
      </c>
      <c r="WD5" s="75">
        <v>0</v>
      </c>
      <c r="WE5" s="75">
        <v>0</v>
      </c>
      <c r="WF5" s="75">
        <v>0</v>
      </c>
      <c r="WG5" s="75">
        <v>0</v>
      </c>
      <c r="WH5" s="75">
        <v>0</v>
      </c>
      <c r="WI5" s="75">
        <v>0</v>
      </c>
      <c r="WJ5" s="75">
        <v>0</v>
      </c>
      <c r="WK5" s="75">
        <v>0</v>
      </c>
      <c r="WL5" s="75">
        <v>0</v>
      </c>
      <c r="WM5" s="75">
        <v>0</v>
      </c>
      <c r="WN5" s="75">
        <v>0</v>
      </c>
      <c r="WO5" s="75">
        <v>0</v>
      </c>
      <c r="WP5" s="75">
        <v>0</v>
      </c>
      <c r="WQ5" s="75">
        <v>0</v>
      </c>
      <c r="WR5" s="75">
        <v>0</v>
      </c>
      <c r="WS5" s="75">
        <v>0</v>
      </c>
      <c r="WT5" s="75">
        <v>0</v>
      </c>
      <c r="WU5" s="75">
        <v>0</v>
      </c>
      <c r="WV5" s="75">
        <v>0</v>
      </c>
      <c r="WW5" s="75">
        <v>0</v>
      </c>
      <c r="WX5" s="75">
        <v>0</v>
      </c>
      <c r="WY5" s="75">
        <v>0</v>
      </c>
      <c r="WZ5" s="75">
        <v>0</v>
      </c>
      <c r="XA5" s="75">
        <v>0</v>
      </c>
      <c r="XB5" s="75">
        <v>0</v>
      </c>
      <c r="XC5" s="75">
        <v>0</v>
      </c>
      <c r="XD5" s="75">
        <v>0</v>
      </c>
      <c r="XE5" s="75">
        <v>0</v>
      </c>
      <c r="XF5" s="75">
        <v>0</v>
      </c>
      <c r="XG5" s="75">
        <v>0</v>
      </c>
      <c r="XH5" s="75">
        <v>0</v>
      </c>
      <c r="XI5" s="75">
        <v>0</v>
      </c>
      <c r="XJ5" s="75">
        <v>0</v>
      </c>
      <c r="XK5" s="75">
        <v>0</v>
      </c>
      <c r="XL5" s="75">
        <v>0</v>
      </c>
      <c r="XM5" s="75">
        <v>0</v>
      </c>
      <c r="XN5" s="75">
        <v>0</v>
      </c>
      <c r="XO5" s="75">
        <v>0</v>
      </c>
      <c r="XP5" s="75">
        <v>0</v>
      </c>
      <c r="XQ5" s="75">
        <v>0</v>
      </c>
      <c r="XR5" s="75">
        <v>0</v>
      </c>
      <c r="XS5" s="75">
        <v>0</v>
      </c>
      <c r="XT5" s="75">
        <v>0</v>
      </c>
      <c r="XU5" s="75">
        <v>0</v>
      </c>
      <c r="XV5" s="75">
        <v>0</v>
      </c>
      <c r="XW5" s="75">
        <v>0</v>
      </c>
      <c r="XX5" s="75">
        <v>0</v>
      </c>
      <c r="XY5" s="75">
        <v>0</v>
      </c>
      <c r="XZ5" s="75">
        <v>0</v>
      </c>
      <c r="YA5" s="75">
        <v>0</v>
      </c>
      <c r="YB5" s="75">
        <v>0</v>
      </c>
      <c r="YC5" s="75">
        <v>0</v>
      </c>
      <c r="YD5" s="75">
        <v>0</v>
      </c>
      <c r="YE5" s="75">
        <v>0</v>
      </c>
      <c r="YF5" s="75">
        <v>0</v>
      </c>
      <c r="YG5" s="75">
        <v>0</v>
      </c>
      <c r="YH5" s="75">
        <v>0</v>
      </c>
      <c r="YI5" s="75">
        <v>0</v>
      </c>
      <c r="YJ5" s="75">
        <v>0</v>
      </c>
      <c r="YK5" s="75">
        <v>0</v>
      </c>
      <c r="YL5" s="75">
        <v>0</v>
      </c>
      <c r="YM5" s="75">
        <v>0</v>
      </c>
      <c r="YN5" s="75">
        <v>0</v>
      </c>
      <c r="YO5" s="75">
        <v>0</v>
      </c>
      <c r="YP5" s="75">
        <v>0</v>
      </c>
      <c r="YQ5" s="75">
        <v>0</v>
      </c>
      <c r="YR5" s="75">
        <v>0</v>
      </c>
      <c r="YS5" s="75">
        <v>0</v>
      </c>
      <c r="YT5" s="75">
        <v>0</v>
      </c>
      <c r="YU5" s="75">
        <v>0</v>
      </c>
      <c r="YV5" s="75">
        <v>0</v>
      </c>
      <c r="YW5" s="75">
        <v>0</v>
      </c>
      <c r="YX5" s="75">
        <v>0</v>
      </c>
      <c r="YY5" s="75">
        <v>0</v>
      </c>
      <c r="YZ5" s="75">
        <v>0</v>
      </c>
      <c r="ZA5" s="75">
        <v>0</v>
      </c>
      <c r="ZB5" s="75">
        <v>0</v>
      </c>
      <c r="ZC5" s="75">
        <v>0</v>
      </c>
      <c r="ZD5" s="75">
        <v>0</v>
      </c>
      <c r="ZE5" s="75">
        <v>0</v>
      </c>
      <c r="ZF5" s="75">
        <v>0</v>
      </c>
      <c r="ZG5" s="75">
        <v>0</v>
      </c>
      <c r="ZH5" s="75">
        <v>0</v>
      </c>
      <c r="ZI5" s="75">
        <v>0</v>
      </c>
      <c r="ZJ5" s="75">
        <v>0</v>
      </c>
      <c r="ZK5" s="75">
        <v>0</v>
      </c>
      <c r="ZL5" s="75">
        <v>0</v>
      </c>
      <c r="ZM5" s="75">
        <v>0</v>
      </c>
      <c r="ZN5" s="75">
        <v>0</v>
      </c>
      <c r="ZO5" s="75">
        <v>0</v>
      </c>
      <c r="ZP5" s="75">
        <v>0</v>
      </c>
      <c r="ZQ5" s="75">
        <v>0</v>
      </c>
      <c r="ZR5" s="75">
        <v>0</v>
      </c>
      <c r="ZS5" s="75">
        <v>0</v>
      </c>
      <c r="ZT5" s="75">
        <v>0</v>
      </c>
      <c r="ZU5" s="75">
        <v>0</v>
      </c>
      <c r="ZV5" s="75">
        <v>0</v>
      </c>
      <c r="ZW5" s="75">
        <v>0</v>
      </c>
      <c r="ZX5" s="75">
        <v>0</v>
      </c>
      <c r="ZY5" s="75">
        <v>0</v>
      </c>
      <c r="ZZ5" s="75">
        <v>0</v>
      </c>
      <c r="AAA5" s="75">
        <v>0</v>
      </c>
      <c r="AAB5" s="75">
        <v>0</v>
      </c>
      <c r="AAC5" s="75">
        <v>0</v>
      </c>
      <c r="AAD5" s="75">
        <v>0</v>
      </c>
      <c r="AAE5" s="75">
        <v>0</v>
      </c>
      <c r="AAF5" s="75">
        <v>0</v>
      </c>
      <c r="AAG5" s="75">
        <v>0</v>
      </c>
      <c r="AAH5" s="75">
        <v>0</v>
      </c>
      <c r="AAI5" s="75">
        <v>0</v>
      </c>
      <c r="AAJ5" s="75">
        <v>0</v>
      </c>
      <c r="AAK5" s="75">
        <v>0</v>
      </c>
      <c r="AAL5" s="75">
        <v>0</v>
      </c>
      <c r="AAM5" s="75">
        <v>0</v>
      </c>
      <c r="AAN5" s="75">
        <v>0</v>
      </c>
      <c r="AAO5" s="75">
        <v>0</v>
      </c>
      <c r="AAP5" s="75">
        <v>0</v>
      </c>
      <c r="AAQ5" s="75">
        <v>0</v>
      </c>
      <c r="AAR5" s="75">
        <v>0</v>
      </c>
      <c r="AAS5" s="75">
        <v>0</v>
      </c>
      <c r="AAT5" s="75">
        <v>0</v>
      </c>
      <c r="AAU5" s="75">
        <v>0</v>
      </c>
      <c r="AAV5" s="75">
        <v>0</v>
      </c>
      <c r="AAW5" s="75">
        <v>0</v>
      </c>
      <c r="AAX5" s="75">
        <v>0</v>
      </c>
      <c r="AAY5" s="75">
        <v>0</v>
      </c>
      <c r="AAZ5" s="75">
        <v>0</v>
      </c>
      <c r="ABA5" s="75">
        <v>0</v>
      </c>
      <c r="ABB5" s="75">
        <v>0</v>
      </c>
      <c r="ABC5" s="75">
        <v>0</v>
      </c>
    </row>
    <row r="6" spans="1:731">
      <c r="A6" s="75" t="s">
        <v>43</v>
      </c>
      <c r="B6" s="75">
        <v>0</v>
      </c>
      <c r="C6" s="75">
        <v>0</v>
      </c>
      <c r="D6" s="75">
        <v>0</v>
      </c>
      <c r="E6" s="75">
        <v>0</v>
      </c>
      <c r="F6" s="75">
        <v>0</v>
      </c>
      <c r="G6" s="75">
        <v>0</v>
      </c>
      <c r="H6" s="75">
        <v>0</v>
      </c>
      <c r="I6" s="75">
        <v>0</v>
      </c>
      <c r="J6" s="75">
        <v>0</v>
      </c>
      <c r="K6" s="75">
        <v>2</v>
      </c>
      <c r="L6" s="75">
        <v>2</v>
      </c>
      <c r="M6" s="75">
        <v>2</v>
      </c>
      <c r="N6" s="75">
        <v>2</v>
      </c>
      <c r="O6" s="75">
        <v>2</v>
      </c>
      <c r="P6" s="75">
        <v>2</v>
      </c>
      <c r="Q6" s="75">
        <v>2</v>
      </c>
      <c r="R6" s="75">
        <v>2</v>
      </c>
      <c r="S6" s="75">
        <v>2</v>
      </c>
      <c r="T6" s="75">
        <v>2</v>
      </c>
      <c r="U6" s="75">
        <v>2</v>
      </c>
      <c r="V6" s="75">
        <v>2</v>
      </c>
      <c r="W6" s="75">
        <v>2</v>
      </c>
      <c r="X6" s="75">
        <v>2</v>
      </c>
      <c r="Y6" s="75">
        <v>2</v>
      </c>
      <c r="Z6" s="75">
        <v>2</v>
      </c>
      <c r="AA6" s="75">
        <v>2</v>
      </c>
      <c r="AB6" s="75">
        <v>2</v>
      </c>
      <c r="AC6" s="75">
        <v>2</v>
      </c>
      <c r="AD6" s="75">
        <v>2</v>
      </c>
      <c r="AE6" s="75">
        <v>2</v>
      </c>
      <c r="AF6" s="75">
        <v>2</v>
      </c>
      <c r="AG6" s="75">
        <v>2</v>
      </c>
      <c r="AH6" s="75">
        <v>2</v>
      </c>
      <c r="AI6" s="75">
        <v>2</v>
      </c>
      <c r="AJ6" s="75">
        <v>2</v>
      </c>
      <c r="AK6" s="75">
        <v>0</v>
      </c>
      <c r="AL6" s="75">
        <v>0</v>
      </c>
      <c r="AM6" s="75">
        <v>0</v>
      </c>
      <c r="AN6" s="75">
        <v>0</v>
      </c>
      <c r="AO6" s="75">
        <v>0</v>
      </c>
      <c r="AP6" s="75">
        <v>0</v>
      </c>
      <c r="AQ6" s="75">
        <v>0</v>
      </c>
      <c r="AR6" s="75">
        <v>0</v>
      </c>
      <c r="AS6" s="75">
        <v>0</v>
      </c>
      <c r="AT6" s="75">
        <v>0</v>
      </c>
      <c r="AU6" s="75">
        <v>0</v>
      </c>
      <c r="AV6" s="75">
        <v>0</v>
      </c>
      <c r="AW6" s="75">
        <v>0</v>
      </c>
      <c r="AX6" s="75">
        <v>0</v>
      </c>
      <c r="AY6" s="75">
        <v>0</v>
      </c>
      <c r="AZ6" s="75">
        <v>0</v>
      </c>
      <c r="BA6" s="75">
        <v>0</v>
      </c>
      <c r="BB6" s="75">
        <v>0</v>
      </c>
      <c r="BC6" s="75">
        <v>0</v>
      </c>
      <c r="BD6" s="75">
        <v>0</v>
      </c>
      <c r="BE6" s="75">
        <v>0</v>
      </c>
      <c r="BF6" s="75">
        <v>0</v>
      </c>
      <c r="BG6" s="75">
        <v>0</v>
      </c>
      <c r="BH6" s="75">
        <v>0</v>
      </c>
      <c r="BI6" s="75">
        <v>0</v>
      </c>
      <c r="BJ6" s="75">
        <v>0</v>
      </c>
      <c r="BK6" s="75">
        <v>0</v>
      </c>
      <c r="BL6" s="75">
        <v>0</v>
      </c>
      <c r="BM6" s="75">
        <v>0</v>
      </c>
      <c r="BN6" s="75">
        <v>0</v>
      </c>
      <c r="BO6" s="75">
        <v>0</v>
      </c>
      <c r="BP6" s="75">
        <v>0</v>
      </c>
      <c r="BQ6" s="75">
        <v>0</v>
      </c>
      <c r="BR6" s="75">
        <v>0</v>
      </c>
      <c r="BS6" s="75">
        <v>0</v>
      </c>
      <c r="BT6" s="75">
        <v>0</v>
      </c>
      <c r="BU6" s="75">
        <v>0</v>
      </c>
      <c r="BV6" s="75">
        <v>0</v>
      </c>
      <c r="BW6" s="75">
        <v>0</v>
      </c>
      <c r="BX6" s="75">
        <v>0</v>
      </c>
      <c r="BY6" s="75">
        <v>0</v>
      </c>
      <c r="BZ6" s="75">
        <v>0</v>
      </c>
      <c r="CA6" s="75">
        <v>0</v>
      </c>
      <c r="CB6" s="75">
        <v>14</v>
      </c>
      <c r="CC6" s="75">
        <v>0</v>
      </c>
      <c r="CD6" s="75">
        <v>14</v>
      </c>
      <c r="CE6" s="75">
        <v>14</v>
      </c>
      <c r="CF6" s="75">
        <v>14</v>
      </c>
      <c r="CG6" s="75">
        <v>14</v>
      </c>
      <c r="CH6" s="75">
        <v>0</v>
      </c>
      <c r="CI6" s="75">
        <v>0</v>
      </c>
      <c r="CJ6" s="75">
        <v>0</v>
      </c>
      <c r="CK6" s="75">
        <v>0</v>
      </c>
      <c r="CL6" s="75">
        <v>0</v>
      </c>
      <c r="CM6" s="75">
        <v>0</v>
      </c>
      <c r="CN6" s="75">
        <v>0</v>
      </c>
      <c r="CO6" s="75">
        <v>0</v>
      </c>
      <c r="CP6" s="75">
        <v>0</v>
      </c>
      <c r="CQ6" s="75">
        <v>0</v>
      </c>
      <c r="CR6" s="75">
        <v>0</v>
      </c>
      <c r="CS6" s="75">
        <v>1</v>
      </c>
      <c r="CT6" s="75">
        <v>1</v>
      </c>
      <c r="CU6" s="75">
        <v>1</v>
      </c>
      <c r="CV6" s="75">
        <v>1</v>
      </c>
      <c r="CW6" s="75">
        <v>1</v>
      </c>
      <c r="CX6" s="75">
        <v>0</v>
      </c>
      <c r="CY6" s="75">
        <v>1</v>
      </c>
      <c r="CZ6" s="75">
        <v>1</v>
      </c>
      <c r="DA6" s="75">
        <v>1</v>
      </c>
      <c r="DB6" s="75">
        <v>0</v>
      </c>
      <c r="DC6" s="75">
        <v>0</v>
      </c>
      <c r="DD6" s="75">
        <v>0</v>
      </c>
      <c r="DE6" s="75">
        <v>0</v>
      </c>
      <c r="DF6" s="75">
        <v>0</v>
      </c>
      <c r="DG6" s="75">
        <v>0</v>
      </c>
      <c r="DH6" s="75">
        <v>0</v>
      </c>
      <c r="DI6" s="75">
        <v>2</v>
      </c>
      <c r="DJ6" s="75">
        <v>2</v>
      </c>
      <c r="DK6" s="75">
        <v>2</v>
      </c>
      <c r="DL6" s="75">
        <v>0</v>
      </c>
      <c r="DM6" s="75">
        <v>2</v>
      </c>
      <c r="DN6" s="75">
        <v>2</v>
      </c>
      <c r="DO6" s="75">
        <v>8</v>
      </c>
      <c r="DP6" s="75">
        <v>0</v>
      </c>
      <c r="DQ6" s="75">
        <v>0</v>
      </c>
      <c r="DR6" s="75">
        <v>0</v>
      </c>
      <c r="DS6" s="75">
        <v>0</v>
      </c>
      <c r="DT6" s="75">
        <v>0</v>
      </c>
      <c r="DU6" s="75">
        <v>0</v>
      </c>
      <c r="DV6" s="75">
        <v>10</v>
      </c>
      <c r="DW6" s="75">
        <v>11</v>
      </c>
      <c r="DX6" s="75">
        <v>11</v>
      </c>
      <c r="DY6" s="75">
        <v>19</v>
      </c>
      <c r="DZ6" s="75">
        <v>0</v>
      </c>
      <c r="EA6" s="75">
        <v>11</v>
      </c>
      <c r="EB6" s="75">
        <v>17</v>
      </c>
      <c r="EC6" s="75">
        <v>27</v>
      </c>
      <c r="ED6" s="75">
        <v>27</v>
      </c>
      <c r="EE6" s="75">
        <v>17</v>
      </c>
      <c r="EF6" s="75">
        <v>15</v>
      </c>
      <c r="EG6" s="75">
        <v>0</v>
      </c>
      <c r="EH6" s="75">
        <v>15</v>
      </c>
      <c r="EI6" s="75">
        <v>10</v>
      </c>
      <c r="EJ6" s="75">
        <v>10</v>
      </c>
      <c r="EK6" s="75">
        <v>15</v>
      </c>
      <c r="EL6" s="75">
        <v>5</v>
      </c>
      <c r="EM6" s="75">
        <v>5</v>
      </c>
      <c r="EN6" s="75">
        <v>0</v>
      </c>
      <c r="EO6" s="75">
        <v>5</v>
      </c>
      <c r="EP6" s="75">
        <v>5</v>
      </c>
      <c r="EQ6" s="75">
        <v>5</v>
      </c>
      <c r="ER6" s="75">
        <v>0</v>
      </c>
      <c r="ES6" s="75">
        <v>10</v>
      </c>
      <c r="ET6" s="75">
        <v>8</v>
      </c>
      <c r="EU6" s="75">
        <v>0</v>
      </c>
      <c r="EV6" s="75">
        <v>0</v>
      </c>
      <c r="EW6" s="75">
        <v>0</v>
      </c>
      <c r="EX6" s="75">
        <v>0</v>
      </c>
      <c r="EY6" s="75">
        <v>0</v>
      </c>
      <c r="EZ6" s="75">
        <v>0</v>
      </c>
      <c r="FA6" s="75">
        <v>0</v>
      </c>
      <c r="FB6" s="75">
        <v>0</v>
      </c>
      <c r="FC6" s="75">
        <v>0</v>
      </c>
      <c r="FD6" s="75">
        <v>0</v>
      </c>
      <c r="FE6" s="75">
        <v>0</v>
      </c>
      <c r="FF6" s="75">
        <v>0</v>
      </c>
      <c r="FG6" s="75">
        <v>0</v>
      </c>
      <c r="FH6" s="75">
        <v>5</v>
      </c>
      <c r="FI6" s="75">
        <v>0</v>
      </c>
      <c r="FJ6" s="75">
        <v>0</v>
      </c>
      <c r="FK6" s="75">
        <v>0</v>
      </c>
      <c r="FL6" s="75">
        <v>0</v>
      </c>
      <c r="FM6" s="75">
        <v>0</v>
      </c>
      <c r="FN6" s="75">
        <v>0</v>
      </c>
      <c r="FO6" s="75">
        <v>0</v>
      </c>
      <c r="FP6" s="75">
        <v>0</v>
      </c>
      <c r="FQ6" s="75">
        <v>0</v>
      </c>
      <c r="FR6" s="75">
        <v>0</v>
      </c>
      <c r="FS6" s="75">
        <v>9</v>
      </c>
      <c r="FT6" s="75">
        <v>2</v>
      </c>
      <c r="FU6" s="75">
        <v>0</v>
      </c>
      <c r="FV6" s="75">
        <v>0</v>
      </c>
      <c r="FW6" s="75">
        <v>0</v>
      </c>
      <c r="FX6" s="75">
        <v>5</v>
      </c>
      <c r="FY6" s="75">
        <v>5</v>
      </c>
      <c r="FZ6" s="75">
        <v>0</v>
      </c>
      <c r="GA6" s="75">
        <v>0</v>
      </c>
      <c r="GB6" s="75">
        <v>0</v>
      </c>
      <c r="GC6" s="75">
        <v>0</v>
      </c>
      <c r="GD6" s="75">
        <v>0</v>
      </c>
      <c r="GE6" s="75">
        <v>0</v>
      </c>
      <c r="GF6" s="75">
        <v>4</v>
      </c>
      <c r="GG6" s="75">
        <v>1</v>
      </c>
      <c r="GH6" s="75">
        <v>1</v>
      </c>
      <c r="GI6" s="75">
        <v>19</v>
      </c>
      <c r="GJ6" s="75">
        <v>0</v>
      </c>
      <c r="GK6" s="75">
        <v>0</v>
      </c>
      <c r="GL6" s="75">
        <v>0</v>
      </c>
      <c r="GM6" s="75">
        <v>0</v>
      </c>
      <c r="GN6" s="75">
        <v>16</v>
      </c>
      <c r="GO6" s="75">
        <v>4</v>
      </c>
      <c r="GP6" s="75">
        <v>10</v>
      </c>
      <c r="GQ6" s="75">
        <v>0</v>
      </c>
      <c r="GR6" s="75">
        <v>0</v>
      </c>
      <c r="GS6" s="75">
        <v>10</v>
      </c>
      <c r="GT6" s="75">
        <v>0</v>
      </c>
      <c r="GU6" s="75">
        <v>0</v>
      </c>
      <c r="GV6" s="75">
        <v>5</v>
      </c>
      <c r="GW6" s="75">
        <v>10</v>
      </c>
      <c r="GX6" s="75">
        <v>5</v>
      </c>
      <c r="GY6" s="75">
        <v>0</v>
      </c>
      <c r="GZ6" s="75">
        <v>2</v>
      </c>
      <c r="HA6" s="75">
        <v>3</v>
      </c>
      <c r="HB6" s="75">
        <v>3</v>
      </c>
      <c r="HC6" s="75">
        <v>2</v>
      </c>
      <c r="HD6" s="75">
        <v>0</v>
      </c>
      <c r="HE6" s="75">
        <v>10</v>
      </c>
      <c r="HF6" s="75">
        <v>0</v>
      </c>
      <c r="HG6" s="75">
        <v>0</v>
      </c>
      <c r="HH6" s="75">
        <v>5</v>
      </c>
      <c r="HI6" s="75">
        <v>5</v>
      </c>
      <c r="HJ6" s="75">
        <v>0</v>
      </c>
      <c r="HK6" s="75">
        <v>0</v>
      </c>
      <c r="HL6" s="75">
        <v>0</v>
      </c>
      <c r="HM6" s="75">
        <v>0</v>
      </c>
      <c r="HN6" s="75">
        <v>0</v>
      </c>
      <c r="HO6" s="75">
        <v>0</v>
      </c>
      <c r="HP6" s="75">
        <v>2</v>
      </c>
      <c r="HQ6" s="75">
        <v>14</v>
      </c>
      <c r="HR6" s="75">
        <v>34</v>
      </c>
      <c r="HS6" s="75">
        <v>4</v>
      </c>
      <c r="HT6" s="75">
        <v>0</v>
      </c>
      <c r="HU6" s="75">
        <v>6</v>
      </c>
      <c r="HV6" s="75">
        <v>3</v>
      </c>
      <c r="HW6" s="75">
        <v>3</v>
      </c>
      <c r="HX6" s="75">
        <v>0</v>
      </c>
      <c r="HY6" s="75">
        <v>0</v>
      </c>
      <c r="HZ6" s="75">
        <v>15</v>
      </c>
      <c r="IA6" s="75">
        <v>0</v>
      </c>
      <c r="IB6" s="75">
        <v>5</v>
      </c>
      <c r="IC6" s="75">
        <v>10</v>
      </c>
      <c r="ID6" s="75">
        <v>0</v>
      </c>
      <c r="IE6" s="75">
        <v>0</v>
      </c>
      <c r="IF6" s="75">
        <v>0</v>
      </c>
      <c r="IG6" s="75">
        <v>0</v>
      </c>
      <c r="IH6" s="75">
        <v>0</v>
      </c>
      <c r="II6" s="75">
        <v>10</v>
      </c>
      <c r="IJ6" s="75">
        <v>0</v>
      </c>
      <c r="IK6" s="75">
        <v>4</v>
      </c>
      <c r="IL6" s="75">
        <v>16</v>
      </c>
      <c r="IM6" s="75">
        <v>10</v>
      </c>
      <c r="IN6" s="75">
        <v>1</v>
      </c>
      <c r="IO6" s="75">
        <v>0</v>
      </c>
      <c r="IP6" s="75">
        <v>1</v>
      </c>
      <c r="IQ6" s="75">
        <v>1</v>
      </c>
      <c r="IR6" s="75">
        <v>11</v>
      </c>
      <c r="IS6" s="75">
        <v>11</v>
      </c>
      <c r="IT6" s="75">
        <v>1</v>
      </c>
      <c r="IU6" s="75">
        <v>5</v>
      </c>
      <c r="IV6" s="75">
        <v>0</v>
      </c>
      <c r="IW6" s="75">
        <v>7</v>
      </c>
      <c r="IX6" s="75">
        <v>7</v>
      </c>
      <c r="IY6" s="75">
        <v>5</v>
      </c>
      <c r="IZ6" s="75">
        <v>0</v>
      </c>
      <c r="JA6" s="75">
        <v>0</v>
      </c>
      <c r="JB6" s="75">
        <v>0</v>
      </c>
      <c r="JC6" s="75">
        <v>0</v>
      </c>
      <c r="JD6" s="75">
        <v>6</v>
      </c>
      <c r="JE6" s="75">
        <v>4</v>
      </c>
      <c r="JF6" s="75">
        <v>4</v>
      </c>
      <c r="JG6" s="75">
        <v>10</v>
      </c>
      <c r="JH6" s="75">
        <v>6</v>
      </c>
      <c r="JI6" s="75">
        <v>6</v>
      </c>
      <c r="JJ6" s="75">
        <v>0</v>
      </c>
      <c r="JK6" s="75">
        <v>4</v>
      </c>
      <c r="JL6" s="75">
        <v>4</v>
      </c>
      <c r="JM6" s="75">
        <v>7</v>
      </c>
      <c r="JN6" s="75">
        <v>2</v>
      </c>
      <c r="JO6" s="75">
        <v>8</v>
      </c>
      <c r="JP6" s="75">
        <v>6</v>
      </c>
      <c r="JQ6" s="75">
        <v>0</v>
      </c>
      <c r="JR6" s="75">
        <v>0</v>
      </c>
      <c r="JS6" s="75">
        <v>0</v>
      </c>
      <c r="JT6" s="75">
        <v>0</v>
      </c>
      <c r="JU6" s="75">
        <v>0</v>
      </c>
      <c r="JV6" s="75">
        <v>4</v>
      </c>
      <c r="JW6" s="75">
        <v>4</v>
      </c>
      <c r="JX6" s="75">
        <v>0</v>
      </c>
      <c r="JY6" s="75">
        <v>4</v>
      </c>
      <c r="JZ6" s="75">
        <v>14</v>
      </c>
      <c r="KA6" s="75">
        <v>14</v>
      </c>
      <c r="KB6" s="75">
        <v>4</v>
      </c>
      <c r="KC6" s="75">
        <v>2</v>
      </c>
      <c r="KD6" s="75">
        <v>2</v>
      </c>
      <c r="KE6" s="75">
        <v>0</v>
      </c>
      <c r="KF6" s="75">
        <v>8</v>
      </c>
      <c r="KG6" s="75">
        <v>10</v>
      </c>
      <c r="KH6" s="75">
        <v>8</v>
      </c>
      <c r="KI6" s="75">
        <v>2</v>
      </c>
      <c r="KJ6" s="75">
        <v>2</v>
      </c>
      <c r="KK6" s="75">
        <v>8</v>
      </c>
      <c r="KL6" s="75">
        <v>0</v>
      </c>
      <c r="KM6" s="75">
        <v>7</v>
      </c>
      <c r="KN6" s="75">
        <v>3</v>
      </c>
      <c r="KO6" s="75">
        <v>1</v>
      </c>
      <c r="KP6" s="75">
        <v>4</v>
      </c>
      <c r="KQ6" s="75">
        <v>14</v>
      </c>
      <c r="KR6" s="75">
        <v>15</v>
      </c>
      <c r="KS6" s="75">
        <v>0</v>
      </c>
      <c r="KT6" s="75">
        <v>4</v>
      </c>
      <c r="KU6" s="75">
        <v>4</v>
      </c>
      <c r="KV6" s="75">
        <v>4</v>
      </c>
      <c r="KW6" s="75">
        <v>12</v>
      </c>
      <c r="KX6" s="75">
        <v>13</v>
      </c>
      <c r="KY6" s="75">
        <v>3</v>
      </c>
      <c r="KZ6" s="75">
        <v>0</v>
      </c>
      <c r="LA6" s="75">
        <v>11</v>
      </c>
      <c r="LB6" s="75">
        <v>4</v>
      </c>
      <c r="LC6" s="75">
        <v>0</v>
      </c>
      <c r="LD6" s="75">
        <v>0</v>
      </c>
      <c r="LE6" s="75">
        <v>4</v>
      </c>
      <c r="LF6" s="75">
        <v>10</v>
      </c>
      <c r="LG6" s="75">
        <v>8</v>
      </c>
      <c r="LH6" s="75">
        <v>9</v>
      </c>
      <c r="LI6" s="75">
        <v>5</v>
      </c>
      <c r="LJ6" s="75">
        <v>24</v>
      </c>
      <c r="LK6" s="75">
        <v>11</v>
      </c>
      <c r="LL6" s="75">
        <v>0</v>
      </c>
      <c r="LM6" s="75">
        <v>0</v>
      </c>
      <c r="LN6" s="75">
        <v>0</v>
      </c>
      <c r="LO6" s="75">
        <v>0</v>
      </c>
      <c r="LP6" s="75">
        <v>5</v>
      </c>
      <c r="LQ6" s="75">
        <v>14</v>
      </c>
      <c r="LR6" s="75">
        <v>12</v>
      </c>
      <c r="LS6" s="75">
        <v>19</v>
      </c>
      <c r="LT6" s="75">
        <v>11</v>
      </c>
      <c r="LU6" s="75">
        <v>0</v>
      </c>
      <c r="LV6" s="75">
        <v>5</v>
      </c>
      <c r="LW6" s="75">
        <v>16</v>
      </c>
      <c r="LX6" s="75">
        <v>13</v>
      </c>
      <c r="LY6" s="75">
        <v>3</v>
      </c>
      <c r="LZ6" s="75">
        <v>3</v>
      </c>
      <c r="MA6" s="75">
        <v>3</v>
      </c>
      <c r="MB6" s="75">
        <v>0</v>
      </c>
      <c r="MC6" s="75">
        <v>3</v>
      </c>
      <c r="MD6" s="75">
        <v>5</v>
      </c>
      <c r="ME6" s="75">
        <v>14</v>
      </c>
      <c r="MF6" s="75">
        <v>18</v>
      </c>
      <c r="MG6" s="75">
        <v>0</v>
      </c>
      <c r="MH6" s="75">
        <v>0</v>
      </c>
      <c r="MI6" s="75">
        <v>0</v>
      </c>
      <c r="MJ6" s="75">
        <v>0</v>
      </c>
      <c r="MK6" s="75">
        <v>0</v>
      </c>
      <c r="ML6" s="75">
        <v>0</v>
      </c>
      <c r="MM6" s="75">
        <v>14</v>
      </c>
      <c r="MN6" s="75">
        <v>13</v>
      </c>
      <c r="MO6" s="75">
        <v>14</v>
      </c>
      <c r="MP6" s="75">
        <v>0</v>
      </c>
      <c r="MQ6" s="75">
        <v>11</v>
      </c>
      <c r="MR6" s="75">
        <v>14</v>
      </c>
      <c r="MS6" s="75">
        <v>13</v>
      </c>
      <c r="MT6" s="75">
        <v>11</v>
      </c>
      <c r="MU6" s="75">
        <v>3</v>
      </c>
      <c r="MV6" s="75">
        <v>6</v>
      </c>
      <c r="MW6" s="75">
        <v>8</v>
      </c>
      <c r="MX6" s="75">
        <v>14</v>
      </c>
      <c r="MY6" s="75">
        <v>8</v>
      </c>
      <c r="MZ6" s="75">
        <v>0</v>
      </c>
      <c r="NA6" s="75">
        <v>3</v>
      </c>
      <c r="NB6" s="75">
        <v>6</v>
      </c>
      <c r="NC6" s="75">
        <v>20</v>
      </c>
      <c r="ND6" s="75">
        <v>0</v>
      </c>
      <c r="NE6" s="75">
        <v>22</v>
      </c>
      <c r="NF6" s="75">
        <v>7</v>
      </c>
      <c r="NG6" s="75">
        <v>10</v>
      </c>
      <c r="NH6" s="75">
        <v>10</v>
      </c>
      <c r="NI6" s="75">
        <v>10</v>
      </c>
      <c r="NJ6" s="75">
        <v>12</v>
      </c>
      <c r="NK6" s="75">
        <v>0</v>
      </c>
      <c r="NL6" s="75">
        <v>13</v>
      </c>
      <c r="NM6" s="75">
        <v>21</v>
      </c>
      <c r="NN6" s="75">
        <v>13</v>
      </c>
      <c r="NO6" s="75">
        <v>23</v>
      </c>
      <c r="NP6" s="75">
        <v>18</v>
      </c>
      <c r="NQ6" s="75">
        <v>6</v>
      </c>
      <c r="NR6" s="75">
        <v>2</v>
      </c>
      <c r="NS6" s="75">
        <v>26</v>
      </c>
      <c r="NT6" s="75">
        <v>4</v>
      </c>
      <c r="NU6" s="75">
        <v>12</v>
      </c>
      <c r="NV6" s="75">
        <v>13</v>
      </c>
      <c r="NW6" s="75">
        <v>30</v>
      </c>
      <c r="NX6" s="75">
        <v>22</v>
      </c>
      <c r="NY6" s="75">
        <v>8</v>
      </c>
      <c r="NZ6" s="75">
        <v>18</v>
      </c>
      <c r="OA6" s="75">
        <v>25</v>
      </c>
      <c r="OB6" s="75">
        <v>6</v>
      </c>
      <c r="OC6" s="75">
        <v>22</v>
      </c>
      <c r="OD6" s="75">
        <v>18</v>
      </c>
      <c r="OE6" s="75">
        <v>4</v>
      </c>
      <c r="OF6" s="75">
        <v>10</v>
      </c>
      <c r="OG6" s="75">
        <v>14</v>
      </c>
      <c r="OH6" s="75">
        <v>16</v>
      </c>
      <c r="OI6" s="75">
        <v>12</v>
      </c>
      <c r="OJ6" s="75">
        <v>8</v>
      </c>
      <c r="OK6" s="75">
        <v>22</v>
      </c>
      <c r="OL6" s="75">
        <v>18</v>
      </c>
      <c r="OM6" s="75">
        <v>14</v>
      </c>
      <c r="ON6" s="75">
        <v>44</v>
      </c>
      <c r="OO6" s="75">
        <v>4</v>
      </c>
      <c r="OP6" s="75">
        <v>10</v>
      </c>
      <c r="OQ6" s="75">
        <v>12</v>
      </c>
      <c r="OR6" s="75">
        <v>18</v>
      </c>
      <c r="OS6" s="75">
        <v>21</v>
      </c>
      <c r="OT6" s="75">
        <v>2</v>
      </c>
      <c r="OU6" s="75">
        <v>14</v>
      </c>
      <c r="OV6" s="75">
        <v>9</v>
      </c>
      <c r="OW6" s="75">
        <v>17</v>
      </c>
      <c r="OX6" s="75">
        <v>10</v>
      </c>
      <c r="OY6" s="75">
        <v>25</v>
      </c>
      <c r="OZ6" s="75">
        <v>25</v>
      </c>
      <c r="PA6" s="75">
        <v>8</v>
      </c>
      <c r="PB6" s="75">
        <v>5</v>
      </c>
      <c r="PC6" s="75">
        <v>11</v>
      </c>
      <c r="PD6" s="75">
        <v>17</v>
      </c>
      <c r="PE6" s="75">
        <v>26</v>
      </c>
      <c r="PF6" s="75">
        <v>11</v>
      </c>
      <c r="PG6" s="75">
        <v>15</v>
      </c>
      <c r="PH6" s="75">
        <v>16</v>
      </c>
      <c r="PI6" s="75">
        <v>17</v>
      </c>
      <c r="PJ6" s="75">
        <v>7</v>
      </c>
      <c r="PK6" s="75">
        <v>10</v>
      </c>
      <c r="PL6" s="75">
        <v>12</v>
      </c>
      <c r="PM6" s="75">
        <v>17</v>
      </c>
      <c r="PN6" s="75">
        <v>5</v>
      </c>
      <c r="PO6" s="75">
        <v>8</v>
      </c>
      <c r="PP6" s="75">
        <v>3</v>
      </c>
      <c r="PQ6" s="75">
        <v>4</v>
      </c>
      <c r="PR6" s="75">
        <v>10</v>
      </c>
      <c r="PS6" s="75">
        <v>22</v>
      </c>
      <c r="PT6" s="75">
        <v>6</v>
      </c>
      <c r="PU6" s="75">
        <v>6</v>
      </c>
      <c r="PV6" s="75">
        <v>0</v>
      </c>
      <c r="PW6" s="75">
        <v>3</v>
      </c>
      <c r="PX6" s="75">
        <v>4</v>
      </c>
      <c r="PY6" s="75">
        <v>7</v>
      </c>
      <c r="PZ6" s="75">
        <v>7</v>
      </c>
      <c r="QA6" s="75">
        <v>11</v>
      </c>
      <c r="QB6" s="75">
        <v>17</v>
      </c>
      <c r="QC6" s="75">
        <v>0</v>
      </c>
      <c r="QD6" s="75">
        <v>9</v>
      </c>
      <c r="QE6" s="75">
        <v>6</v>
      </c>
      <c r="QF6" s="75">
        <v>6</v>
      </c>
      <c r="QG6" s="75">
        <v>5</v>
      </c>
      <c r="QH6" s="75">
        <v>2</v>
      </c>
      <c r="QI6" s="75">
        <v>2</v>
      </c>
      <c r="QJ6" s="75">
        <v>0</v>
      </c>
      <c r="QK6" s="75">
        <v>2</v>
      </c>
      <c r="QL6" s="75">
        <v>2</v>
      </c>
      <c r="QM6" s="75">
        <v>2</v>
      </c>
      <c r="QN6" s="75">
        <v>2</v>
      </c>
      <c r="QO6" s="75">
        <v>2</v>
      </c>
      <c r="QP6" s="75">
        <v>4</v>
      </c>
      <c r="QQ6" s="75">
        <v>0</v>
      </c>
      <c r="QR6" s="75">
        <v>12</v>
      </c>
      <c r="QS6" s="75">
        <v>10</v>
      </c>
      <c r="QT6" s="75">
        <v>10</v>
      </c>
      <c r="QU6" s="75">
        <v>15</v>
      </c>
      <c r="QV6" s="75">
        <v>21</v>
      </c>
      <c r="QW6" s="75">
        <v>23</v>
      </c>
      <c r="QX6" s="75">
        <v>0</v>
      </c>
      <c r="QY6" s="75">
        <v>25</v>
      </c>
      <c r="QZ6" s="75">
        <v>31</v>
      </c>
      <c r="RA6" s="75">
        <v>22</v>
      </c>
      <c r="RB6" s="75">
        <v>19</v>
      </c>
      <c r="RC6" s="75">
        <v>19</v>
      </c>
      <c r="RD6" s="75">
        <v>19</v>
      </c>
      <c r="RE6" s="75">
        <v>0</v>
      </c>
      <c r="RF6" s="75">
        <v>19</v>
      </c>
      <c r="RG6" s="75">
        <v>16</v>
      </c>
      <c r="RH6" s="75">
        <v>26</v>
      </c>
      <c r="RI6" s="75">
        <v>16</v>
      </c>
      <c r="RJ6" s="75">
        <v>16</v>
      </c>
      <c r="RK6" s="75">
        <v>16</v>
      </c>
      <c r="RL6" s="75">
        <v>0</v>
      </c>
      <c r="RM6" s="75">
        <v>15</v>
      </c>
      <c r="RN6" s="75">
        <v>16</v>
      </c>
      <c r="RO6" s="75">
        <v>14</v>
      </c>
      <c r="RP6" s="75">
        <v>24</v>
      </c>
      <c r="RQ6" s="75">
        <v>15</v>
      </c>
      <c r="RR6" s="75">
        <v>19</v>
      </c>
      <c r="RS6" s="75">
        <v>0</v>
      </c>
      <c r="RT6" s="75">
        <v>22</v>
      </c>
      <c r="RU6" s="75">
        <v>22</v>
      </c>
      <c r="RV6" s="75">
        <v>22</v>
      </c>
      <c r="RW6" s="75">
        <v>22</v>
      </c>
      <c r="RX6" s="75">
        <v>22</v>
      </c>
      <c r="RY6" s="75">
        <v>22</v>
      </c>
      <c r="RZ6" s="75">
        <v>0</v>
      </c>
      <c r="SA6" s="75">
        <v>22</v>
      </c>
      <c r="SB6" s="75">
        <v>22</v>
      </c>
      <c r="SC6" s="75">
        <v>22</v>
      </c>
      <c r="SD6" s="75">
        <v>23</v>
      </c>
      <c r="SE6" s="75">
        <v>25</v>
      </c>
      <c r="SF6" s="75">
        <v>26</v>
      </c>
      <c r="SG6" s="75">
        <v>0</v>
      </c>
      <c r="SH6" s="75">
        <v>29</v>
      </c>
      <c r="SI6" s="75">
        <v>25</v>
      </c>
      <c r="SJ6" s="75">
        <v>24</v>
      </c>
      <c r="SK6" s="75">
        <v>19</v>
      </c>
      <c r="SL6" s="75">
        <v>22</v>
      </c>
      <c r="SM6" s="75">
        <v>22</v>
      </c>
      <c r="SN6" s="75">
        <v>0</v>
      </c>
      <c r="SO6" s="75">
        <v>21</v>
      </c>
      <c r="SP6" s="75">
        <v>18</v>
      </c>
      <c r="SQ6" s="75">
        <v>16</v>
      </c>
      <c r="SR6" s="75">
        <v>16</v>
      </c>
      <c r="SS6" s="75">
        <v>19</v>
      </c>
      <c r="ST6" s="75">
        <v>19</v>
      </c>
      <c r="SU6" s="75">
        <v>0</v>
      </c>
      <c r="SV6" s="75">
        <v>17</v>
      </c>
      <c r="SW6" s="75">
        <v>11</v>
      </c>
      <c r="SX6" s="75">
        <v>11</v>
      </c>
      <c r="SY6" s="75">
        <v>8</v>
      </c>
      <c r="SZ6" s="75">
        <v>8</v>
      </c>
      <c r="TA6" s="75">
        <v>4</v>
      </c>
      <c r="TB6" s="75">
        <v>0</v>
      </c>
      <c r="TC6" s="75">
        <v>11</v>
      </c>
      <c r="TD6" s="75">
        <v>8</v>
      </c>
      <c r="TE6" s="75">
        <v>8</v>
      </c>
      <c r="TF6" s="75">
        <v>3</v>
      </c>
      <c r="TG6" s="75">
        <v>3</v>
      </c>
      <c r="TH6" s="75">
        <v>0</v>
      </c>
      <c r="TI6" s="75">
        <v>0</v>
      </c>
      <c r="TJ6" s="75">
        <v>0</v>
      </c>
      <c r="TK6" s="75">
        <v>0</v>
      </c>
      <c r="TL6" s="75">
        <v>0</v>
      </c>
      <c r="TM6" s="75">
        <v>0</v>
      </c>
      <c r="TN6" s="75">
        <v>0</v>
      </c>
      <c r="TO6" s="75">
        <v>0</v>
      </c>
      <c r="TP6" s="75">
        <v>0</v>
      </c>
      <c r="TQ6" s="75">
        <v>0</v>
      </c>
      <c r="TR6" s="75">
        <v>0</v>
      </c>
      <c r="TS6" s="75">
        <v>0</v>
      </c>
      <c r="TT6" s="75">
        <v>0</v>
      </c>
      <c r="TU6" s="75">
        <v>0</v>
      </c>
      <c r="TV6" s="75">
        <v>0</v>
      </c>
      <c r="TW6" s="75">
        <v>0</v>
      </c>
      <c r="TX6" s="75">
        <v>0</v>
      </c>
      <c r="TY6" s="75">
        <v>0</v>
      </c>
      <c r="TZ6" s="75">
        <v>0</v>
      </c>
      <c r="UA6" s="75">
        <v>0</v>
      </c>
      <c r="UB6" s="75">
        <v>0</v>
      </c>
      <c r="UC6" s="75">
        <v>0</v>
      </c>
      <c r="UD6" s="75">
        <v>0</v>
      </c>
      <c r="UE6" s="75">
        <v>0</v>
      </c>
      <c r="UF6" s="75">
        <v>0</v>
      </c>
      <c r="UG6" s="75">
        <v>0</v>
      </c>
      <c r="UH6" s="75">
        <v>0</v>
      </c>
      <c r="UI6" s="75">
        <v>1</v>
      </c>
      <c r="UJ6" s="75">
        <v>4</v>
      </c>
      <c r="UK6" s="75">
        <v>0</v>
      </c>
      <c r="UL6" s="75">
        <v>4</v>
      </c>
      <c r="UM6" s="75">
        <v>2</v>
      </c>
      <c r="UN6" s="75">
        <v>2</v>
      </c>
      <c r="UO6" s="75">
        <v>0</v>
      </c>
      <c r="UP6" s="75">
        <v>0</v>
      </c>
      <c r="UQ6" s="75">
        <v>0</v>
      </c>
      <c r="UR6" s="75">
        <v>0</v>
      </c>
      <c r="US6" s="75">
        <v>0</v>
      </c>
      <c r="UT6" s="75">
        <v>0</v>
      </c>
      <c r="UU6" s="75">
        <v>0</v>
      </c>
      <c r="UV6" s="75">
        <v>0</v>
      </c>
      <c r="UW6" s="75">
        <v>0</v>
      </c>
      <c r="UX6" s="75">
        <v>0</v>
      </c>
      <c r="UY6" s="75">
        <v>0</v>
      </c>
      <c r="UZ6" s="75">
        <v>0</v>
      </c>
      <c r="VA6" s="75">
        <v>0</v>
      </c>
      <c r="VB6" s="75">
        <v>0</v>
      </c>
      <c r="VC6" s="75">
        <v>0</v>
      </c>
      <c r="VD6" s="75">
        <v>0</v>
      </c>
      <c r="VE6" s="75">
        <v>0</v>
      </c>
      <c r="VF6" s="75">
        <v>0</v>
      </c>
      <c r="VG6" s="75">
        <v>0</v>
      </c>
      <c r="VH6" s="75">
        <v>0</v>
      </c>
      <c r="VI6" s="75">
        <v>0</v>
      </c>
      <c r="VJ6" s="75">
        <v>2</v>
      </c>
      <c r="VK6" s="75">
        <v>2</v>
      </c>
      <c r="VL6" s="75">
        <v>2</v>
      </c>
      <c r="VM6" s="75">
        <v>0</v>
      </c>
      <c r="VN6" s="75">
        <v>2</v>
      </c>
      <c r="VO6" s="75">
        <v>2</v>
      </c>
      <c r="VP6" s="75">
        <v>2</v>
      </c>
      <c r="VQ6" s="75">
        <v>2</v>
      </c>
      <c r="VR6" s="75">
        <v>2</v>
      </c>
      <c r="VS6" s="75">
        <v>2</v>
      </c>
      <c r="VT6" s="75">
        <v>0</v>
      </c>
      <c r="VU6" s="75">
        <v>2</v>
      </c>
      <c r="VV6" s="75">
        <v>2</v>
      </c>
      <c r="VW6" s="75">
        <v>2</v>
      </c>
      <c r="VX6" s="75">
        <v>0</v>
      </c>
      <c r="VY6" s="75">
        <v>0</v>
      </c>
      <c r="VZ6" s="75">
        <v>0</v>
      </c>
      <c r="WA6" s="75">
        <v>0</v>
      </c>
      <c r="WB6" s="75">
        <v>0</v>
      </c>
      <c r="WC6" s="75">
        <v>0</v>
      </c>
      <c r="WD6" s="75">
        <v>0</v>
      </c>
      <c r="WE6" s="75">
        <v>0</v>
      </c>
      <c r="WF6" s="75">
        <v>0</v>
      </c>
      <c r="WG6" s="75">
        <v>0</v>
      </c>
      <c r="WH6" s="75">
        <v>0</v>
      </c>
      <c r="WI6" s="75">
        <v>0</v>
      </c>
      <c r="WJ6" s="75">
        <v>0</v>
      </c>
      <c r="WK6" s="75">
        <v>0</v>
      </c>
      <c r="WL6" s="75">
        <v>0</v>
      </c>
      <c r="WM6" s="75">
        <v>0</v>
      </c>
      <c r="WN6" s="75">
        <v>0</v>
      </c>
      <c r="WO6" s="75">
        <v>0</v>
      </c>
      <c r="WP6" s="75">
        <v>0</v>
      </c>
      <c r="WQ6" s="75">
        <v>0</v>
      </c>
      <c r="WR6" s="75">
        <v>0</v>
      </c>
      <c r="WS6" s="75">
        <v>0</v>
      </c>
      <c r="WT6" s="75">
        <v>0</v>
      </c>
      <c r="WU6" s="75">
        <v>0</v>
      </c>
      <c r="WV6" s="75">
        <v>0</v>
      </c>
      <c r="WW6" s="75">
        <v>0</v>
      </c>
      <c r="WX6" s="75">
        <v>0</v>
      </c>
      <c r="WY6" s="75">
        <v>0</v>
      </c>
      <c r="WZ6" s="75">
        <v>0</v>
      </c>
      <c r="XA6" s="75">
        <v>0</v>
      </c>
      <c r="XB6" s="75">
        <v>0</v>
      </c>
      <c r="XC6" s="75">
        <v>0</v>
      </c>
      <c r="XD6" s="75">
        <v>0</v>
      </c>
      <c r="XE6" s="75">
        <v>0</v>
      </c>
      <c r="XF6" s="75">
        <v>0</v>
      </c>
      <c r="XG6" s="75">
        <v>0</v>
      </c>
      <c r="XH6" s="75">
        <v>0</v>
      </c>
      <c r="XI6" s="75">
        <v>0</v>
      </c>
      <c r="XJ6" s="75">
        <v>0</v>
      </c>
      <c r="XK6" s="75">
        <v>0</v>
      </c>
      <c r="XL6" s="75">
        <v>0</v>
      </c>
      <c r="XM6" s="75">
        <v>0</v>
      </c>
      <c r="XN6" s="75">
        <v>0</v>
      </c>
      <c r="XO6" s="75">
        <v>0</v>
      </c>
      <c r="XP6" s="75">
        <v>0</v>
      </c>
      <c r="XQ6" s="75">
        <v>0</v>
      </c>
      <c r="XR6" s="75">
        <v>0</v>
      </c>
      <c r="XS6" s="75">
        <v>0</v>
      </c>
      <c r="XT6" s="75">
        <v>0</v>
      </c>
      <c r="XU6" s="75">
        <v>0</v>
      </c>
      <c r="XV6" s="75">
        <v>0</v>
      </c>
      <c r="XW6" s="75">
        <v>0</v>
      </c>
      <c r="XX6" s="75">
        <v>0</v>
      </c>
      <c r="XY6" s="75">
        <v>0</v>
      </c>
      <c r="XZ6" s="75">
        <v>0</v>
      </c>
      <c r="YA6" s="75">
        <v>0</v>
      </c>
      <c r="YB6" s="75">
        <v>0</v>
      </c>
      <c r="YC6" s="75">
        <v>0</v>
      </c>
      <c r="YD6" s="75">
        <v>0</v>
      </c>
      <c r="YE6" s="75">
        <v>0</v>
      </c>
      <c r="YF6" s="75">
        <v>0</v>
      </c>
      <c r="YG6" s="75">
        <v>0</v>
      </c>
      <c r="YH6" s="75">
        <v>0</v>
      </c>
      <c r="YI6" s="75">
        <v>0</v>
      </c>
      <c r="YJ6" s="75">
        <v>0</v>
      </c>
      <c r="YK6" s="75">
        <v>0</v>
      </c>
      <c r="YL6" s="75">
        <v>0</v>
      </c>
      <c r="YM6" s="75">
        <v>0</v>
      </c>
      <c r="YN6" s="75">
        <v>0</v>
      </c>
      <c r="YO6" s="75">
        <v>0</v>
      </c>
      <c r="YP6" s="75">
        <v>0</v>
      </c>
      <c r="YQ6" s="75">
        <v>0</v>
      </c>
      <c r="YR6" s="75">
        <v>0</v>
      </c>
      <c r="YS6" s="75">
        <v>0</v>
      </c>
      <c r="YT6" s="75">
        <v>0</v>
      </c>
      <c r="YU6" s="75">
        <v>0</v>
      </c>
      <c r="YV6" s="75">
        <v>0</v>
      </c>
      <c r="YW6" s="75">
        <v>0</v>
      </c>
      <c r="YX6" s="75">
        <v>0</v>
      </c>
      <c r="YY6" s="75">
        <v>0</v>
      </c>
      <c r="YZ6" s="75">
        <v>0</v>
      </c>
      <c r="ZA6" s="75">
        <v>0</v>
      </c>
      <c r="ZB6" s="75">
        <v>0</v>
      </c>
      <c r="ZC6" s="75">
        <v>0</v>
      </c>
      <c r="ZD6" s="75">
        <v>0</v>
      </c>
      <c r="ZE6" s="75">
        <v>0</v>
      </c>
      <c r="ZF6" s="75">
        <v>0</v>
      </c>
      <c r="ZG6" s="75">
        <v>0</v>
      </c>
      <c r="ZH6" s="75">
        <v>0</v>
      </c>
      <c r="ZI6" s="75">
        <v>0</v>
      </c>
      <c r="ZJ6" s="75">
        <v>0</v>
      </c>
      <c r="ZK6" s="75">
        <v>0</v>
      </c>
      <c r="ZL6" s="75">
        <v>0</v>
      </c>
      <c r="ZM6" s="75">
        <v>0</v>
      </c>
      <c r="ZN6" s="75">
        <v>0</v>
      </c>
      <c r="ZO6" s="75">
        <v>0</v>
      </c>
      <c r="ZP6" s="75">
        <v>0</v>
      </c>
      <c r="ZQ6" s="75">
        <v>0</v>
      </c>
      <c r="ZR6" s="75">
        <v>0</v>
      </c>
      <c r="ZS6" s="75">
        <v>0</v>
      </c>
      <c r="ZT6" s="75">
        <v>0</v>
      </c>
      <c r="ZU6" s="75">
        <v>0</v>
      </c>
      <c r="ZV6" s="75">
        <v>0</v>
      </c>
      <c r="ZW6" s="75">
        <v>0</v>
      </c>
      <c r="ZX6" s="75">
        <v>0</v>
      </c>
      <c r="ZY6" s="75">
        <v>0</v>
      </c>
      <c r="ZZ6" s="75">
        <v>0</v>
      </c>
      <c r="AAA6" s="75">
        <v>0</v>
      </c>
      <c r="AAB6" s="75">
        <v>0</v>
      </c>
      <c r="AAC6" s="75">
        <v>0</v>
      </c>
      <c r="AAD6" s="75">
        <v>0</v>
      </c>
      <c r="AAE6" s="75">
        <v>0</v>
      </c>
      <c r="AAF6" s="75">
        <v>0</v>
      </c>
      <c r="AAG6" s="75">
        <v>0</v>
      </c>
      <c r="AAH6" s="75">
        <v>0</v>
      </c>
      <c r="AAI6" s="75">
        <v>0</v>
      </c>
      <c r="AAJ6" s="75">
        <v>0</v>
      </c>
      <c r="AAK6" s="75">
        <v>0</v>
      </c>
      <c r="AAL6" s="75">
        <v>0</v>
      </c>
      <c r="AAM6" s="75">
        <v>0</v>
      </c>
      <c r="AAN6" s="75">
        <v>0</v>
      </c>
      <c r="AAO6" s="75">
        <v>0</v>
      </c>
      <c r="AAP6" s="75">
        <v>0</v>
      </c>
      <c r="AAQ6" s="75">
        <v>0</v>
      </c>
      <c r="AAR6" s="75">
        <v>0</v>
      </c>
      <c r="AAS6" s="75">
        <v>0</v>
      </c>
      <c r="AAT6" s="75">
        <v>0</v>
      </c>
      <c r="AAU6" s="75">
        <v>0</v>
      </c>
      <c r="AAV6" s="75">
        <v>0</v>
      </c>
      <c r="AAW6" s="75">
        <v>0</v>
      </c>
      <c r="AAX6" s="75">
        <v>0</v>
      </c>
      <c r="AAY6" s="75">
        <v>0</v>
      </c>
      <c r="AAZ6" s="75">
        <v>0</v>
      </c>
      <c r="ABA6" s="75">
        <v>0</v>
      </c>
      <c r="ABB6" s="75">
        <v>0</v>
      </c>
      <c r="ABC6" s="75">
        <v>0</v>
      </c>
    </row>
    <row r="7" spans="1:731">
      <c r="A7" s="75" t="s">
        <v>44</v>
      </c>
      <c r="B7" s="75">
        <v>0</v>
      </c>
      <c r="C7" s="75">
        <v>0</v>
      </c>
      <c r="D7" s="75">
        <v>0</v>
      </c>
      <c r="E7" s="75">
        <v>0</v>
      </c>
      <c r="F7" s="75">
        <v>0</v>
      </c>
      <c r="G7" s="75">
        <v>0</v>
      </c>
      <c r="H7" s="75">
        <v>0</v>
      </c>
      <c r="I7" s="75">
        <v>0</v>
      </c>
      <c r="J7" s="75">
        <v>0</v>
      </c>
      <c r="K7" s="75">
        <v>10</v>
      </c>
      <c r="L7" s="75">
        <v>10</v>
      </c>
      <c r="M7" s="75">
        <v>10</v>
      </c>
      <c r="N7" s="75">
        <v>10</v>
      </c>
      <c r="O7" s="75">
        <v>10</v>
      </c>
      <c r="P7" s="75">
        <v>10</v>
      </c>
      <c r="Q7" s="75">
        <v>10</v>
      </c>
      <c r="R7" s="75">
        <v>10</v>
      </c>
      <c r="S7" s="75">
        <v>10</v>
      </c>
      <c r="T7" s="75">
        <v>10</v>
      </c>
      <c r="U7" s="75">
        <v>10</v>
      </c>
      <c r="V7" s="75">
        <v>10</v>
      </c>
      <c r="W7" s="75">
        <v>10</v>
      </c>
      <c r="X7" s="75">
        <v>10</v>
      </c>
      <c r="Y7" s="75">
        <v>10</v>
      </c>
      <c r="Z7" s="75">
        <v>10</v>
      </c>
      <c r="AA7" s="75">
        <v>10</v>
      </c>
      <c r="AB7" s="75">
        <v>10</v>
      </c>
      <c r="AC7" s="75">
        <v>10</v>
      </c>
      <c r="AD7" s="75">
        <v>10</v>
      </c>
      <c r="AE7" s="75">
        <v>10</v>
      </c>
      <c r="AF7" s="75">
        <v>10</v>
      </c>
      <c r="AG7" s="75">
        <v>10</v>
      </c>
      <c r="AH7" s="75">
        <v>10</v>
      </c>
      <c r="AI7" s="75">
        <v>10</v>
      </c>
      <c r="AJ7" s="75">
        <v>10</v>
      </c>
      <c r="AK7" s="75">
        <v>0</v>
      </c>
      <c r="AL7" s="75">
        <v>0</v>
      </c>
      <c r="AM7" s="75">
        <v>0</v>
      </c>
      <c r="AN7" s="75">
        <v>0</v>
      </c>
      <c r="AO7" s="75">
        <v>0</v>
      </c>
      <c r="AP7" s="75">
        <v>0</v>
      </c>
      <c r="AQ7" s="75">
        <v>0</v>
      </c>
      <c r="AR7" s="75">
        <v>0</v>
      </c>
      <c r="AS7" s="75">
        <v>0</v>
      </c>
      <c r="AT7" s="75">
        <v>0</v>
      </c>
      <c r="AU7" s="75">
        <v>0</v>
      </c>
      <c r="AV7" s="75">
        <v>0</v>
      </c>
      <c r="AW7" s="75">
        <v>0</v>
      </c>
      <c r="AX7" s="75">
        <v>0</v>
      </c>
      <c r="AY7" s="75">
        <v>0</v>
      </c>
      <c r="AZ7" s="75">
        <v>0</v>
      </c>
      <c r="BA7" s="75">
        <v>0</v>
      </c>
      <c r="BB7" s="75">
        <v>0</v>
      </c>
      <c r="BC7" s="75">
        <v>0</v>
      </c>
      <c r="BD7" s="75">
        <v>0</v>
      </c>
      <c r="BE7" s="75">
        <v>0</v>
      </c>
      <c r="BF7" s="75">
        <v>0</v>
      </c>
      <c r="BG7" s="75">
        <v>0</v>
      </c>
      <c r="BH7" s="75">
        <v>0</v>
      </c>
      <c r="BI7" s="75">
        <v>0</v>
      </c>
      <c r="BJ7" s="75">
        <v>0</v>
      </c>
      <c r="BK7" s="75">
        <v>0</v>
      </c>
      <c r="BL7" s="75">
        <v>0</v>
      </c>
      <c r="BM7" s="75">
        <v>0</v>
      </c>
      <c r="BN7" s="75">
        <v>0</v>
      </c>
      <c r="BO7" s="75">
        <v>0</v>
      </c>
      <c r="BP7" s="75">
        <v>0</v>
      </c>
      <c r="BQ7" s="75">
        <v>0</v>
      </c>
      <c r="BR7" s="75">
        <v>0</v>
      </c>
      <c r="BS7" s="75">
        <v>0</v>
      </c>
      <c r="BT7" s="75">
        <v>0</v>
      </c>
      <c r="BU7" s="75">
        <v>0</v>
      </c>
      <c r="BV7" s="75">
        <v>0</v>
      </c>
      <c r="BW7" s="75">
        <v>0</v>
      </c>
      <c r="BX7" s="75">
        <v>0</v>
      </c>
      <c r="BY7" s="75">
        <v>0</v>
      </c>
      <c r="BZ7" s="75">
        <v>0</v>
      </c>
      <c r="CA7" s="75">
        <v>0</v>
      </c>
      <c r="CB7" s="75">
        <v>14</v>
      </c>
      <c r="CC7" s="75">
        <v>0</v>
      </c>
      <c r="CD7" s="75">
        <v>14</v>
      </c>
      <c r="CE7" s="75">
        <v>14</v>
      </c>
      <c r="CF7" s="75">
        <v>14</v>
      </c>
      <c r="CG7" s="75">
        <v>18</v>
      </c>
      <c r="CH7" s="75">
        <v>4</v>
      </c>
      <c r="CI7" s="75">
        <v>4</v>
      </c>
      <c r="CJ7" s="75">
        <v>0</v>
      </c>
      <c r="CK7" s="75">
        <v>8</v>
      </c>
      <c r="CL7" s="75">
        <v>30</v>
      </c>
      <c r="CM7" s="75">
        <v>30</v>
      </c>
      <c r="CN7" s="75">
        <v>30</v>
      </c>
      <c r="CO7" s="75">
        <v>26</v>
      </c>
      <c r="CP7" s="75">
        <v>26</v>
      </c>
      <c r="CQ7" s="75">
        <v>0</v>
      </c>
      <c r="CR7" s="75">
        <v>22</v>
      </c>
      <c r="CS7" s="75">
        <v>26</v>
      </c>
      <c r="CT7" s="75">
        <v>26</v>
      </c>
      <c r="CU7" s="75">
        <v>30</v>
      </c>
      <c r="CV7" s="75">
        <v>33</v>
      </c>
      <c r="CW7" s="75">
        <v>23</v>
      </c>
      <c r="CX7" s="75">
        <v>0</v>
      </c>
      <c r="CY7" s="75">
        <v>20</v>
      </c>
      <c r="CZ7" s="75">
        <v>8</v>
      </c>
      <c r="DA7" s="75">
        <v>8</v>
      </c>
      <c r="DB7" s="75">
        <v>11</v>
      </c>
      <c r="DC7" s="75">
        <v>21</v>
      </c>
      <c r="DD7" s="75">
        <v>18</v>
      </c>
      <c r="DE7" s="75">
        <v>0</v>
      </c>
      <c r="DF7" s="75">
        <v>18</v>
      </c>
      <c r="DG7" s="75">
        <v>23</v>
      </c>
      <c r="DH7" s="75">
        <v>23</v>
      </c>
      <c r="DI7" s="75">
        <v>21</v>
      </c>
      <c r="DJ7" s="75">
        <v>21</v>
      </c>
      <c r="DK7" s="75">
        <v>30</v>
      </c>
      <c r="DL7" s="75">
        <v>0</v>
      </c>
      <c r="DM7" s="75">
        <v>30</v>
      </c>
      <c r="DN7" s="75">
        <v>36</v>
      </c>
      <c r="DO7" s="75">
        <v>56</v>
      </c>
      <c r="DP7" s="75">
        <v>48</v>
      </c>
      <c r="DQ7" s="75">
        <v>52</v>
      </c>
      <c r="DR7" s="75">
        <v>43</v>
      </c>
      <c r="DS7" s="75">
        <v>0</v>
      </c>
      <c r="DT7" s="75">
        <v>33</v>
      </c>
      <c r="DU7" s="75">
        <v>33</v>
      </c>
      <c r="DV7" s="75">
        <v>41</v>
      </c>
      <c r="DW7" s="75">
        <v>42</v>
      </c>
      <c r="DX7" s="75">
        <v>42</v>
      </c>
      <c r="DY7" s="75">
        <v>60</v>
      </c>
      <c r="DZ7" s="75">
        <v>0</v>
      </c>
      <c r="EA7" s="75">
        <v>41</v>
      </c>
      <c r="EB7" s="75">
        <v>47</v>
      </c>
      <c r="EC7" s="75">
        <v>51</v>
      </c>
      <c r="ED7" s="75">
        <v>56</v>
      </c>
      <c r="EE7" s="75">
        <v>41</v>
      </c>
      <c r="EF7" s="75">
        <v>58</v>
      </c>
      <c r="EG7" s="75">
        <v>0</v>
      </c>
      <c r="EH7" s="75">
        <v>72</v>
      </c>
      <c r="EI7" s="75">
        <v>61</v>
      </c>
      <c r="EJ7" s="75">
        <v>67</v>
      </c>
      <c r="EK7" s="75">
        <v>77</v>
      </c>
      <c r="EL7" s="75">
        <v>58</v>
      </c>
      <c r="EM7" s="75">
        <v>54</v>
      </c>
      <c r="EN7" s="75">
        <v>0</v>
      </c>
      <c r="EO7" s="75">
        <v>58</v>
      </c>
      <c r="EP7" s="75">
        <v>48</v>
      </c>
      <c r="EQ7" s="75">
        <v>43</v>
      </c>
      <c r="ER7" s="75">
        <v>29</v>
      </c>
      <c r="ES7" s="75">
        <v>24</v>
      </c>
      <c r="ET7" s="75">
        <v>24</v>
      </c>
      <c r="EU7" s="75">
        <v>0</v>
      </c>
      <c r="EV7" s="75">
        <v>12</v>
      </c>
      <c r="EW7" s="75">
        <v>19</v>
      </c>
      <c r="EX7" s="75">
        <v>16</v>
      </c>
      <c r="EY7" s="75">
        <v>16</v>
      </c>
      <c r="EZ7" s="75">
        <v>11</v>
      </c>
      <c r="FA7" s="75">
        <v>11</v>
      </c>
      <c r="FB7" s="75">
        <v>0</v>
      </c>
      <c r="FC7" s="75">
        <v>15</v>
      </c>
      <c r="FD7" s="75">
        <v>11</v>
      </c>
      <c r="FE7" s="75">
        <v>9</v>
      </c>
      <c r="FF7" s="75">
        <v>10</v>
      </c>
      <c r="FG7" s="75">
        <v>11</v>
      </c>
      <c r="FH7" s="75">
        <v>11</v>
      </c>
      <c r="FI7" s="75">
        <v>0</v>
      </c>
      <c r="FJ7" s="75">
        <v>2</v>
      </c>
      <c r="FK7" s="75">
        <v>2</v>
      </c>
      <c r="FL7" s="75">
        <v>6</v>
      </c>
      <c r="FM7" s="75">
        <v>6</v>
      </c>
      <c r="FN7" s="75">
        <v>6</v>
      </c>
      <c r="FO7" s="75">
        <v>6</v>
      </c>
      <c r="FP7" s="75">
        <v>0</v>
      </c>
      <c r="FQ7" s="75">
        <v>6</v>
      </c>
      <c r="FR7" s="75">
        <v>9</v>
      </c>
      <c r="FS7" s="75">
        <v>18</v>
      </c>
      <c r="FT7" s="75">
        <v>17</v>
      </c>
      <c r="FU7" s="75">
        <v>13</v>
      </c>
      <c r="FV7" s="75">
        <v>9</v>
      </c>
      <c r="FW7" s="75">
        <v>0</v>
      </c>
      <c r="FX7" s="75">
        <v>16</v>
      </c>
      <c r="FY7" s="75">
        <v>16</v>
      </c>
      <c r="FZ7" s="75">
        <v>14</v>
      </c>
      <c r="GA7" s="75">
        <v>15</v>
      </c>
      <c r="GB7" s="75">
        <v>15</v>
      </c>
      <c r="GC7" s="75">
        <v>12</v>
      </c>
      <c r="GD7" s="75">
        <v>0</v>
      </c>
      <c r="GE7" s="75">
        <v>11</v>
      </c>
      <c r="GF7" s="75">
        <v>17</v>
      </c>
      <c r="GG7" s="75">
        <v>16</v>
      </c>
      <c r="GH7" s="75">
        <v>17</v>
      </c>
      <c r="GI7" s="75">
        <v>43</v>
      </c>
      <c r="GJ7" s="75">
        <v>36</v>
      </c>
      <c r="GK7" s="75">
        <v>0</v>
      </c>
      <c r="GL7" s="75">
        <v>48</v>
      </c>
      <c r="GM7" s="75">
        <v>59</v>
      </c>
      <c r="GN7" s="75">
        <v>71</v>
      </c>
      <c r="GO7" s="75">
        <v>62</v>
      </c>
      <c r="GP7" s="75">
        <v>53</v>
      </c>
      <c r="GQ7" s="75">
        <v>25</v>
      </c>
      <c r="GR7" s="75">
        <v>0</v>
      </c>
      <c r="GS7" s="75">
        <v>45</v>
      </c>
      <c r="GT7" s="75">
        <v>53</v>
      </c>
      <c r="GU7" s="75">
        <v>53</v>
      </c>
      <c r="GV7" s="75">
        <v>63</v>
      </c>
      <c r="GW7" s="75">
        <v>59</v>
      </c>
      <c r="GX7" s="75">
        <v>53</v>
      </c>
      <c r="GY7" s="75">
        <v>0</v>
      </c>
      <c r="GZ7" s="75">
        <v>15</v>
      </c>
      <c r="HA7" s="75">
        <v>12</v>
      </c>
      <c r="HB7" s="75">
        <v>15</v>
      </c>
      <c r="HC7" s="75">
        <v>16</v>
      </c>
      <c r="HD7" s="75">
        <v>11</v>
      </c>
      <c r="HE7" s="75">
        <v>19</v>
      </c>
      <c r="HF7" s="75">
        <v>0</v>
      </c>
      <c r="HG7" s="75">
        <v>6</v>
      </c>
      <c r="HH7" s="75">
        <v>13</v>
      </c>
      <c r="HI7" s="75">
        <v>22</v>
      </c>
      <c r="HJ7" s="75">
        <v>18</v>
      </c>
      <c r="HK7" s="75">
        <v>18</v>
      </c>
      <c r="HL7" s="75">
        <v>10</v>
      </c>
      <c r="HM7" s="75">
        <v>0</v>
      </c>
      <c r="HN7" s="75">
        <v>10</v>
      </c>
      <c r="HO7" s="75">
        <v>0</v>
      </c>
      <c r="HP7" s="75">
        <v>2</v>
      </c>
      <c r="HQ7" s="75">
        <v>14</v>
      </c>
      <c r="HR7" s="75">
        <v>39</v>
      </c>
      <c r="HS7" s="75">
        <v>22</v>
      </c>
      <c r="HT7" s="75">
        <v>0</v>
      </c>
      <c r="HU7" s="75">
        <v>44</v>
      </c>
      <c r="HV7" s="75">
        <v>41</v>
      </c>
      <c r="HW7" s="75">
        <v>46</v>
      </c>
      <c r="HX7" s="75">
        <v>58</v>
      </c>
      <c r="HY7" s="75">
        <v>67</v>
      </c>
      <c r="HZ7" s="75">
        <v>61</v>
      </c>
      <c r="IA7" s="75">
        <v>0</v>
      </c>
      <c r="IB7" s="75">
        <v>52</v>
      </c>
      <c r="IC7" s="75">
        <v>61</v>
      </c>
      <c r="ID7" s="75">
        <v>37</v>
      </c>
      <c r="IE7" s="75">
        <v>47</v>
      </c>
      <c r="IF7" s="75">
        <v>49</v>
      </c>
      <c r="IG7" s="75">
        <v>54</v>
      </c>
      <c r="IH7" s="75">
        <v>0</v>
      </c>
      <c r="II7" s="75">
        <v>46</v>
      </c>
      <c r="IJ7" s="75">
        <v>36</v>
      </c>
      <c r="IK7" s="75">
        <v>40</v>
      </c>
      <c r="IL7" s="75">
        <v>66</v>
      </c>
      <c r="IM7" s="75">
        <v>65</v>
      </c>
      <c r="IN7" s="75">
        <v>65</v>
      </c>
      <c r="IO7" s="75">
        <v>0</v>
      </c>
      <c r="IP7" s="75">
        <v>72</v>
      </c>
      <c r="IQ7" s="75">
        <v>67</v>
      </c>
      <c r="IR7" s="75">
        <v>73</v>
      </c>
      <c r="IS7" s="75">
        <v>67</v>
      </c>
      <c r="IT7" s="75">
        <v>50</v>
      </c>
      <c r="IU7" s="75">
        <v>42</v>
      </c>
      <c r="IV7" s="75">
        <v>0</v>
      </c>
      <c r="IW7" s="75">
        <v>40</v>
      </c>
      <c r="IX7" s="75">
        <v>33</v>
      </c>
      <c r="IY7" s="75">
        <v>29</v>
      </c>
      <c r="IZ7" s="75">
        <v>34</v>
      </c>
      <c r="JA7" s="75">
        <v>57</v>
      </c>
      <c r="JB7" s="75">
        <v>74</v>
      </c>
      <c r="JC7" s="75">
        <v>0</v>
      </c>
      <c r="JD7" s="75">
        <v>80</v>
      </c>
      <c r="JE7" s="75">
        <v>72</v>
      </c>
      <c r="JF7" s="75">
        <v>54</v>
      </c>
      <c r="JG7" s="75">
        <v>46</v>
      </c>
      <c r="JH7" s="75">
        <v>37</v>
      </c>
      <c r="JI7" s="75">
        <v>39</v>
      </c>
      <c r="JJ7" s="75">
        <v>8</v>
      </c>
      <c r="JK7" s="75">
        <v>34</v>
      </c>
      <c r="JL7" s="75">
        <v>31</v>
      </c>
      <c r="JM7" s="75">
        <v>36</v>
      </c>
      <c r="JN7" s="75">
        <v>37</v>
      </c>
      <c r="JO7" s="75">
        <v>61</v>
      </c>
      <c r="JP7" s="75">
        <v>77</v>
      </c>
      <c r="JQ7" s="75">
        <v>0</v>
      </c>
      <c r="JR7" s="75">
        <v>0</v>
      </c>
      <c r="JS7" s="75">
        <v>0</v>
      </c>
      <c r="JT7" s="75">
        <v>0</v>
      </c>
      <c r="JU7" s="75">
        <v>0</v>
      </c>
      <c r="JV7" s="75">
        <v>79</v>
      </c>
      <c r="JW7" s="75">
        <v>76</v>
      </c>
      <c r="JX7" s="75">
        <v>0</v>
      </c>
      <c r="JY7" s="75">
        <v>66</v>
      </c>
      <c r="JZ7" s="75">
        <v>72</v>
      </c>
      <c r="KA7" s="75">
        <v>60</v>
      </c>
      <c r="KB7" s="75">
        <v>40</v>
      </c>
      <c r="KC7" s="75">
        <v>45</v>
      </c>
      <c r="KD7" s="75">
        <v>59</v>
      </c>
      <c r="KE7" s="75">
        <v>0</v>
      </c>
      <c r="KF7" s="75">
        <v>82</v>
      </c>
      <c r="KG7" s="75">
        <v>83</v>
      </c>
      <c r="KH7" s="75">
        <v>83</v>
      </c>
      <c r="KI7" s="75">
        <v>85</v>
      </c>
      <c r="KJ7" s="75">
        <v>79</v>
      </c>
      <c r="KK7" s="75">
        <v>76</v>
      </c>
      <c r="KL7" s="75">
        <v>0</v>
      </c>
      <c r="KM7" s="75">
        <v>74</v>
      </c>
      <c r="KN7" s="75">
        <v>72</v>
      </c>
      <c r="KO7" s="75">
        <v>68</v>
      </c>
      <c r="KP7" s="75">
        <v>88</v>
      </c>
      <c r="KQ7" s="75">
        <v>97</v>
      </c>
      <c r="KR7" s="75">
        <v>92</v>
      </c>
      <c r="KS7" s="75">
        <v>0</v>
      </c>
      <c r="KT7" s="75">
        <v>84</v>
      </c>
      <c r="KU7" s="75">
        <v>88</v>
      </c>
      <c r="KV7" s="75">
        <v>71</v>
      </c>
      <c r="KW7" s="75">
        <v>56</v>
      </c>
      <c r="KX7" s="75">
        <v>41</v>
      </c>
      <c r="KY7" s="75">
        <v>37</v>
      </c>
      <c r="KZ7" s="75">
        <v>0</v>
      </c>
      <c r="LA7" s="75">
        <v>59</v>
      </c>
      <c r="LB7" s="75">
        <v>84</v>
      </c>
      <c r="LC7" s="75">
        <v>99</v>
      </c>
      <c r="LD7" s="75">
        <v>99</v>
      </c>
      <c r="LE7" s="75">
        <v>113</v>
      </c>
      <c r="LF7" s="75">
        <v>117</v>
      </c>
      <c r="LG7" s="75">
        <v>9</v>
      </c>
      <c r="LH7" s="75">
        <v>99</v>
      </c>
      <c r="LI7" s="75">
        <v>82</v>
      </c>
      <c r="LJ7" s="75">
        <v>113</v>
      </c>
      <c r="LK7" s="75">
        <v>116</v>
      </c>
      <c r="LL7" s="75">
        <v>107</v>
      </c>
      <c r="LM7" s="75">
        <v>117</v>
      </c>
      <c r="LN7" s="75">
        <v>0</v>
      </c>
      <c r="LO7" s="75">
        <v>114</v>
      </c>
      <c r="LP7" s="75">
        <v>142</v>
      </c>
      <c r="LQ7" s="75">
        <v>166</v>
      </c>
      <c r="LR7" s="75">
        <v>190</v>
      </c>
      <c r="LS7" s="75">
        <v>210</v>
      </c>
      <c r="LT7" s="75">
        <v>204</v>
      </c>
      <c r="LU7" s="75">
        <v>2</v>
      </c>
      <c r="LV7" s="75">
        <v>168</v>
      </c>
      <c r="LW7" s="75">
        <v>123</v>
      </c>
      <c r="LX7" s="75">
        <v>87</v>
      </c>
      <c r="LY7" s="75">
        <v>71</v>
      </c>
      <c r="LZ7" s="75">
        <v>76</v>
      </c>
      <c r="MA7" s="75">
        <v>76</v>
      </c>
      <c r="MB7" s="75">
        <v>0</v>
      </c>
      <c r="MC7" s="75">
        <v>70</v>
      </c>
      <c r="MD7" s="75">
        <v>65</v>
      </c>
      <c r="ME7" s="75">
        <v>74</v>
      </c>
      <c r="MF7" s="75">
        <v>84</v>
      </c>
      <c r="MG7" s="75">
        <v>0</v>
      </c>
      <c r="MH7" s="75">
        <v>0</v>
      </c>
      <c r="MI7" s="75">
        <v>0</v>
      </c>
      <c r="MJ7" s="75">
        <v>0</v>
      </c>
      <c r="MK7" s="75">
        <v>0</v>
      </c>
      <c r="ML7" s="75">
        <v>0</v>
      </c>
      <c r="MM7" s="75">
        <v>98</v>
      </c>
      <c r="MN7" s="75">
        <v>109</v>
      </c>
      <c r="MO7" s="75">
        <v>123</v>
      </c>
      <c r="MP7" s="75">
        <v>8</v>
      </c>
      <c r="MQ7" s="75">
        <v>120</v>
      </c>
      <c r="MR7" s="75">
        <v>111</v>
      </c>
      <c r="MS7" s="75">
        <v>120</v>
      </c>
      <c r="MT7" s="75">
        <v>130</v>
      </c>
      <c r="MU7" s="75">
        <v>134</v>
      </c>
      <c r="MV7" s="75">
        <v>135</v>
      </c>
      <c r="MW7" s="75">
        <v>8</v>
      </c>
      <c r="MX7" s="75">
        <v>161</v>
      </c>
      <c r="MY7" s="75">
        <v>192</v>
      </c>
      <c r="MZ7" s="75">
        <v>195</v>
      </c>
      <c r="NA7" s="75">
        <v>184</v>
      </c>
      <c r="NB7" s="75">
        <v>190</v>
      </c>
      <c r="NC7" s="75">
        <v>210</v>
      </c>
      <c r="ND7" s="75">
        <v>43</v>
      </c>
      <c r="NE7" s="75">
        <v>234</v>
      </c>
      <c r="NF7" s="75">
        <v>247</v>
      </c>
      <c r="NG7" s="75">
        <v>210</v>
      </c>
      <c r="NH7" s="75">
        <v>234</v>
      </c>
      <c r="NI7" s="75">
        <v>243</v>
      </c>
      <c r="NJ7" s="75">
        <v>237</v>
      </c>
      <c r="NK7" s="75">
        <v>49</v>
      </c>
      <c r="NL7" s="75">
        <v>242</v>
      </c>
      <c r="NM7" s="75">
        <v>221</v>
      </c>
      <c r="NN7" s="75">
        <v>230</v>
      </c>
      <c r="NO7" s="75">
        <v>230</v>
      </c>
      <c r="NP7" s="75">
        <v>242</v>
      </c>
      <c r="NQ7" s="75">
        <v>289</v>
      </c>
      <c r="NR7" s="75">
        <v>75</v>
      </c>
      <c r="NS7" s="75">
        <v>273</v>
      </c>
      <c r="NT7" s="75">
        <v>257</v>
      </c>
      <c r="NU7" s="75">
        <v>277</v>
      </c>
      <c r="NV7" s="75">
        <v>251</v>
      </c>
      <c r="NW7" s="75">
        <v>265</v>
      </c>
      <c r="NX7" s="75">
        <v>228</v>
      </c>
      <c r="NY7" s="75">
        <v>82</v>
      </c>
      <c r="NZ7" s="75">
        <v>235</v>
      </c>
      <c r="OA7" s="75">
        <v>240</v>
      </c>
      <c r="OB7" s="75">
        <v>301</v>
      </c>
      <c r="OC7" s="75">
        <v>332</v>
      </c>
      <c r="OD7" s="75">
        <v>338</v>
      </c>
      <c r="OE7" s="75">
        <v>336</v>
      </c>
      <c r="OF7" s="75">
        <v>94</v>
      </c>
      <c r="OG7" s="75">
        <v>370</v>
      </c>
      <c r="OH7" s="75">
        <v>370</v>
      </c>
      <c r="OI7" s="75">
        <v>365</v>
      </c>
      <c r="OJ7" s="75">
        <v>331</v>
      </c>
      <c r="OK7" s="75">
        <v>317</v>
      </c>
      <c r="OL7" s="75">
        <v>300</v>
      </c>
      <c r="OM7" s="75">
        <v>87</v>
      </c>
      <c r="ON7" s="75">
        <v>318</v>
      </c>
      <c r="OO7" s="75">
        <v>309</v>
      </c>
      <c r="OP7" s="75">
        <v>362</v>
      </c>
      <c r="OQ7" s="75">
        <v>354</v>
      </c>
      <c r="OR7" s="75">
        <v>329</v>
      </c>
      <c r="OS7" s="75">
        <v>262</v>
      </c>
      <c r="OT7" s="75">
        <v>81</v>
      </c>
      <c r="OU7" s="75">
        <v>261</v>
      </c>
      <c r="OV7" s="75">
        <v>267</v>
      </c>
      <c r="OW7" s="75">
        <v>249</v>
      </c>
      <c r="OX7" s="75">
        <v>247</v>
      </c>
      <c r="OY7" s="75">
        <v>269</v>
      </c>
      <c r="OZ7" s="75">
        <v>282</v>
      </c>
      <c r="PA7" s="75">
        <v>64</v>
      </c>
      <c r="PB7" s="75">
        <v>296</v>
      </c>
      <c r="PC7" s="75">
        <v>315</v>
      </c>
      <c r="PD7" s="75">
        <v>316</v>
      </c>
      <c r="PE7" s="75">
        <v>333</v>
      </c>
      <c r="PF7" s="75">
        <v>305</v>
      </c>
      <c r="PG7" s="75">
        <v>301</v>
      </c>
      <c r="PH7" s="75">
        <v>80</v>
      </c>
      <c r="PI7" s="75">
        <v>324</v>
      </c>
      <c r="PJ7" s="75">
        <v>326</v>
      </c>
      <c r="PK7" s="75">
        <v>324</v>
      </c>
      <c r="PL7" s="75">
        <v>299</v>
      </c>
      <c r="PM7" s="75">
        <v>313</v>
      </c>
      <c r="PN7" s="75">
        <v>308</v>
      </c>
      <c r="PO7" s="75">
        <v>38</v>
      </c>
      <c r="PP7" s="75">
        <v>288</v>
      </c>
      <c r="PQ7" s="75">
        <v>234</v>
      </c>
      <c r="PR7" s="75">
        <v>232</v>
      </c>
      <c r="PS7" s="75">
        <v>233</v>
      </c>
      <c r="PT7" s="75">
        <v>222</v>
      </c>
      <c r="PU7" s="75">
        <v>234</v>
      </c>
      <c r="PV7" s="75">
        <v>20</v>
      </c>
      <c r="PW7" s="75">
        <v>274</v>
      </c>
      <c r="PX7" s="75">
        <v>253</v>
      </c>
      <c r="PY7" s="75">
        <v>257</v>
      </c>
      <c r="PZ7" s="75">
        <v>236</v>
      </c>
      <c r="QA7" s="75">
        <v>226</v>
      </c>
      <c r="QB7" s="75">
        <v>225</v>
      </c>
      <c r="QC7" s="75">
        <v>15</v>
      </c>
      <c r="QD7" s="75">
        <v>206</v>
      </c>
      <c r="QE7" s="75">
        <v>193</v>
      </c>
      <c r="QF7" s="75">
        <v>182</v>
      </c>
      <c r="QG7" s="75">
        <v>186</v>
      </c>
      <c r="QH7" s="75">
        <v>202</v>
      </c>
      <c r="QI7" s="75">
        <v>205</v>
      </c>
      <c r="QJ7" s="75">
        <v>0</v>
      </c>
      <c r="QK7" s="75">
        <v>210</v>
      </c>
      <c r="QL7" s="75">
        <v>211</v>
      </c>
      <c r="QM7" s="75">
        <v>242</v>
      </c>
      <c r="QN7" s="75">
        <v>247</v>
      </c>
      <c r="QO7" s="75">
        <v>275</v>
      </c>
      <c r="QP7" s="75">
        <v>274</v>
      </c>
      <c r="QQ7" s="75">
        <v>0</v>
      </c>
      <c r="QR7" s="75">
        <v>273</v>
      </c>
      <c r="QS7" s="75">
        <v>275</v>
      </c>
      <c r="QT7" s="75">
        <v>269</v>
      </c>
      <c r="QU7" s="75">
        <v>259</v>
      </c>
      <c r="QV7" s="75">
        <v>285</v>
      </c>
      <c r="QW7" s="75">
        <v>249</v>
      </c>
      <c r="QX7" s="75">
        <v>0</v>
      </c>
      <c r="QY7" s="75">
        <v>222</v>
      </c>
      <c r="QZ7" s="75">
        <v>248</v>
      </c>
      <c r="RA7" s="75">
        <v>284</v>
      </c>
      <c r="RB7" s="75">
        <v>283</v>
      </c>
      <c r="RC7" s="75">
        <v>300</v>
      </c>
      <c r="RD7" s="75">
        <v>314</v>
      </c>
      <c r="RE7" s="75">
        <v>0</v>
      </c>
      <c r="RF7" s="75">
        <v>326</v>
      </c>
      <c r="RG7" s="75">
        <v>368</v>
      </c>
      <c r="RH7" s="75">
        <v>372</v>
      </c>
      <c r="RI7" s="75">
        <v>372</v>
      </c>
      <c r="RJ7" s="75">
        <v>384</v>
      </c>
      <c r="RK7" s="75">
        <v>385</v>
      </c>
      <c r="RL7" s="75">
        <v>0</v>
      </c>
      <c r="RM7" s="75">
        <v>361</v>
      </c>
      <c r="RN7" s="75">
        <v>334</v>
      </c>
      <c r="RO7" s="75">
        <v>329</v>
      </c>
      <c r="RP7" s="75">
        <v>338</v>
      </c>
      <c r="RQ7" s="75">
        <v>339</v>
      </c>
      <c r="RR7" s="75">
        <v>336</v>
      </c>
      <c r="RS7" s="75">
        <v>0</v>
      </c>
      <c r="RT7" s="75">
        <v>300</v>
      </c>
      <c r="RU7" s="75">
        <v>292</v>
      </c>
      <c r="RV7" s="75">
        <v>308</v>
      </c>
      <c r="RW7" s="75">
        <v>320</v>
      </c>
      <c r="RX7" s="75">
        <v>302</v>
      </c>
      <c r="RY7" s="75">
        <v>305</v>
      </c>
      <c r="RZ7" s="75">
        <v>0</v>
      </c>
      <c r="SA7" s="75">
        <v>305</v>
      </c>
      <c r="SB7" s="75">
        <v>295</v>
      </c>
      <c r="SC7" s="75">
        <v>306</v>
      </c>
      <c r="SD7" s="75">
        <v>330</v>
      </c>
      <c r="SE7" s="75">
        <v>336</v>
      </c>
      <c r="SF7" s="75">
        <v>357</v>
      </c>
      <c r="SG7" s="75">
        <v>0</v>
      </c>
      <c r="SH7" s="75">
        <v>357</v>
      </c>
      <c r="SI7" s="75">
        <v>344</v>
      </c>
      <c r="SJ7" s="75">
        <v>305</v>
      </c>
      <c r="SK7" s="75">
        <v>297</v>
      </c>
      <c r="SL7" s="75">
        <v>289</v>
      </c>
      <c r="SM7" s="75">
        <v>278</v>
      </c>
      <c r="SN7" s="75">
        <v>0</v>
      </c>
      <c r="SO7" s="75">
        <v>261</v>
      </c>
      <c r="SP7" s="75">
        <v>260</v>
      </c>
      <c r="SQ7" s="75">
        <v>258</v>
      </c>
      <c r="SR7" s="75">
        <v>267</v>
      </c>
      <c r="SS7" s="75">
        <v>272</v>
      </c>
      <c r="ST7" s="75">
        <v>273</v>
      </c>
      <c r="SU7" s="75">
        <v>0</v>
      </c>
      <c r="SV7" s="75">
        <v>286</v>
      </c>
      <c r="SW7" s="75">
        <v>271</v>
      </c>
      <c r="SX7" s="75">
        <v>272</v>
      </c>
      <c r="SY7" s="75">
        <v>254</v>
      </c>
      <c r="SZ7" s="75">
        <v>249</v>
      </c>
      <c r="TA7" s="75">
        <v>243</v>
      </c>
      <c r="TB7" s="75">
        <v>0</v>
      </c>
      <c r="TC7" s="75">
        <v>241</v>
      </c>
      <c r="TD7" s="75">
        <v>234</v>
      </c>
      <c r="TE7" s="75">
        <v>226</v>
      </c>
      <c r="TF7" s="75">
        <v>263</v>
      </c>
      <c r="TG7" s="75">
        <v>246</v>
      </c>
      <c r="TH7" s="75">
        <v>228</v>
      </c>
      <c r="TI7" s="75">
        <v>0</v>
      </c>
      <c r="TJ7" s="75">
        <v>221</v>
      </c>
      <c r="TK7" s="75">
        <v>224</v>
      </c>
      <c r="TL7" s="75">
        <v>224</v>
      </c>
      <c r="TM7" s="75">
        <v>230</v>
      </c>
      <c r="TN7" s="75">
        <v>234</v>
      </c>
      <c r="TO7" s="75">
        <v>221</v>
      </c>
      <c r="TP7" s="75">
        <v>0</v>
      </c>
      <c r="TQ7" s="75">
        <v>211</v>
      </c>
      <c r="TR7" s="75">
        <v>216</v>
      </c>
      <c r="TS7" s="75">
        <v>221</v>
      </c>
      <c r="TT7" s="75">
        <v>210</v>
      </c>
      <c r="TU7" s="75">
        <v>210</v>
      </c>
      <c r="TV7" s="75">
        <v>208</v>
      </c>
      <c r="TW7" s="75">
        <v>0</v>
      </c>
      <c r="TX7" s="75">
        <v>172</v>
      </c>
      <c r="TY7" s="75">
        <v>158</v>
      </c>
      <c r="TZ7" s="75">
        <v>157</v>
      </c>
      <c r="UA7" s="75">
        <v>154</v>
      </c>
      <c r="UB7" s="75">
        <v>153</v>
      </c>
      <c r="UC7" s="75">
        <v>149</v>
      </c>
      <c r="UD7" s="75">
        <v>0</v>
      </c>
      <c r="UE7" s="75">
        <v>153</v>
      </c>
      <c r="UF7" s="75">
        <v>153</v>
      </c>
      <c r="UG7" s="75">
        <v>140</v>
      </c>
      <c r="UH7" s="75">
        <v>141</v>
      </c>
      <c r="UI7" s="75">
        <v>136</v>
      </c>
      <c r="UJ7" s="75">
        <v>124</v>
      </c>
      <c r="UK7" s="75">
        <v>0</v>
      </c>
      <c r="UL7" s="75">
        <v>124</v>
      </c>
      <c r="UM7" s="75">
        <v>123</v>
      </c>
      <c r="UN7" s="75">
        <v>125</v>
      </c>
      <c r="UO7" s="75">
        <v>120</v>
      </c>
      <c r="UP7" s="75">
        <v>107</v>
      </c>
      <c r="UQ7" s="75">
        <v>107</v>
      </c>
      <c r="UR7" s="75">
        <v>0</v>
      </c>
      <c r="US7" s="75">
        <v>121</v>
      </c>
      <c r="UT7" s="75">
        <v>122</v>
      </c>
      <c r="UU7" s="75">
        <v>133</v>
      </c>
      <c r="UV7" s="75">
        <v>123</v>
      </c>
      <c r="UW7" s="75">
        <v>121</v>
      </c>
      <c r="UX7" s="75">
        <v>114</v>
      </c>
      <c r="UY7" s="75">
        <v>0</v>
      </c>
      <c r="UZ7" s="75">
        <v>111</v>
      </c>
      <c r="VA7" s="75">
        <v>110</v>
      </c>
      <c r="VB7" s="75">
        <v>112</v>
      </c>
      <c r="VC7" s="75">
        <v>122</v>
      </c>
      <c r="VD7" s="75">
        <v>123</v>
      </c>
      <c r="VE7" s="75">
        <v>123</v>
      </c>
      <c r="VF7" s="75">
        <v>0</v>
      </c>
      <c r="VG7" s="75">
        <v>106</v>
      </c>
      <c r="VH7" s="75">
        <v>110</v>
      </c>
      <c r="VI7" s="75">
        <v>111</v>
      </c>
      <c r="VJ7" s="75">
        <v>103</v>
      </c>
      <c r="VK7" s="75">
        <v>101</v>
      </c>
      <c r="VL7" s="75">
        <v>92</v>
      </c>
      <c r="VM7" s="75">
        <v>0</v>
      </c>
      <c r="VN7" s="75">
        <v>95</v>
      </c>
      <c r="VO7" s="75">
        <v>100</v>
      </c>
      <c r="VP7" s="75">
        <v>107</v>
      </c>
      <c r="VQ7" s="75">
        <v>117</v>
      </c>
      <c r="VR7" s="75">
        <v>114</v>
      </c>
      <c r="VS7" s="75">
        <v>111</v>
      </c>
      <c r="VT7" s="75">
        <v>0</v>
      </c>
      <c r="VU7" s="75">
        <v>121</v>
      </c>
      <c r="VV7" s="75">
        <v>120</v>
      </c>
      <c r="VW7" s="75">
        <v>120</v>
      </c>
      <c r="VX7" s="75">
        <v>118</v>
      </c>
      <c r="VY7" s="75">
        <v>111</v>
      </c>
      <c r="VZ7" s="75">
        <v>106</v>
      </c>
      <c r="WA7" s="75">
        <v>0</v>
      </c>
      <c r="WB7" s="75">
        <v>100</v>
      </c>
      <c r="WC7" s="75">
        <v>100</v>
      </c>
      <c r="WD7" s="75">
        <v>97</v>
      </c>
      <c r="WE7" s="75">
        <v>93</v>
      </c>
      <c r="WF7" s="75">
        <v>101</v>
      </c>
      <c r="WG7" s="75">
        <v>92</v>
      </c>
      <c r="WH7" s="75">
        <v>0</v>
      </c>
      <c r="WI7" s="75">
        <v>86</v>
      </c>
      <c r="WJ7" s="75">
        <v>93</v>
      </c>
      <c r="WK7" s="75">
        <v>89</v>
      </c>
      <c r="WL7" s="75">
        <v>67</v>
      </c>
      <c r="WM7" s="75">
        <v>64</v>
      </c>
      <c r="WN7" s="75">
        <v>64</v>
      </c>
      <c r="WO7" s="75">
        <v>0</v>
      </c>
      <c r="WP7" s="75">
        <v>64</v>
      </c>
      <c r="WQ7" s="75">
        <v>65</v>
      </c>
      <c r="WR7" s="75">
        <v>73</v>
      </c>
      <c r="WS7" s="75">
        <v>73</v>
      </c>
      <c r="WT7" s="75">
        <v>73</v>
      </c>
      <c r="WU7" s="75">
        <v>72</v>
      </c>
      <c r="WV7" s="75">
        <v>0</v>
      </c>
      <c r="WW7" s="75">
        <v>65</v>
      </c>
      <c r="WX7" s="75">
        <v>52</v>
      </c>
      <c r="WY7" s="75">
        <v>66</v>
      </c>
      <c r="WZ7" s="75">
        <v>62</v>
      </c>
      <c r="XA7" s="75">
        <v>58</v>
      </c>
      <c r="XB7" s="75">
        <v>60</v>
      </c>
      <c r="XC7" s="75">
        <v>0</v>
      </c>
      <c r="XD7" s="75">
        <v>65</v>
      </c>
      <c r="XE7" s="75">
        <v>70</v>
      </c>
      <c r="XF7" s="75">
        <v>70</v>
      </c>
      <c r="XG7" s="75">
        <v>70</v>
      </c>
      <c r="XH7" s="75">
        <v>73</v>
      </c>
      <c r="XI7" s="75">
        <v>0</v>
      </c>
      <c r="XJ7" s="75">
        <v>0</v>
      </c>
      <c r="XK7" s="75">
        <v>0</v>
      </c>
      <c r="XL7" s="75">
        <v>0</v>
      </c>
      <c r="XM7" s="75">
        <v>0</v>
      </c>
      <c r="XN7" s="75">
        <v>65</v>
      </c>
      <c r="XO7" s="75">
        <v>65</v>
      </c>
      <c r="XP7" s="75">
        <v>65</v>
      </c>
      <c r="XQ7" s="75">
        <v>0</v>
      </c>
      <c r="XR7" s="75">
        <v>65</v>
      </c>
      <c r="XS7" s="75">
        <v>65</v>
      </c>
      <c r="XT7" s="75">
        <v>65</v>
      </c>
      <c r="XU7" s="75">
        <v>51</v>
      </c>
      <c r="XV7" s="75">
        <v>51</v>
      </c>
      <c r="XW7" s="75">
        <v>49</v>
      </c>
      <c r="XX7" s="75">
        <v>0</v>
      </c>
      <c r="XY7" s="75">
        <v>47</v>
      </c>
      <c r="XZ7" s="75">
        <v>42</v>
      </c>
      <c r="YA7" s="75">
        <v>32</v>
      </c>
      <c r="YB7" s="75">
        <v>32</v>
      </c>
      <c r="YC7" s="75">
        <v>32</v>
      </c>
      <c r="YD7" s="75">
        <v>32</v>
      </c>
      <c r="YE7" s="75">
        <v>0</v>
      </c>
      <c r="YF7" s="75">
        <v>32</v>
      </c>
      <c r="YG7" s="75">
        <v>32</v>
      </c>
      <c r="YH7" s="75">
        <v>32</v>
      </c>
      <c r="YI7" s="75">
        <v>32</v>
      </c>
      <c r="YJ7" s="75">
        <v>32</v>
      </c>
      <c r="YK7" s="75">
        <v>32</v>
      </c>
      <c r="YL7" s="75">
        <v>0</v>
      </c>
      <c r="YM7" s="75">
        <v>32</v>
      </c>
      <c r="YN7" s="75">
        <v>33</v>
      </c>
      <c r="YO7" s="75">
        <v>39</v>
      </c>
      <c r="YP7" s="75">
        <v>39</v>
      </c>
      <c r="YQ7" s="75">
        <v>39</v>
      </c>
      <c r="YR7" s="75">
        <v>39</v>
      </c>
      <c r="YS7" s="75">
        <v>0</v>
      </c>
      <c r="YT7" s="75">
        <v>39</v>
      </c>
      <c r="YU7" s="75">
        <v>39</v>
      </c>
      <c r="YV7" s="75">
        <v>39</v>
      </c>
      <c r="YW7" s="75">
        <v>39</v>
      </c>
      <c r="YX7" s="75">
        <v>39</v>
      </c>
      <c r="YY7" s="75">
        <v>39</v>
      </c>
      <c r="YZ7" s="75">
        <v>0</v>
      </c>
      <c r="ZA7" s="75">
        <v>39</v>
      </c>
      <c r="ZB7" s="75">
        <v>39</v>
      </c>
      <c r="ZC7" s="75">
        <v>39</v>
      </c>
      <c r="ZD7" s="75">
        <v>39</v>
      </c>
      <c r="ZE7" s="75">
        <v>34</v>
      </c>
      <c r="ZF7" s="75">
        <v>15</v>
      </c>
      <c r="ZG7" s="75">
        <v>0</v>
      </c>
      <c r="ZH7" s="75">
        <v>15</v>
      </c>
      <c r="ZI7" s="75">
        <v>15</v>
      </c>
      <c r="ZJ7" s="75">
        <v>15</v>
      </c>
      <c r="ZK7" s="75">
        <v>15</v>
      </c>
      <c r="ZL7" s="75">
        <v>15</v>
      </c>
      <c r="ZM7" s="75">
        <v>15</v>
      </c>
      <c r="ZN7" s="75">
        <v>0</v>
      </c>
      <c r="ZO7" s="75">
        <v>15</v>
      </c>
      <c r="ZP7" s="75">
        <v>15</v>
      </c>
      <c r="ZQ7" s="75">
        <v>15</v>
      </c>
      <c r="ZR7" s="75">
        <v>15</v>
      </c>
      <c r="ZS7" s="75">
        <v>15</v>
      </c>
      <c r="ZT7" s="75">
        <v>0</v>
      </c>
      <c r="ZU7" s="75">
        <v>0</v>
      </c>
      <c r="ZV7" s="75">
        <v>0</v>
      </c>
      <c r="ZW7" s="75">
        <v>0</v>
      </c>
      <c r="ZX7" s="75">
        <v>0</v>
      </c>
      <c r="ZY7" s="75">
        <v>15</v>
      </c>
      <c r="ZZ7" s="75">
        <v>15</v>
      </c>
      <c r="AAA7" s="75">
        <v>12</v>
      </c>
      <c r="AAB7" s="75">
        <v>0</v>
      </c>
      <c r="AAC7" s="75">
        <v>0</v>
      </c>
      <c r="AAD7" s="75">
        <v>0</v>
      </c>
      <c r="AAE7" s="75">
        <v>0</v>
      </c>
      <c r="AAF7" s="75">
        <v>0</v>
      </c>
      <c r="AAG7" s="75">
        <v>0</v>
      </c>
      <c r="AAH7" s="75">
        <v>0</v>
      </c>
      <c r="AAI7" s="75">
        <v>0</v>
      </c>
      <c r="AAJ7" s="75">
        <v>0</v>
      </c>
      <c r="AAK7" s="75">
        <v>0</v>
      </c>
      <c r="AAL7" s="75">
        <v>0</v>
      </c>
      <c r="AAM7" s="75">
        <v>0</v>
      </c>
      <c r="AAN7" s="75">
        <v>0</v>
      </c>
      <c r="AAO7" s="75">
        <v>0</v>
      </c>
      <c r="AAP7" s="75">
        <v>0</v>
      </c>
      <c r="AAQ7" s="75">
        <v>0</v>
      </c>
      <c r="AAR7" s="75">
        <v>0</v>
      </c>
      <c r="AAS7" s="75">
        <v>0</v>
      </c>
      <c r="AAT7" s="75">
        <v>0</v>
      </c>
      <c r="AAU7" s="75">
        <v>0</v>
      </c>
      <c r="AAV7" s="75">
        <v>0</v>
      </c>
      <c r="AAW7" s="75">
        <v>0</v>
      </c>
      <c r="AAX7" s="75">
        <v>0</v>
      </c>
      <c r="AAY7" s="75">
        <v>0</v>
      </c>
      <c r="AAZ7" s="75">
        <v>0</v>
      </c>
      <c r="ABA7" s="75">
        <v>0</v>
      </c>
      <c r="ABB7" s="75">
        <v>0</v>
      </c>
      <c r="ABC7" s="75">
        <v>0</v>
      </c>
    </row>
    <row r="8" spans="1:731">
      <c r="A8" s="75" t="s">
        <v>45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5"/>
      <c r="BF8" s="75"/>
      <c r="BG8" s="75"/>
      <c r="BH8" s="75"/>
      <c r="BI8" s="75"/>
      <c r="BJ8" s="75"/>
      <c r="BK8" s="75"/>
      <c r="BL8" s="75"/>
      <c r="BM8" s="75"/>
      <c r="BN8" s="75"/>
      <c r="BO8" s="75"/>
      <c r="BP8" s="75"/>
      <c r="BQ8" s="75"/>
      <c r="BR8" s="75"/>
      <c r="BS8" s="75"/>
      <c r="BT8" s="75"/>
      <c r="BU8" s="75"/>
      <c r="BV8" s="75"/>
      <c r="BW8" s="75"/>
      <c r="BX8" s="75"/>
      <c r="BY8" s="75"/>
      <c r="BZ8" s="75"/>
      <c r="CA8" s="75"/>
      <c r="CB8" s="75"/>
      <c r="CC8" s="75"/>
      <c r="CD8" s="75"/>
      <c r="CE8" s="75"/>
      <c r="CF8" s="75"/>
      <c r="CG8" s="75"/>
      <c r="CH8" s="75"/>
      <c r="CI8" s="75"/>
      <c r="CJ8" s="75"/>
      <c r="CK8" s="75"/>
      <c r="CL8" s="75"/>
      <c r="CM8" s="75"/>
      <c r="CN8" s="75"/>
      <c r="CO8" s="75"/>
      <c r="CP8" s="75"/>
      <c r="CQ8" s="75"/>
      <c r="CR8" s="75"/>
      <c r="CS8" s="75"/>
      <c r="CT8" s="75"/>
      <c r="CU8" s="75"/>
      <c r="CV8" s="75"/>
      <c r="CW8" s="75"/>
      <c r="CX8" s="75"/>
      <c r="CY8" s="75"/>
      <c r="CZ8" s="75"/>
      <c r="DA8" s="75"/>
      <c r="DB8" s="75"/>
      <c r="DC8" s="75"/>
      <c r="DD8" s="75"/>
      <c r="DE8" s="75"/>
      <c r="DF8" s="75"/>
      <c r="DG8" s="75">
        <v>5</v>
      </c>
      <c r="DH8" s="75">
        <v>5</v>
      </c>
      <c r="DI8" s="75">
        <v>5</v>
      </c>
      <c r="DJ8" s="75">
        <v>5</v>
      </c>
      <c r="DK8" s="75">
        <v>5</v>
      </c>
      <c r="DL8" s="75"/>
      <c r="DM8" s="75">
        <v>5</v>
      </c>
      <c r="DN8" s="75">
        <v>5</v>
      </c>
      <c r="DO8" s="75">
        <v>5</v>
      </c>
      <c r="DP8" s="75">
        <v>5</v>
      </c>
      <c r="DQ8" s="75">
        <v>5</v>
      </c>
      <c r="DR8" s="75">
        <v>5</v>
      </c>
      <c r="DS8" s="75"/>
      <c r="DT8" s="75">
        <v>5</v>
      </c>
      <c r="DU8" s="75">
        <v>5</v>
      </c>
      <c r="DV8" s="75">
        <v>5</v>
      </c>
      <c r="DW8" s="75">
        <v>5</v>
      </c>
      <c r="DX8" s="75">
        <v>5</v>
      </c>
      <c r="DY8" s="75">
        <v>5</v>
      </c>
      <c r="DZ8" s="75"/>
      <c r="EA8" s="75"/>
      <c r="EB8" s="75"/>
      <c r="EC8" s="75"/>
      <c r="ED8" s="75"/>
      <c r="EE8" s="75"/>
      <c r="EF8" s="75">
        <v>5</v>
      </c>
      <c r="EG8" s="75"/>
      <c r="EH8" s="75">
        <v>5</v>
      </c>
      <c r="EI8" s="75">
        <v>5</v>
      </c>
      <c r="EJ8" s="75">
        <v>5</v>
      </c>
      <c r="EK8" s="75">
        <v>5</v>
      </c>
      <c r="EL8" s="75">
        <v>5</v>
      </c>
      <c r="EM8" s="75">
        <v>5</v>
      </c>
      <c r="EN8" s="75"/>
      <c r="EO8" s="75">
        <v>5</v>
      </c>
      <c r="EP8" s="75">
        <v>5</v>
      </c>
      <c r="EQ8" s="75">
        <v>5</v>
      </c>
      <c r="ER8" s="75"/>
      <c r="ES8" s="75"/>
      <c r="ET8" s="75"/>
      <c r="EU8" s="75"/>
      <c r="EV8" s="75"/>
      <c r="EW8" s="75"/>
      <c r="EX8" s="75"/>
      <c r="EY8" s="75"/>
      <c r="EZ8" s="75"/>
      <c r="FA8" s="75"/>
      <c r="FB8" s="75"/>
      <c r="FC8" s="75"/>
      <c r="FD8" s="75"/>
      <c r="FE8" s="75"/>
      <c r="FF8" s="75"/>
      <c r="FG8" s="75"/>
      <c r="FH8" s="75"/>
      <c r="FI8" s="75"/>
      <c r="FJ8" s="75"/>
      <c r="FK8" s="75"/>
      <c r="FL8" s="75"/>
      <c r="FM8" s="75"/>
      <c r="FN8" s="75"/>
      <c r="FO8" s="75"/>
      <c r="FP8" s="75"/>
      <c r="FQ8" s="75"/>
      <c r="FR8" s="75"/>
      <c r="FS8" s="75"/>
      <c r="FT8" s="75"/>
      <c r="FU8" s="75"/>
      <c r="FV8" s="75"/>
      <c r="FW8" s="75"/>
      <c r="FX8" s="75"/>
      <c r="FY8" s="75"/>
      <c r="FZ8" s="75">
        <v>3</v>
      </c>
      <c r="GA8" s="75">
        <v>4</v>
      </c>
      <c r="GB8" s="75">
        <v>4</v>
      </c>
      <c r="GC8" s="75">
        <v>4</v>
      </c>
      <c r="GD8" s="75"/>
      <c r="GE8" s="75">
        <v>4</v>
      </c>
      <c r="GF8" s="75">
        <v>5</v>
      </c>
      <c r="GG8" s="75">
        <v>8</v>
      </c>
      <c r="GH8" s="75">
        <v>8</v>
      </c>
      <c r="GI8" s="75">
        <v>8</v>
      </c>
      <c r="GJ8" s="75">
        <v>8</v>
      </c>
      <c r="GK8" s="75"/>
      <c r="GL8" s="75">
        <v>5</v>
      </c>
      <c r="GM8" s="75">
        <v>4</v>
      </c>
      <c r="GN8" s="75">
        <v>4</v>
      </c>
      <c r="GO8" s="75">
        <v>4</v>
      </c>
      <c r="GP8" s="75">
        <v>4</v>
      </c>
      <c r="GQ8" s="75">
        <v>3</v>
      </c>
      <c r="GR8" s="75"/>
      <c r="GS8" s="75"/>
      <c r="GT8" s="75"/>
      <c r="GU8" s="75"/>
      <c r="GV8" s="75"/>
      <c r="GW8" s="75"/>
      <c r="GX8" s="75"/>
      <c r="GY8" s="75"/>
      <c r="GZ8" s="75"/>
      <c r="HA8" s="75"/>
      <c r="HB8" s="75"/>
      <c r="HC8" s="75"/>
      <c r="HD8" s="75"/>
      <c r="HE8" s="75"/>
      <c r="HF8" s="75"/>
      <c r="HG8" s="75"/>
      <c r="HH8" s="75"/>
      <c r="HI8" s="75"/>
      <c r="HJ8" s="75"/>
      <c r="HK8" s="75"/>
      <c r="HL8" s="75"/>
      <c r="HM8" s="75"/>
      <c r="HN8" s="75"/>
      <c r="HO8" s="75"/>
      <c r="HP8" s="75"/>
      <c r="HQ8" s="75"/>
      <c r="HR8" s="75"/>
      <c r="HS8" s="75"/>
      <c r="HT8" s="75"/>
      <c r="HU8" s="75"/>
      <c r="HV8" s="75"/>
      <c r="HW8" s="75"/>
      <c r="HX8" s="75"/>
      <c r="HY8" s="75"/>
      <c r="HZ8" s="75"/>
      <c r="IA8" s="75"/>
      <c r="IB8" s="75"/>
      <c r="IC8" s="75"/>
      <c r="ID8" s="75"/>
      <c r="IE8" s="75"/>
      <c r="IF8" s="75"/>
      <c r="IG8" s="75"/>
      <c r="IH8" s="75"/>
      <c r="II8" s="75"/>
      <c r="IJ8" s="75"/>
      <c r="IK8" s="75"/>
      <c r="IL8" s="75"/>
      <c r="IM8" s="75"/>
      <c r="IN8" s="75"/>
      <c r="IO8" s="75"/>
      <c r="IP8" s="75"/>
      <c r="IQ8" s="75"/>
      <c r="IR8" s="75"/>
      <c r="IS8" s="75"/>
      <c r="IT8" s="75"/>
      <c r="IU8" s="75"/>
      <c r="IV8" s="75"/>
      <c r="IW8" s="75"/>
      <c r="IX8" s="75"/>
      <c r="IY8" s="75"/>
      <c r="IZ8" s="75"/>
      <c r="JA8" s="75"/>
      <c r="JB8" s="75"/>
      <c r="JC8" s="75"/>
      <c r="JD8" s="75"/>
      <c r="JE8" s="75"/>
      <c r="JF8" s="75"/>
      <c r="JG8" s="75"/>
      <c r="JH8" s="75"/>
      <c r="JI8" s="75"/>
      <c r="JJ8" s="75"/>
      <c r="JK8" s="75"/>
      <c r="JL8" s="75"/>
      <c r="JM8" s="75"/>
      <c r="JN8" s="75"/>
      <c r="JO8" s="75"/>
      <c r="JP8" s="75"/>
      <c r="JQ8" s="75"/>
      <c r="JR8" s="75"/>
      <c r="JS8" s="75"/>
      <c r="JT8" s="75"/>
      <c r="JU8" s="75"/>
      <c r="JV8" s="75"/>
      <c r="JW8" s="75"/>
      <c r="JX8" s="75"/>
      <c r="JY8" s="75"/>
      <c r="JZ8" s="75"/>
      <c r="KA8" s="75"/>
      <c r="KB8" s="75"/>
      <c r="KC8" s="75"/>
      <c r="KD8" s="75">
        <v>6</v>
      </c>
      <c r="KE8" s="75"/>
      <c r="KF8" s="75">
        <v>16</v>
      </c>
      <c r="KG8" s="75">
        <v>16</v>
      </c>
      <c r="KH8" s="75">
        <v>16</v>
      </c>
      <c r="KI8" s="75">
        <v>16</v>
      </c>
      <c r="KJ8" s="75">
        <v>16</v>
      </c>
      <c r="KK8" s="75">
        <v>16</v>
      </c>
      <c r="KL8" s="75"/>
      <c r="KM8" s="75">
        <v>16</v>
      </c>
      <c r="KN8" s="75">
        <v>16</v>
      </c>
      <c r="KO8" s="75">
        <v>16</v>
      </c>
      <c r="KP8" s="75">
        <v>16</v>
      </c>
      <c r="KQ8" s="75">
        <v>16</v>
      </c>
      <c r="KR8" s="75">
        <v>16</v>
      </c>
      <c r="KS8" s="75"/>
      <c r="KT8" s="75">
        <v>16</v>
      </c>
      <c r="KU8" s="75">
        <v>16</v>
      </c>
      <c r="KV8" s="75">
        <v>10</v>
      </c>
      <c r="KW8" s="75"/>
      <c r="KX8" s="75"/>
      <c r="KY8" s="75"/>
      <c r="KZ8" s="75"/>
      <c r="LA8" s="75"/>
      <c r="LB8" s="75">
        <v>8</v>
      </c>
      <c r="LC8" s="75">
        <v>10</v>
      </c>
      <c r="LD8" s="75">
        <v>10</v>
      </c>
      <c r="LE8" s="75">
        <v>16</v>
      </c>
      <c r="LF8" s="75">
        <v>26</v>
      </c>
      <c r="LG8" s="75"/>
      <c r="LH8" s="75">
        <v>26</v>
      </c>
      <c r="LI8" s="75">
        <v>26</v>
      </c>
      <c r="LJ8" s="75">
        <v>26</v>
      </c>
      <c r="LK8" s="75">
        <v>26</v>
      </c>
      <c r="LL8" s="75">
        <v>26</v>
      </c>
      <c r="LM8" s="75">
        <v>26</v>
      </c>
      <c r="LN8" s="75"/>
      <c r="LO8" s="75">
        <v>26</v>
      </c>
      <c r="LP8" s="75">
        <v>42</v>
      </c>
      <c r="LQ8" s="75">
        <v>42</v>
      </c>
      <c r="LR8" s="75">
        <v>42</v>
      </c>
      <c r="LS8" s="75">
        <v>34</v>
      </c>
      <c r="LT8" s="75">
        <v>32</v>
      </c>
      <c r="LU8" s="75"/>
      <c r="LV8" s="75">
        <v>32</v>
      </c>
      <c r="LW8" s="75">
        <v>26</v>
      </c>
      <c r="LX8" s="75">
        <v>16</v>
      </c>
      <c r="LY8" s="75">
        <v>16</v>
      </c>
      <c r="LZ8" s="75">
        <v>16</v>
      </c>
      <c r="MA8" s="75">
        <v>16</v>
      </c>
      <c r="MB8" s="75"/>
      <c r="MC8" s="75">
        <v>16</v>
      </c>
      <c r="MD8" s="75">
        <v>16</v>
      </c>
      <c r="ME8" s="75">
        <v>16</v>
      </c>
      <c r="MF8" s="75">
        <v>16</v>
      </c>
      <c r="MG8" s="75"/>
      <c r="MH8" s="75"/>
      <c r="MI8" s="75"/>
      <c r="MJ8" s="75"/>
      <c r="MK8" s="75"/>
      <c r="ML8" s="75"/>
      <c r="MM8" s="75"/>
      <c r="MN8" s="75">
        <v>5</v>
      </c>
      <c r="MO8" s="75">
        <v>10</v>
      </c>
      <c r="MP8" s="75"/>
      <c r="MQ8" s="75">
        <v>10</v>
      </c>
      <c r="MR8" s="75">
        <v>10</v>
      </c>
      <c r="MS8" s="75">
        <v>10</v>
      </c>
      <c r="MT8" s="75">
        <v>10</v>
      </c>
      <c r="MU8" s="75">
        <v>10</v>
      </c>
      <c r="MV8" s="75">
        <v>10</v>
      </c>
      <c r="MW8" s="75"/>
      <c r="MX8" s="75">
        <v>10</v>
      </c>
      <c r="MY8" s="75">
        <v>20</v>
      </c>
      <c r="MZ8" s="75">
        <v>20</v>
      </c>
      <c r="NA8" s="75">
        <v>20</v>
      </c>
      <c r="NB8" s="75">
        <v>20</v>
      </c>
      <c r="NC8" s="75">
        <v>23</v>
      </c>
      <c r="ND8" s="75"/>
      <c r="NE8" s="75">
        <v>35</v>
      </c>
      <c r="NF8" s="75">
        <v>30</v>
      </c>
      <c r="NG8" s="75">
        <v>25</v>
      </c>
      <c r="NH8" s="75">
        <v>25</v>
      </c>
      <c r="NI8" s="75">
        <v>25</v>
      </c>
      <c r="NJ8" s="75">
        <v>25</v>
      </c>
      <c r="NK8" s="75"/>
      <c r="NL8" s="75">
        <v>25</v>
      </c>
      <c r="NM8" s="75">
        <v>25</v>
      </c>
      <c r="NN8" s="75">
        <v>25</v>
      </c>
      <c r="NO8" s="75">
        <v>28</v>
      </c>
      <c r="NP8" s="75">
        <v>30</v>
      </c>
      <c r="NQ8" s="75">
        <v>30</v>
      </c>
      <c r="NR8" s="75"/>
      <c r="NS8" s="75">
        <v>30</v>
      </c>
      <c r="NT8" s="75">
        <v>30</v>
      </c>
      <c r="NU8" s="75">
        <v>29</v>
      </c>
      <c r="NV8" s="75">
        <v>25</v>
      </c>
      <c r="NW8" s="75">
        <v>25</v>
      </c>
      <c r="NX8" s="75">
        <v>25</v>
      </c>
      <c r="NY8" s="75"/>
      <c r="NZ8" s="75">
        <v>25</v>
      </c>
      <c r="OA8" s="75">
        <v>28</v>
      </c>
      <c r="OB8" s="75">
        <v>55</v>
      </c>
      <c r="OC8" s="75">
        <v>55</v>
      </c>
      <c r="OD8" s="75">
        <v>61</v>
      </c>
      <c r="OE8" s="75">
        <v>86</v>
      </c>
      <c r="OF8" s="75"/>
      <c r="OG8" s="75">
        <v>83</v>
      </c>
      <c r="OH8" s="75">
        <v>71</v>
      </c>
      <c r="OI8" s="75">
        <v>74</v>
      </c>
      <c r="OJ8" s="75">
        <v>87</v>
      </c>
      <c r="OK8" s="75">
        <v>87</v>
      </c>
      <c r="OL8" s="75">
        <v>85</v>
      </c>
      <c r="OM8" s="75"/>
      <c r="ON8" s="75">
        <v>79</v>
      </c>
      <c r="OO8" s="75">
        <v>79</v>
      </c>
      <c r="OP8" s="75">
        <v>79</v>
      </c>
      <c r="OQ8" s="75">
        <v>79</v>
      </c>
      <c r="OR8" s="75">
        <v>78</v>
      </c>
      <c r="OS8" s="75">
        <v>59</v>
      </c>
      <c r="OT8" s="75"/>
      <c r="OU8" s="75">
        <v>59</v>
      </c>
      <c r="OV8" s="75">
        <v>61</v>
      </c>
      <c r="OW8" s="75">
        <v>70</v>
      </c>
      <c r="OX8" s="75">
        <v>79</v>
      </c>
      <c r="OY8" s="75">
        <v>128</v>
      </c>
      <c r="OZ8" s="75">
        <v>127</v>
      </c>
      <c r="PA8" s="75"/>
      <c r="PB8" s="75">
        <v>122</v>
      </c>
      <c r="PC8" s="75">
        <v>122</v>
      </c>
      <c r="PD8" s="75">
        <v>124</v>
      </c>
      <c r="PE8" s="75">
        <v>142</v>
      </c>
      <c r="PF8" s="75">
        <v>142</v>
      </c>
      <c r="PG8" s="75">
        <v>144</v>
      </c>
      <c r="PH8" s="75"/>
      <c r="PI8" s="75">
        <v>152</v>
      </c>
      <c r="PJ8" s="75">
        <v>150</v>
      </c>
      <c r="PK8" s="75">
        <v>144</v>
      </c>
      <c r="PL8" s="75">
        <v>144</v>
      </c>
      <c r="PM8" s="75">
        <v>156</v>
      </c>
      <c r="PN8" s="75">
        <v>138</v>
      </c>
      <c r="PO8" s="75"/>
      <c r="PP8" s="75">
        <v>129</v>
      </c>
      <c r="PQ8" s="75">
        <v>78</v>
      </c>
      <c r="PR8" s="75">
        <v>79</v>
      </c>
      <c r="PS8" s="75">
        <v>84</v>
      </c>
      <c r="PT8" s="75">
        <v>84</v>
      </c>
      <c r="PU8" s="75">
        <v>90</v>
      </c>
      <c r="PV8" s="75"/>
      <c r="PW8" s="75">
        <v>112</v>
      </c>
      <c r="PX8" s="75">
        <v>112</v>
      </c>
      <c r="PY8" s="75">
        <v>110</v>
      </c>
      <c r="PZ8" s="75">
        <v>102</v>
      </c>
      <c r="QA8" s="75">
        <v>102</v>
      </c>
      <c r="QB8" s="75">
        <v>102</v>
      </c>
      <c r="QC8" s="75"/>
      <c r="QD8" s="75">
        <v>102</v>
      </c>
      <c r="QE8" s="75">
        <v>92</v>
      </c>
      <c r="QF8" s="75">
        <v>76</v>
      </c>
      <c r="QG8" s="75">
        <v>78</v>
      </c>
      <c r="QH8" s="75">
        <v>86</v>
      </c>
      <c r="QI8" s="75">
        <v>83</v>
      </c>
      <c r="QJ8" s="75"/>
      <c r="QK8" s="75">
        <v>70</v>
      </c>
      <c r="QL8" s="75">
        <v>76</v>
      </c>
      <c r="QM8" s="75">
        <v>95</v>
      </c>
      <c r="QN8" s="75">
        <v>65</v>
      </c>
      <c r="QO8" s="75">
        <v>85</v>
      </c>
      <c r="QP8" s="75">
        <v>85</v>
      </c>
      <c r="QQ8" s="75"/>
      <c r="QR8" s="75">
        <v>85</v>
      </c>
      <c r="QS8" s="75">
        <v>85</v>
      </c>
      <c r="QT8" s="75">
        <v>85</v>
      </c>
      <c r="QU8" s="75">
        <v>85</v>
      </c>
      <c r="QV8" s="75">
        <v>75</v>
      </c>
      <c r="QW8" s="75">
        <v>69</v>
      </c>
      <c r="QX8" s="75"/>
      <c r="QY8" s="75">
        <v>40</v>
      </c>
      <c r="QZ8" s="75">
        <v>26</v>
      </c>
      <c r="RA8" s="75">
        <v>53</v>
      </c>
      <c r="RB8" s="75">
        <v>64</v>
      </c>
      <c r="RC8" s="75">
        <v>64</v>
      </c>
      <c r="RD8" s="75">
        <v>64</v>
      </c>
      <c r="RE8" s="75"/>
      <c r="RF8" s="75">
        <v>64</v>
      </c>
      <c r="RG8" s="75">
        <v>64</v>
      </c>
      <c r="RH8" s="75">
        <v>64</v>
      </c>
      <c r="RI8" s="75">
        <v>64</v>
      </c>
      <c r="RJ8" s="75">
        <v>64</v>
      </c>
      <c r="RK8" s="75">
        <v>58</v>
      </c>
      <c r="RL8" s="75"/>
      <c r="RM8" s="75">
        <v>31</v>
      </c>
      <c r="RN8" s="75">
        <v>20</v>
      </c>
      <c r="RO8" s="75">
        <v>20</v>
      </c>
      <c r="RP8" s="75">
        <v>20</v>
      </c>
      <c r="RQ8" s="75">
        <v>20</v>
      </c>
      <c r="RR8" s="75">
        <v>20</v>
      </c>
      <c r="RS8" s="75"/>
      <c r="RT8" s="75">
        <v>20</v>
      </c>
      <c r="RU8" s="75">
        <v>20</v>
      </c>
      <c r="RV8" s="75">
        <v>20</v>
      </c>
      <c r="RW8" s="75">
        <v>20</v>
      </c>
      <c r="RX8" s="75"/>
      <c r="RY8" s="75"/>
      <c r="RZ8" s="75"/>
      <c r="SA8" s="75"/>
      <c r="SB8" s="75"/>
      <c r="SC8" s="75"/>
      <c r="SD8" s="75"/>
      <c r="SE8" s="75"/>
      <c r="SF8" s="75"/>
      <c r="SG8" s="75"/>
      <c r="SH8" s="75"/>
      <c r="SI8" s="75"/>
      <c r="SJ8" s="75"/>
      <c r="SK8" s="75"/>
      <c r="SL8" s="75"/>
      <c r="SM8" s="75"/>
      <c r="SN8" s="75"/>
      <c r="SO8" s="75"/>
      <c r="SP8" s="75"/>
      <c r="SQ8" s="75"/>
      <c r="SR8" s="75"/>
      <c r="SS8" s="75"/>
      <c r="ST8" s="75"/>
      <c r="SU8" s="75"/>
      <c r="SV8" s="75"/>
      <c r="SW8" s="75"/>
      <c r="SX8" s="75"/>
      <c r="SY8" s="75"/>
      <c r="SZ8" s="75"/>
      <c r="TA8" s="75"/>
      <c r="TB8" s="75"/>
      <c r="TC8" s="75"/>
      <c r="TD8" s="75"/>
      <c r="TE8" s="75"/>
      <c r="TF8" s="75"/>
      <c r="TG8" s="75"/>
      <c r="TH8" s="75"/>
      <c r="TI8" s="75"/>
      <c r="TJ8" s="75"/>
      <c r="TK8" s="75"/>
      <c r="TL8" s="75"/>
      <c r="TM8" s="75"/>
      <c r="TN8" s="75"/>
      <c r="TO8" s="75"/>
      <c r="TP8" s="75"/>
      <c r="TQ8" s="75"/>
      <c r="TR8" s="75"/>
      <c r="TS8" s="75"/>
      <c r="TT8" s="75"/>
      <c r="TU8" s="75"/>
      <c r="TV8" s="75"/>
      <c r="TW8" s="75"/>
      <c r="TX8" s="75"/>
      <c r="TY8" s="75"/>
      <c r="TZ8" s="75"/>
      <c r="UA8" s="75"/>
      <c r="UB8" s="75"/>
      <c r="UC8" s="75"/>
      <c r="UD8" s="75"/>
      <c r="UE8" s="75"/>
      <c r="UF8" s="75"/>
      <c r="UG8" s="75"/>
      <c r="UH8" s="75"/>
      <c r="UI8" s="75"/>
      <c r="UJ8" s="75"/>
      <c r="UK8" s="75"/>
      <c r="UL8" s="75"/>
      <c r="UM8" s="75"/>
      <c r="UN8" s="75"/>
      <c r="UO8" s="75"/>
      <c r="UP8" s="75"/>
      <c r="UQ8" s="75"/>
      <c r="UR8" s="75"/>
      <c r="US8" s="75"/>
      <c r="UT8" s="75"/>
      <c r="UU8" s="75"/>
      <c r="UV8" s="75"/>
      <c r="UW8" s="75"/>
      <c r="UX8" s="75"/>
      <c r="UY8" s="75"/>
      <c r="UZ8" s="75"/>
      <c r="VA8" s="75"/>
      <c r="VB8" s="75"/>
      <c r="VC8" s="75"/>
      <c r="VD8" s="75"/>
      <c r="VE8" s="75"/>
      <c r="VF8" s="75"/>
      <c r="VG8" s="75"/>
      <c r="VH8" s="75"/>
      <c r="VI8" s="75"/>
      <c r="VJ8" s="75"/>
      <c r="VK8" s="75"/>
      <c r="VL8" s="75"/>
      <c r="VM8" s="75"/>
      <c r="VN8" s="75"/>
      <c r="VO8" s="75"/>
      <c r="VP8" s="75"/>
      <c r="VQ8" s="75"/>
      <c r="VR8" s="75"/>
      <c r="VS8" s="75"/>
      <c r="VT8" s="75"/>
      <c r="VU8" s="75"/>
      <c r="VV8" s="75"/>
      <c r="VW8" s="75"/>
      <c r="VX8" s="75"/>
      <c r="VY8" s="75"/>
      <c r="VZ8" s="75"/>
      <c r="WA8" s="75"/>
      <c r="WB8" s="75"/>
      <c r="WC8" s="75"/>
      <c r="WD8" s="75"/>
      <c r="WE8" s="75"/>
      <c r="WF8" s="75"/>
      <c r="WG8" s="75"/>
      <c r="WH8" s="75"/>
      <c r="WI8" s="75"/>
      <c r="WJ8" s="75"/>
      <c r="WK8" s="75"/>
      <c r="WL8" s="75"/>
      <c r="WM8" s="75"/>
      <c r="WN8" s="75"/>
      <c r="WO8" s="75"/>
      <c r="WP8" s="75"/>
      <c r="WQ8" s="75"/>
      <c r="WR8" s="75"/>
      <c r="WS8" s="75"/>
      <c r="WT8" s="75"/>
      <c r="WU8" s="75"/>
      <c r="WV8" s="75"/>
      <c r="WW8" s="75"/>
      <c r="WX8" s="75"/>
      <c r="WY8" s="75"/>
      <c r="WZ8" s="75"/>
      <c r="XA8" s="75"/>
      <c r="XB8" s="75"/>
      <c r="XC8" s="75"/>
      <c r="XD8" s="75"/>
      <c r="XE8" s="75"/>
      <c r="XF8" s="75"/>
      <c r="XG8" s="75"/>
      <c r="XH8" s="75"/>
      <c r="XI8" s="75"/>
      <c r="XJ8" s="75"/>
      <c r="XK8" s="75"/>
      <c r="XL8" s="75"/>
      <c r="XM8" s="75"/>
      <c r="XN8" s="75"/>
      <c r="XO8" s="75"/>
      <c r="XP8" s="75"/>
      <c r="XQ8" s="75"/>
      <c r="XR8" s="75"/>
      <c r="XS8" s="75"/>
      <c r="XT8" s="75"/>
      <c r="XU8" s="75"/>
      <c r="XV8" s="75"/>
      <c r="XW8" s="75"/>
      <c r="XX8" s="75"/>
      <c r="XY8" s="75"/>
      <c r="XZ8" s="75"/>
      <c r="YA8" s="75"/>
      <c r="YB8" s="75"/>
      <c r="YC8" s="75"/>
      <c r="YD8" s="75"/>
      <c r="YE8" s="75"/>
      <c r="YF8" s="75"/>
      <c r="YG8" s="75"/>
      <c r="YH8" s="75"/>
      <c r="YI8" s="75"/>
      <c r="YJ8" s="75"/>
      <c r="YK8" s="75"/>
      <c r="YL8" s="75"/>
      <c r="YM8" s="75"/>
      <c r="YN8" s="75"/>
      <c r="YO8" s="75"/>
      <c r="YP8" s="75"/>
      <c r="YQ8" s="75"/>
      <c r="YR8" s="75"/>
      <c r="YS8" s="75"/>
      <c r="YT8" s="75"/>
      <c r="YU8" s="75"/>
      <c r="YV8" s="75"/>
      <c r="YW8" s="75"/>
      <c r="YX8" s="75"/>
      <c r="YY8" s="75"/>
      <c r="YZ8" s="75"/>
      <c r="ZA8" s="75"/>
      <c r="ZB8" s="75"/>
      <c r="ZC8" s="75"/>
      <c r="ZD8" s="75"/>
      <c r="ZE8" s="75"/>
      <c r="ZF8" s="75"/>
      <c r="ZG8" s="75"/>
      <c r="ZH8" s="75"/>
      <c r="ZI8" s="75"/>
      <c r="ZJ8" s="75"/>
      <c r="ZK8" s="75"/>
      <c r="ZL8" s="75"/>
      <c r="ZM8" s="75"/>
      <c r="ZN8" s="75"/>
      <c r="ZO8" s="75"/>
      <c r="ZP8" s="75"/>
      <c r="ZQ8" s="75"/>
      <c r="ZR8" s="75"/>
      <c r="ZS8" s="75"/>
      <c r="ZT8" s="75"/>
      <c r="ZU8" s="75"/>
      <c r="ZV8" s="75"/>
      <c r="ZW8" s="75"/>
      <c r="ZX8" s="75"/>
      <c r="ZY8" s="75"/>
      <c r="ZZ8" s="75"/>
      <c r="AAA8" s="75"/>
      <c r="AAB8" s="75"/>
      <c r="AAC8" s="75"/>
      <c r="AAD8" s="75"/>
      <c r="AAE8" s="75"/>
      <c r="AAF8" s="75"/>
      <c r="AAG8" s="75"/>
      <c r="AAH8" s="75"/>
      <c r="AAI8" s="75"/>
      <c r="AAJ8" s="75"/>
      <c r="AAK8" s="75"/>
      <c r="AAL8" s="75"/>
      <c r="AAM8" s="75"/>
      <c r="AAN8" s="75"/>
      <c r="AAO8" s="75"/>
      <c r="AAP8" s="75"/>
      <c r="AAQ8" s="75"/>
      <c r="AAR8" s="75"/>
      <c r="AAS8" s="75"/>
      <c r="AAT8" s="75"/>
      <c r="AAU8" s="75"/>
      <c r="AAV8" s="75"/>
      <c r="AAW8" s="75"/>
      <c r="AAX8" s="75"/>
      <c r="AAY8" s="75"/>
      <c r="AAZ8" s="75"/>
      <c r="ABA8" s="75"/>
      <c r="ABB8" s="75"/>
      <c r="ABC8" s="75"/>
    </row>
    <row r="9" spans="1:731">
      <c r="A9" s="75" t="s">
        <v>46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5"/>
      <c r="BF9" s="75"/>
      <c r="BG9" s="75"/>
      <c r="BH9" s="75"/>
      <c r="BI9" s="75"/>
      <c r="BJ9" s="75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  <c r="BV9" s="75"/>
      <c r="BW9" s="75"/>
      <c r="BX9" s="75"/>
      <c r="BY9" s="75"/>
      <c r="BZ9" s="75"/>
      <c r="CA9" s="75"/>
      <c r="CB9" s="75"/>
      <c r="CC9" s="75"/>
      <c r="CD9" s="75"/>
      <c r="CE9" s="75"/>
      <c r="CF9" s="75"/>
      <c r="CG9" s="75"/>
      <c r="CH9" s="75"/>
      <c r="CI9" s="75"/>
      <c r="CJ9" s="75"/>
      <c r="CK9" s="75"/>
      <c r="CL9" s="75"/>
      <c r="CM9" s="75"/>
      <c r="CN9" s="75"/>
      <c r="CO9" s="75"/>
      <c r="CP9" s="75"/>
      <c r="CQ9" s="75"/>
      <c r="CR9" s="75"/>
      <c r="CS9" s="75"/>
      <c r="CT9" s="75"/>
      <c r="CU9" s="75"/>
      <c r="CV9" s="75"/>
      <c r="CW9" s="75"/>
      <c r="CX9" s="75"/>
      <c r="CY9" s="75"/>
      <c r="CZ9" s="75"/>
      <c r="DA9" s="75"/>
      <c r="DB9" s="75"/>
      <c r="DC9" s="75"/>
      <c r="DD9" s="75"/>
      <c r="DE9" s="75"/>
      <c r="DF9" s="75"/>
      <c r="DG9" s="75"/>
      <c r="DH9" s="75"/>
      <c r="DI9" s="75"/>
      <c r="DJ9" s="75"/>
      <c r="DK9" s="75"/>
      <c r="DL9" s="75"/>
      <c r="DM9" s="75"/>
      <c r="DN9" s="75"/>
      <c r="DO9" s="75"/>
      <c r="DP9" s="75"/>
      <c r="DQ9" s="75"/>
      <c r="DR9" s="75"/>
      <c r="DS9" s="75"/>
      <c r="DT9" s="75"/>
      <c r="DU9" s="75"/>
      <c r="DV9" s="75"/>
      <c r="DW9" s="75"/>
      <c r="DX9" s="75"/>
      <c r="DY9" s="75"/>
      <c r="DZ9" s="75"/>
      <c r="EA9" s="75"/>
      <c r="EB9" s="75"/>
      <c r="EC9" s="75"/>
      <c r="ED9" s="75"/>
      <c r="EE9" s="75"/>
      <c r="EF9" s="75"/>
      <c r="EG9" s="75"/>
      <c r="EH9" s="75"/>
      <c r="EI9" s="75"/>
      <c r="EJ9" s="75"/>
      <c r="EK9" s="75"/>
      <c r="EL9" s="75"/>
      <c r="EM9" s="75"/>
      <c r="EN9" s="75"/>
      <c r="EO9" s="75"/>
      <c r="EP9" s="75"/>
      <c r="EQ9" s="75"/>
      <c r="ER9" s="75"/>
      <c r="ES9" s="75"/>
      <c r="ET9" s="75"/>
      <c r="EU9" s="75"/>
      <c r="EV9" s="75"/>
      <c r="EW9" s="75"/>
      <c r="EX9" s="75"/>
      <c r="EY9" s="75"/>
      <c r="EZ9" s="75"/>
      <c r="FA9" s="75"/>
      <c r="FB9" s="75"/>
      <c r="FC9" s="75"/>
      <c r="FD9" s="75"/>
      <c r="FE9" s="75"/>
      <c r="FF9" s="75"/>
      <c r="FG9" s="75"/>
      <c r="FH9" s="75"/>
      <c r="FI9" s="75"/>
      <c r="FJ9" s="75"/>
      <c r="FK9" s="75"/>
      <c r="FL9" s="75"/>
      <c r="FM9" s="75"/>
      <c r="FN9" s="75"/>
      <c r="FO9" s="75"/>
      <c r="FP9" s="75"/>
      <c r="FQ9" s="75"/>
      <c r="FR9" s="75"/>
      <c r="FS9" s="75"/>
      <c r="FT9" s="75"/>
      <c r="FU9" s="75"/>
      <c r="FV9" s="75"/>
      <c r="FW9" s="75"/>
      <c r="FX9" s="75"/>
      <c r="FY9" s="75"/>
      <c r="FZ9" s="75"/>
      <c r="GA9" s="75"/>
      <c r="GB9" s="75"/>
      <c r="GC9" s="75"/>
      <c r="GD9" s="75"/>
      <c r="GE9" s="75"/>
      <c r="GF9" s="75"/>
      <c r="GG9" s="75"/>
      <c r="GH9" s="75"/>
      <c r="GI9" s="75"/>
      <c r="GJ9" s="75"/>
      <c r="GK9" s="75"/>
      <c r="GL9" s="75"/>
      <c r="GM9" s="75"/>
      <c r="GN9" s="75"/>
      <c r="GO9" s="75"/>
      <c r="GP9" s="75"/>
      <c r="GQ9" s="75"/>
      <c r="GR9" s="75"/>
      <c r="GS9" s="75"/>
      <c r="GT9" s="75"/>
      <c r="GU9" s="75"/>
      <c r="GV9" s="75"/>
      <c r="GW9" s="75"/>
      <c r="GX9" s="75"/>
      <c r="GY9" s="75"/>
      <c r="GZ9" s="75"/>
      <c r="HA9" s="75"/>
      <c r="HB9" s="75"/>
      <c r="HC9" s="75"/>
      <c r="HD9" s="75"/>
      <c r="HE9" s="75"/>
      <c r="HF9" s="75"/>
      <c r="HG9" s="75"/>
      <c r="HH9" s="75"/>
      <c r="HI9" s="75"/>
      <c r="HJ9" s="75"/>
      <c r="HK9" s="75"/>
      <c r="HL9" s="75"/>
      <c r="HM9" s="75"/>
      <c r="HN9" s="75"/>
      <c r="HO9" s="75"/>
      <c r="HP9" s="75"/>
      <c r="HQ9" s="75"/>
      <c r="HR9" s="75"/>
      <c r="HS9" s="75"/>
      <c r="HT9" s="75"/>
      <c r="HU9" s="75"/>
      <c r="HV9" s="75"/>
      <c r="HW9" s="75"/>
      <c r="HX9" s="75"/>
      <c r="HY9" s="75"/>
      <c r="HZ9" s="75"/>
      <c r="IA9" s="75"/>
      <c r="IB9" s="75"/>
      <c r="IC9" s="75"/>
      <c r="ID9" s="75"/>
      <c r="IE9" s="75"/>
      <c r="IF9" s="75"/>
      <c r="IG9" s="75"/>
      <c r="IH9" s="75"/>
      <c r="II9" s="75"/>
      <c r="IJ9" s="75"/>
      <c r="IK9" s="75"/>
      <c r="IL9" s="75"/>
      <c r="IM9" s="75"/>
      <c r="IN9" s="75"/>
      <c r="IO9" s="75"/>
      <c r="IP9" s="75"/>
      <c r="IQ9" s="75"/>
      <c r="IR9" s="75"/>
      <c r="IS9" s="75"/>
      <c r="IT9" s="75"/>
      <c r="IU9" s="75"/>
      <c r="IV9" s="75"/>
      <c r="IW9" s="75"/>
      <c r="IX9" s="75"/>
      <c r="IY9" s="75"/>
      <c r="IZ9" s="75"/>
      <c r="JA9" s="75"/>
      <c r="JB9" s="75"/>
      <c r="JC9" s="75"/>
      <c r="JD9" s="75"/>
      <c r="JE9" s="75"/>
      <c r="JF9" s="75"/>
      <c r="JG9" s="75"/>
      <c r="JH9" s="75"/>
      <c r="JI9" s="75"/>
      <c r="JJ9" s="75"/>
      <c r="JK9" s="75"/>
      <c r="JL9" s="75"/>
      <c r="JM9" s="75"/>
      <c r="JN9" s="75"/>
      <c r="JO9" s="75"/>
      <c r="JP9" s="75"/>
      <c r="JQ9" s="75"/>
      <c r="JR9" s="75"/>
      <c r="JS9" s="75"/>
      <c r="JT9" s="75"/>
      <c r="JU9" s="75"/>
      <c r="JV9" s="75"/>
      <c r="JW9" s="75"/>
      <c r="JX9" s="75"/>
      <c r="JY9" s="75">
        <v>1</v>
      </c>
      <c r="JZ9" s="75">
        <v>1</v>
      </c>
      <c r="KA9" s="75">
        <v>1</v>
      </c>
      <c r="KB9" s="75">
        <v>1</v>
      </c>
      <c r="KC9" s="75">
        <v>1</v>
      </c>
      <c r="KD9" s="75">
        <v>1</v>
      </c>
      <c r="KE9" s="75"/>
      <c r="KF9" s="75">
        <v>1</v>
      </c>
      <c r="KG9" s="75">
        <v>1</v>
      </c>
      <c r="KH9" s="75"/>
      <c r="KI9" s="75"/>
      <c r="KJ9" s="75"/>
      <c r="KK9" s="75"/>
      <c r="KL9" s="75"/>
      <c r="KM9" s="75"/>
      <c r="KN9" s="75"/>
      <c r="KO9" s="75"/>
      <c r="KP9" s="75"/>
      <c r="KQ9" s="75"/>
      <c r="KR9" s="75"/>
      <c r="KS9" s="75"/>
      <c r="KT9" s="75"/>
      <c r="KU9" s="75"/>
      <c r="KV9" s="75"/>
      <c r="KW9" s="75"/>
      <c r="KX9" s="75"/>
      <c r="KY9" s="75"/>
      <c r="KZ9" s="75"/>
      <c r="LA9" s="75"/>
      <c r="LB9" s="75"/>
      <c r="LC9" s="75"/>
      <c r="LD9" s="75">
        <v>0</v>
      </c>
      <c r="LE9" s="75">
        <v>1</v>
      </c>
      <c r="LF9" s="75">
        <v>1</v>
      </c>
      <c r="LG9" s="75"/>
      <c r="LH9" s="75">
        <v>1</v>
      </c>
      <c r="LI9" s="75">
        <v>1</v>
      </c>
      <c r="LJ9" s="75">
        <v>1</v>
      </c>
      <c r="LK9" s="75">
        <v>1</v>
      </c>
      <c r="LL9" s="75">
        <v>1</v>
      </c>
      <c r="LM9" s="75">
        <v>1</v>
      </c>
      <c r="LN9" s="75"/>
      <c r="LO9" s="75">
        <v>1</v>
      </c>
      <c r="LP9" s="75">
        <v>1</v>
      </c>
      <c r="LQ9" s="75">
        <v>1</v>
      </c>
      <c r="LR9" s="75">
        <v>1</v>
      </c>
      <c r="LS9" s="75">
        <v>1</v>
      </c>
      <c r="LT9" s="75">
        <v>1</v>
      </c>
      <c r="LU9" s="75"/>
      <c r="LV9" s="75">
        <v>1</v>
      </c>
      <c r="LW9" s="75">
        <v>1</v>
      </c>
      <c r="LX9" s="75"/>
      <c r="LY9" s="75"/>
      <c r="LZ9" s="75"/>
      <c r="MA9" s="75"/>
      <c r="MB9" s="75"/>
      <c r="MC9" s="75"/>
      <c r="MD9" s="75">
        <v>4</v>
      </c>
      <c r="ME9" s="75">
        <v>11</v>
      </c>
      <c r="MF9" s="75">
        <v>11</v>
      </c>
      <c r="MG9" s="75"/>
      <c r="MH9" s="75"/>
      <c r="MI9" s="75"/>
      <c r="MJ9" s="75"/>
      <c r="MK9" s="75"/>
      <c r="ML9" s="75"/>
      <c r="MM9" s="75">
        <v>11</v>
      </c>
      <c r="MN9" s="75">
        <v>11</v>
      </c>
      <c r="MO9" s="75">
        <v>11</v>
      </c>
      <c r="MP9" s="75"/>
      <c r="MQ9" s="75">
        <v>11</v>
      </c>
      <c r="MR9" s="75">
        <v>11</v>
      </c>
      <c r="MS9" s="75">
        <v>11</v>
      </c>
      <c r="MT9" s="75">
        <v>11</v>
      </c>
      <c r="MU9" s="75">
        <v>11</v>
      </c>
      <c r="MV9" s="75">
        <v>11</v>
      </c>
      <c r="MW9" s="75"/>
      <c r="MX9" s="75">
        <v>15</v>
      </c>
      <c r="MY9" s="75">
        <v>17</v>
      </c>
      <c r="MZ9" s="75">
        <v>17</v>
      </c>
      <c r="NA9" s="75">
        <v>17</v>
      </c>
      <c r="NB9" s="75">
        <v>17</v>
      </c>
      <c r="NC9" s="75">
        <v>17</v>
      </c>
      <c r="ND9" s="75"/>
      <c r="NE9" s="75">
        <v>17</v>
      </c>
      <c r="NF9" s="75">
        <v>17</v>
      </c>
      <c r="NG9" s="75">
        <v>15</v>
      </c>
      <c r="NH9" s="75">
        <v>15</v>
      </c>
      <c r="NI9" s="75">
        <v>15</v>
      </c>
      <c r="NJ9" s="75">
        <v>15</v>
      </c>
      <c r="NK9" s="75"/>
      <c r="NL9" s="75">
        <v>17</v>
      </c>
      <c r="NM9" s="75">
        <v>17</v>
      </c>
      <c r="NN9" s="75">
        <v>23</v>
      </c>
      <c r="NO9" s="75">
        <v>22</v>
      </c>
      <c r="NP9" s="75">
        <v>13</v>
      </c>
      <c r="NQ9" s="75">
        <v>13</v>
      </c>
      <c r="NR9" s="75"/>
      <c r="NS9" s="75">
        <v>13</v>
      </c>
      <c r="NT9" s="75">
        <v>13</v>
      </c>
      <c r="NU9" s="75">
        <v>11</v>
      </c>
      <c r="NV9" s="75">
        <v>11</v>
      </c>
      <c r="NW9" s="75">
        <v>22</v>
      </c>
      <c r="NX9" s="75">
        <v>22</v>
      </c>
      <c r="NY9" s="75"/>
      <c r="NZ9" s="75">
        <v>27</v>
      </c>
      <c r="OA9" s="75">
        <v>30</v>
      </c>
      <c r="OB9" s="75">
        <v>32</v>
      </c>
      <c r="OC9" s="75">
        <v>34</v>
      </c>
      <c r="OD9" s="75">
        <v>34</v>
      </c>
      <c r="OE9" s="75">
        <v>34</v>
      </c>
      <c r="OF9" s="75"/>
      <c r="OG9" s="75">
        <v>37</v>
      </c>
      <c r="OH9" s="75">
        <v>37</v>
      </c>
      <c r="OI9" s="75">
        <v>36</v>
      </c>
      <c r="OJ9" s="75">
        <v>32</v>
      </c>
      <c r="OK9" s="75">
        <v>33</v>
      </c>
      <c r="OL9" s="75">
        <v>33</v>
      </c>
      <c r="OM9" s="75"/>
      <c r="ON9" s="75">
        <v>33</v>
      </c>
      <c r="OO9" s="75">
        <v>33</v>
      </c>
      <c r="OP9" s="75">
        <v>30</v>
      </c>
      <c r="OQ9" s="75">
        <v>30</v>
      </c>
      <c r="OR9" s="75">
        <v>30</v>
      </c>
      <c r="OS9" s="75">
        <v>24</v>
      </c>
      <c r="OT9" s="75"/>
      <c r="OU9" s="75">
        <v>23</v>
      </c>
      <c r="OV9" s="75">
        <v>31</v>
      </c>
      <c r="OW9" s="75">
        <v>34</v>
      </c>
      <c r="OX9" s="75">
        <v>34</v>
      </c>
      <c r="OY9" s="75">
        <v>34</v>
      </c>
      <c r="OZ9" s="75">
        <v>34</v>
      </c>
      <c r="PA9" s="75"/>
      <c r="PB9" s="75">
        <v>34</v>
      </c>
      <c r="PC9" s="75">
        <v>20</v>
      </c>
      <c r="PD9" s="75">
        <v>15</v>
      </c>
      <c r="PE9" s="75">
        <v>15</v>
      </c>
      <c r="PF9" s="75">
        <v>15</v>
      </c>
      <c r="PG9" s="75">
        <v>14</v>
      </c>
      <c r="PH9" s="75"/>
      <c r="PI9" s="75">
        <v>16</v>
      </c>
      <c r="PJ9" s="75">
        <v>19</v>
      </c>
      <c r="PK9" s="75">
        <v>19</v>
      </c>
      <c r="PL9" s="75">
        <v>17</v>
      </c>
      <c r="PM9" s="75">
        <v>17</v>
      </c>
      <c r="PN9" s="75">
        <v>17</v>
      </c>
      <c r="PO9" s="75"/>
      <c r="PP9" s="75">
        <v>18</v>
      </c>
      <c r="PQ9" s="75">
        <v>22</v>
      </c>
      <c r="PR9" s="75">
        <v>26</v>
      </c>
      <c r="PS9" s="75">
        <v>26</v>
      </c>
      <c r="PT9" s="75">
        <v>26</v>
      </c>
      <c r="PU9" s="75">
        <v>28</v>
      </c>
      <c r="PV9" s="75"/>
      <c r="PW9" s="75">
        <v>35</v>
      </c>
      <c r="PX9" s="75">
        <v>37</v>
      </c>
      <c r="PY9" s="75">
        <v>54</v>
      </c>
      <c r="PZ9" s="75">
        <v>48</v>
      </c>
      <c r="QA9" s="75">
        <v>38</v>
      </c>
      <c r="QB9" s="75">
        <v>38</v>
      </c>
      <c r="QC9" s="75"/>
      <c r="QD9" s="75">
        <v>38</v>
      </c>
      <c r="QE9" s="75">
        <v>39</v>
      </c>
      <c r="QF9" s="75">
        <v>42</v>
      </c>
      <c r="QG9" s="75">
        <v>44</v>
      </c>
      <c r="QH9" s="75">
        <v>52</v>
      </c>
      <c r="QI9" s="75">
        <v>61</v>
      </c>
      <c r="QJ9" s="75"/>
      <c r="QK9" s="75">
        <v>72</v>
      </c>
      <c r="QL9" s="75">
        <v>72</v>
      </c>
      <c r="QM9" s="75">
        <v>78</v>
      </c>
      <c r="QN9" s="75">
        <v>92</v>
      </c>
      <c r="QO9" s="75">
        <v>92</v>
      </c>
      <c r="QP9" s="75">
        <v>90</v>
      </c>
      <c r="QQ9" s="75"/>
      <c r="QR9" s="75">
        <v>82</v>
      </c>
      <c r="QS9" s="75">
        <v>82</v>
      </c>
      <c r="QT9" s="75">
        <v>82</v>
      </c>
      <c r="QU9" s="75">
        <v>89</v>
      </c>
      <c r="QV9" s="75">
        <v>122</v>
      </c>
      <c r="QW9" s="75">
        <v>111</v>
      </c>
      <c r="QX9" s="75"/>
      <c r="QY9" s="75">
        <v>115</v>
      </c>
      <c r="QZ9" s="75">
        <v>129</v>
      </c>
      <c r="RA9" s="75">
        <v>133</v>
      </c>
      <c r="RB9" s="75">
        <v>133</v>
      </c>
      <c r="RC9" s="75">
        <v>149</v>
      </c>
      <c r="RD9" s="75">
        <v>158</v>
      </c>
      <c r="RE9" s="75"/>
      <c r="RF9" s="75">
        <v>158</v>
      </c>
      <c r="RG9" s="75">
        <v>158</v>
      </c>
      <c r="RH9" s="75">
        <v>147</v>
      </c>
      <c r="RI9" s="75">
        <v>147</v>
      </c>
      <c r="RJ9" s="75">
        <v>147</v>
      </c>
      <c r="RK9" s="75">
        <v>147</v>
      </c>
      <c r="RL9" s="75"/>
      <c r="RM9" s="75">
        <v>140</v>
      </c>
      <c r="RN9" s="75">
        <v>114</v>
      </c>
      <c r="RO9" s="75">
        <v>114</v>
      </c>
      <c r="RP9" s="75">
        <v>114</v>
      </c>
      <c r="RQ9" s="75">
        <v>113</v>
      </c>
      <c r="RR9" s="75">
        <v>108</v>
      </c>
      <c r="RS9" s="75"/>
      <c r="RT9" s="75">
        <v>87</v>
      </c>
      <c r="RU9" s="75">
        <v>77</v>
      </c>
      <c r="RV9" s="75">
        <v>82</v>
      </c>
      <c r="RW9" s="75">
        <v>84</v>
      </c>
      <c r="RX9" s="75">
        <v>84</v>
      </c>
      <c r="RY9" s="75">
        <v>84</v>
      </c>
      <c r="RZ9" s="75"/>
      <c r="SA9" s="75">
        <v>83</v>
      </c>
      <c r="SB9" s="75">
        <v>76</v>
      </c>
      <c r="SC9" s="75">
        <v>73</v>
      </c>
      <c r="SD9" s="75">
        <v>71</v>
      </c>
      <c r="SE9" s="75">
        <v>53</v>
      </c>
      <c r="SF9" s="75">
        <v>72</v>
      </c>
      <c r="SG9" s="75"/>
      <c r="SH9" s="75">
        <v>68</v>
      </c>
      <c r="SI9" s="75">
        <v>66</v>
      </c>
      <c r="SJ9" s="75">
        <v>53</v>
      </c>
      <c r="SK9" s="75">
        <v>50</v>
      </c>
      <c r="SL9" s="75">
        <v>39</v>
      </c>
      <c r="SM9" s="75">
        <v>39</v>
      </c>
      <c r="SN9" s="75"/>
      <c r="SO9" s="75">
        <v>39</v>
      </c>
      <c r="SP9" s="75">
        <v>39</v>
      </c>
      <c r="SQ9" s="75">
        <v>39</v>
      </c>
      <c r="SR9" s="75">
        <v>39</v>
      </c>
      <c r="SS9" s="75">
        <v>39</v>
      </c>
      <c r="ST9" s="75">
        <v>39</v>
      </c>
      <c r="SU9" s="75"/>
      <c r="SV9" s="75">
        <v>39</v>
      </c>
      <c r="SW9" s="75">
        <v>39</v>
      </c>
      <c r="SX9" s="75">
        <v>39</v>
      </c>
      <c r="SY9" s="75">
        <v>39</v>
      </c>
      <c r="SZ9" s="75">
        <v>39</v>
      </c>
      <c r="TA9" s="75">
        <v>39</v>
      </c>
      <c r="TB9" s="75"/>
      <c r="TC9" s="75">
        <v>37</v>
      </c>
      <c r="TD9" s="75">
        <v>37</v>
      </c>
      <c r="TE9" s="75">
        <v>37</v>
      </c>
      <c r="TF9" s="75">
        <v>37</v>
      </c>
      <c r="TG9" s="75">
        <v>37</v>
      </c>
      <c r="TH9" s="75">
        <v>37</v>
      </c>
      <c r="TI9" s="75"/>
      <c r="TJ9" s="75">
        <v>37</v>
      </c>
      <c r="TK9" s="75">
        <v>37</v>
      </c>
      <c r="TL9" s="75">
        <v>37</v>
      </c>
      <c r="TM9" s="75">
        <v>37</v>
      </c>
      <c r="TN9" s="75">
        <v>37</v>
      </c>
      <c r="TO9" s="75">
        <v>17</v>
      </c>
      <c r="TP9" s="75"/>
      <c r="TQ9" s="75">
        <v>17</v>
      </c>
      <c r="TR9" s="75">
        <v>17</v>
      </c>
      <c r="TS9" s="75">
        <v>17</v>
      </c>
      <c r="TT9" s="75">
        <v>17</v>
      </c>
      <c r="TU9" s="75">
        <v>17</v>
      </c>
      <c r="TV9" s="75">
        <v>17</v>
      </c>
      <c r="TW9" s="75"/>
      <c r="TX9" s="75">
        <v>17</v>
      </c>
      <c r="TY9" s="75">
        <v>17</v>
      </c>
      <c r="TZ9" s="75">
        <v>17</v>
      </c>
      <c r="UA9" s="75">
        <v>17</v>
      </c>
      <c r="UB9" s="75">
        <v>17</v>
      </c>
      <c r="UC9" s="75">
        <v>17</v>
      </c>
      <c r="UD9" s="75"/>
      <c r="UE9" s="75">
        <v>17</v>
      </c>
      <c r="UF9" s="75">
        <v>17</v>
      </c>
      <c r="UG9" s="75">
        <v>17</v>
      </c>
      <c r="UH9" s="75">
        <v>17</v>
      </c>
      <c r="UI9" s="75">
        <v>17</v>
      </c>
      <c r="UJ9" s="75">
        <v>17</v>
      </c>
      <c r="UK9" s="75"/>
      <c r="UL9" s="75">
        <v>17</v>
      </c>
      <c r="UM9" s="75">
        <v>17</v>
      </c>
      <c r="UN9" s="75">
        <v>17</v>
      </c>
      <c r="UO9" s="75">
        <v>17</v>
      </c>
      <c r="UP9" s="75">
        <v>17</v>
      </c>
      <c r="UQ9" s="75">
        <v>17</v>
      </c>
      <c r="UR9" s="75"/>
      <c r="US9" s="75">
        <v>17</v>
      </c>
      <c r="UT9" s="75">
        <v>17</v>
      </c>
      <c r="UU9" s="75">
        <v>17</v>
      </c>
      <c r="UV9" s="75">
        <v>17</v>
      </c>
      <c r="UW9" s="75">
        <v>17</v>
      </c>
      <c r="UX9" s="75">
        <v>17</v>
      </c>
      <c r="UY9" s="75"/>
      <c r="UZ9" s="75">
        <v>17</v>
      </c>
      <c r="VA9" s="75">
        <v>17</v>
      </c>
      <c r="VB9" s="75">
        <v>17</v>
      </c>
      <c r="VC9" s="75">
        <v>17</v>
      </c>
      <c r="VD9" s="75">
        <v>17</v>
      </c>
      <c r="VE9" s="75">
        <v>17</v>
      </c>
      <c r="VF9" s="75"/>
      <c r="VG9" s="75">
        <v>17</v>
      </c>
      <c r="VH9" s="75">
        <v>17</v>
      </c>
      <c r="VI9" s="75">
        <v>17</v>
      </c>
      <c r="VJ9" s="75">
        <v>17</v>
      </c>
      <c r="VK9" s="75">
        <v>17</v>
      </c>
      <c r="VL9" s="75">
        <v>17</v>
      </c>
      <c r="VM9" s="75"/>
      <c r="VN9" s="75">
        <v>17</v>
      </c>
      <c r="VO9" s="75">
        <v>17</v>
      </c>
      <c r="VP9" s="75">
        <v>17</v>
      </c>
      <c r="VQ9" s="75">
        <v>17</v>
      </c>
      <c r="VR9" s="75">
        <v>17</v>
      </c>
      <c r="VS9" s="75">
        <v>17</v>
      </c>
      <c r="VT9" s="75"/>
      <c r="VU9" s="75">
        <v>17</v>
      </c>
      <c r="VV9" s="75">
        <v>17</v>
      </c>
      <c r="VW9" s="75">
        <v>17</v>
      </c>
      <c r="VX9" s="75">
        <v>17</v>
      </c>
      <c r="VY9" s="75">
        <v>17</v>
      </c>
      <c r="VZ9" s="75">
        <v>17</v>
      </c>
      <c r="WA9" s="75"/>
      <c r="WB9" s="75">
        <v>17</v>
      </c>
      <c r="WC9" s="75">
        <v>17</v>
      </c>
      <c r="WD9" s="75">
        <v>17</v>
      </c>
      <c r="WE9" s="75">
        <v>17</v>
      </c>
      <c r="WF9" s="75">
        <v>17</v>
      </c>
      <c r="WG9" s="75">
        <v>17</v>
      </c>
      <c r="WH9" s="75"/>
      <c r="WI9" s="75">
        <v>17</v>
      </c>
      <c r="WJ9" s="75">
        <v>17</v>
      </c>
      <c r="WK9" s="75">
        <v>17</v>
      </c>
      <c r="WL9" s="75">
        <v>17</v>
      </c>
      <c r="WM9" s="75">
        <v>17</v>
      </c>
      <c r="WN9" s="75">
        <v>17</v>
      </c>
      <c r="WO9" s="75"/>
      <c r="WP9" s="75">
        <v>17</v>
      </c>
      <c r="WQ9" s="75">
        <v>17</v>
      </c>
      <c r="WR9" s="75">
        <v>17</v>
      </c>
      <c r="WS9" s="75">
        <v>17</v>
      </c>
      <c r="WT9" s="75">
        <v>17</v>
      </c>
      <c r="WU9" s="75">
        <v>17</v>
      </c>
      <c r="WV9" s="75"/>
      <c r="WW9" s="75">
        <v>17</v>
      </c>
      <c r="WX9" s="75">
        <v>17</v>
      </c>
      <c r="WY9" s="75">
        <v>17</v>
      </c>
      <c r="WZ9" s="75">
        <v>17</v>
      </c>
      <c r="XA9" s="75">
        <v>17</v>
      </c>
      <c r="XB9" s="75">
        <v>17</v>
      </c>
      <c r="XC9" s="75"/>
      <c r="XD9" s="75">
        <v>17</v>
      </c>
      <c r="XE9" s="75">
        <v>17</v>
      </c>
      <c r="XF9" s="75">
        <v>17</v>
      </c>
      <c r="XG9" s="75">
        <v>17</v>
      </c>
      <c r="XH9" s="75">
        <v>17</v>
      </c>
      <c r="XI9" s="75"/>
      <c r="XJ9" s="75"/>
      <c r="XK9" s="75"/>
      <c r="XL9" s="75"/>
      <c r="XM9" s="75"/>
      <c r="XN9" s="75">
        <v>17</v>
      </c>
      <c r="XO9" s="75">
        <v>17</v>
      </c>
      <c r="XP9" s="75">
        <v>17</v>
      </c>
      <c r="XQ9" s="75"/>
      <c r="XR9" s="75">
        <v>17</v>
      </c>
      <c r="XS9" s="75">
        <v>17</v>
      </c>
      <c r="XT9" s="75">
        <v>17</v>
      </c>
      <c r="XU9" s="75">
        <v>17</v>
      </c>
      <c r="XV9" s="75">
        <v>17</v>
      </c>
      <c r="XW9" s="75">
        <v>17</v>
      </c>
      <c r="XX9" s="75"/>
      <c r="XY9" s="75">
        <v>17</v>
      </c>
      <c r="XZ9" s="75">
        <v>17</v>
      </c>
      <c r="YA9" s="75">
        <v>17</v>
      </c>
      <c r="YB9" s="75">
        <v>17</v>
      </c>
      <c r="YC9" s="75">
        <v>17</v>
      </c>
      <c r="YD9" s="75">
        <v>17</v>
      </c>
      <c r="YE9" s="75"/>
      <c r="YF9" s="75">
        <v>17</v>
      </c>
      <c r="YG9" s="75">
        <v>17</v>
      </c>
      <c r="YH9" s="75">
        <v>17</v>
      </c>
      <c r="YI9" s="75">
        <v>17</v>
      </c>
      <c r="YJ9" s="75">
        <v>17</v>
      </c>
      <c r="YK9" s="75">
        <v>17</v>
      </c>
      <c r="YL9" s="75"/>
      <c r="YM9" s="75">
        <v>17</v>
      </c>
      <c r="YN9" s="75">
        <v>17</v>
      </c>
      <c r="YO9" s="75">
        <v>17</v>
      </c>
      <c r="YP9" s="75">
        <v>17</v>
      </c>
      <c r="YQ9" s="75">
        <v>17</v>
      </c>
      <c r="YR9" s="75">
        <v>17</v>
      </c>
      <c r="YS9" s="75"/>
      <c r="YT9" s="75">
        <v>17</v>
      </c>
      <c r="YU9" s="75">
        <v>17</v>
      </c>
      <c r="YV9" s="75">
        <v>17</v>
      </c>
      <c r="YW9" s="75">
        <v>17</v>
      </c>
      <c r="YX9" s="75">
        <v>17</v>
      </c>
      <c r="YY9" s="75">
        <v>17</v>
      </c>
      <c r="YZ9" s="75"/>
      <c r="ZA9" s="75">
        <v>17</v>
      </c>
      <c r="ZB9" s="75">
        <v>17</v>
      </c>
      <c r="ZC9" s="75">
        <v>17</v>
      </c>
      <c r="ZD9" s="75">
        <v>17</v>
      </c>
      <c r="ZE9" s="75">
        <v>14</v>
      </c>
      <c r="ZF9" s="75"/>
      <c r="ZG9" s="75"/>
      <c r="ZH9" s="75"/>
      <c r="ZI9" s="75"/>
      <c r="ZJ9" s="75"/>
      <c r="ZK9" s="75"/>
      <c r="ZL9" s="75"/>
      <c r="ZM9" s="75"/>
      <c r="ZN9" s="75"/>
      <c r="ZO9" s="75"/>
      <c r="ZP9" s="75"/>
      <c r="ZQ9" s="75"/>
      <c r="ZR9" s="75"/>
      <c r="ZS9" s="75"/>
      <c r="ZT9" s="75"/>
      <c r="ZU9" s="75"/>
      <c r="ZV9" s="75"/>
      <c r="ZW9" s="75"/>
      <c r="ZX9" s="75"/>
      <c r="ZY9" s="75"/>
      <c r="ZZ9" s="75"/>
      <c r="AAA9" s="75"/>
      <c r="AAB9" s="75"/>
      <c r="AAC9" s="75"/>
      <c r="AAD9" s="75"/>
      <c r="AAE9" s="75"/>
      <c r="AAF9" s="75"/>
      <c r="AAG9" s="75"/>
      <c r="AAH9" s="75"/>
      <c r="AAI9" s="75"/>
      <c r="AAJ9" s="75"/>
      <c r="AAK9" s="75"/>
      <c r="AAL9" s="75"/>
      <c r="AAM9" s="75"/>
      <c r="AAN9" s="75"/>
      <c r="AAO9" s="75"/>
      <c r="AAP9" s="75"/>
      <c r="AAQ9" s="75"/>
      <c r="AAR9" s="75"/>
      <c r="AAS9" s="75"/>
      <c r="AAT9" s="75"/>
      <c r="AAU9" s="75"/>
      <c r="AAV9" s="75"/>
      <c r="AAW9" s="75"/>
      <c r="AAX9" s="75"/>
      <c r="AAY9" s="75"/>
      <c r="AAZ9" s="75"/>
      <c r="ABA9" s="75"/>
      <c r="ABB9" s="75"/>
      <c r="ABC9" s="75"/>
    </row>
    <row r="10" spans="1:731">
      <c r="A10" s="75" t="s">
        <v>47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5"/>
      <c r="BF10" s="75"/>
      <c r="BG10" s="75"/>
      <c r="BH10" s="75"/>
      <c r="BI10" s="75"/>
      <c r="BJ10" s="75"/>
      <c r="BK10" s="75"/>
      <c r="BL10" s="75"/>
      <c r="BM10" s="75"/>
      <c r="BN10" s="75"/>
      <c r="BO10" s="75"/>
      <c r="BP10" s="75"/>
      <c r="BQ10" s="75"/>
      <c r="BR10" s="75"/>
      <c r="BS10" s="75"/>
      <c r="BT10" s="75"/>
      <c r="BU10" s="75"/>
      <c r="BV10" s="75"/>
      <c r="BW10" s="75"/>
      <c r="BX10" s="75"/>
      <c r="BY10" s="75"/>
      <c r="BZ10" s="75"/>
      <c r="CA10" s="75"/>
      <c r="CB10" s="75"/>
      <c r="CC10" s="75"/>
      <c r="CD10" s="75"/>
      <c r="CE10" s="75"/>
      <c r="CF10" s="75"/>
      <c r="CG10" s="75">
        <v>4</v>
      </c>
      <c r="CH10" s="75">
        <v>4</v>
      </c>
      <c r="CI10" s="75">
        <v>4</v>
      </c>
      <c r="CJ10" s="75"/>
      <c r="CK10" s="75">
        <v>4</v>
      </c>
      <c r="CL10" s="75">
        <v>4</v>
      </c>
      <c r="CM10" s="75">
        <v>4</v>
      </c>
      <c r="CN10" s="75">
        <v>4</v>
      </c>
      <c r="CO10" s="75"/>
      <c r="CP10" s="75"/>
      <c r="CQ10" s="75"/>
      <c r="CR10" s="75"/>
      <c r="CS10" s="75">
        <v>3</v>
      </c>
      <c r="CT10" s="75">
        <v>3</v>
      </c>
      <c r="CU10" s="75">
        <v>3</v>
      </c>
      <c r="CV10" s="75">
        <v>3</v>
      </c>
      <c r="CW10" s="75">
        <v>3</v>
      </c>
      <c r="CX10" s="75"/>
      <c r="CY10" s="75"/>
      <c r="CZ10" s="75"/>
      <c r="DA10" s="75"/>
      <c r="DB10" s="75"/>
      <c r="DC10" s="75"/>
      <c r="DD10" s="75"/>
      <c r="DE10" s="75"/>
      <c r="DF10" s="75"/>
      <c r="DG10" s="75"/>
      <c r="DH10" s="75"/>
      <c r="DI10" s="75"/>
      <c r="DJ10" s="75"/>
      <c r="DK10" s="75">
        <v>9</v>
      </c>
      <c r="DL10" s="75"/>
      <c r="DM10" s="75">
        <v>9</v>
      </c>
      <c r="DN10" s="75">
        <v>9</v>
      </c>
      <c r="DO10" s="75">
        <v>9</v>
      </c>
      <c r="DP10" s="75">
        <v>9</v>
      </c>
      <c r="DQ10" s="75">
        <v>9</v>
      </c>
      <c r="DR10" s="75"/>
      <c r="DS10" s="75"/>
      <c r="DT10" s="75"/>
      <c r="DU10" s="75"/>
      <c r="DV10" s="75"/>
      <c r="DW10" s="75"/>
      <c r="DX10" s="75">
        <v>4</v>
      </c>
      <c r="DY10" s="75">
        <v>14</v>
      </c>
      <c r="DZ10" s="75"/>
      <c r="EA10" s="75">
        <v>14</v>
      </c>
      <c r="EB10" s="75">
        <v>14</v>
      </c>
      <c r="EC10" s="75">
        <v>20</v>
      </c>
      <c r="ED10" s="75">
        <v>20</v>
      </c>
      <c r="EE10" s="75">
        <v>14</v>
      </c>
      <c r="EF10" s="75">
        <v>24</v>
      </c>
      <c r="EG10" s="75"/>
      <c r="EH10" s="75">
        <v>28</v>
      </c>
      <c r="EI10" s="75">
        <v>22</v>
      </c>
      <c r="EJ10" s="75">
        <v>28</v>
      </c>
      <c r="EK10" s="75">
        <v>28</v>
      </c>
      <c r="EL10" s="75">
        <v>14</v>
      </c>
      <c r="EM10" s="75">
        <v>10</v>
      </c>
      <c r="EN10" s="75"/>
      <c r="EO10" s="75">
        <v>14</v>
      </c>
      <c r="EP10" s="75">
        <v>4</v>
      </c>
      <c r="EQ10" s="75">
        <v>4</v>
      </c>
      <c r="ER10" s="75">
        <v>4</v>
      </c>
      <c r="ES10" s="75">
        <v>4</v>
      </c>
      <c r="ET10" s="75">
        <v>4</v>
      </c>
      <c r="EU10" s="75"/>
      <c r="EV10" s="75"/>
      <c r="EW10" s="75"/>
      <c r="EX10" s="75"/>
      <c r="EY10" s="75"/>
      <c r="EZ10" s="75"/>
      <c r="FA10" s="75"/>
      <c r="FB10" s="75"/>
      <c r="FC10" s="75"/>
      <c r="FD10" s="75"/>
      <c r="FE10" s="75"/>
      <c r="FF10" s="75"/>
      <c r="FG10" s="75"/>
      <c r="FH10" s="75"/>
      <c r="FI10" s="75"/>
      <c r="FJ10" s="75"/>
      <c r="FK10" s="75">
        <v>0</v>
      </c>
      <c r="FL10" s="75">
        <v>4</v>
      </c>
      <c r="FM10" s="75">
        <v>4</v>
      </c>
      <c r="FN10" s="75">
        <v>4</v>
      </c>
      <c r="FO10" s="75">
        <v>4</v>
      </c>
      <c r="FP10" s="75"/>
      <c r="FQ10" s="75">
        <v>4</v>
      </c>
      <c r="FR10" s="75">
        <v>8</v>
      </c>
      <c r="FS10" s="75">
        <v>8</v>
      </c>
      <c r="FT10" s="75">
        <v>8</v>
      </c>
      <c r="FU10" s="75">
        <v>4</v>
      </c>
      <c r="FV10" s="75"/>
      <c r="FW10" s="75"/>
      <c r="FX10" s="75"/>
      <c r="FY10" s="75"/>
      <c r="FZ10" s="75"/>
      <c r="GA10" s="75"/>
      <c r="GB10" s="75"/>
      <c r="GC10" s="75"/>
      <c r="GD10" s="75"/>
      <c r="GE10" s="75"/>
      <c r="GF10" s="75"/>
      <c r="GG10" s="75"/>
      <c r="GH10" s="75">
        <v>1</v>
      </c>
      <c r="GI10" s="75">
        <v>11</v>
      </c>
      <c r="GJ10" s="75">
        <v>15</v>
      </c>
      <c r="GK10" s="75"/>
      <c r="GL10" s="75">
        <v>15</v>
      </c>
      <c r="GM10" s="75">
        <v>10</v>
      </c>
      <c r="GN10" s="75">
        <v>10</v>
      </c>
      <c r="GO10" s="75">
        <v>14</v>
      </c>
      <c r="GP10" s="75">
        <v>10</v>
      </c>
      <c r="GQ10" s="75">
        <v>5</v>
      </c>
      <c r="GR10" s="75"/>
      <c r="GS10" s="75">
        <v>11</v>
      </c>
      <c r="GT10" s="75">
        <v>10</v>
      </c>
      <c r="GU10" s="75">
        <v>10</v>
      </c>
      <c r="GV10" s="75">
        <v>10</v>
      </c>
      <c r="GW10" s="75">
        <v>11</v>
      </c>
      <c r="GX10" s="75">
        <v>12</v>
      </c>
      <c r="GY10" s="75"/>
      <c r="GZ10" s="75">
        <v>2</v>
      </c>
      <c r="HA10" s="75">
        <v>2</v>
      </c>
      <c r="HB10" s="75">
        <v>1</v>
      </c>
      <c r="HC10" s="75">
        <v>3</v>
      </c>
      <c r="HD10" s="75">
        <v>3</v>
      </c>
      <c r="HE10" s="75">
        <v>2</v>
      </c>
      <c r="HF10" s="75"/>
      <c r="HG10" s="75"/>
      <c r="HH10" s="75">
        <v>4</v>
      </c>
      <c r="HI10" s="75">
        <v>4</v>
      </c>
      <c r="HJ10" s="75">
        <v>4</v>
      </c>
      <c r="HK10" s="75">
        <v>4</v>
      </c>
      <c r="HL10" s="75">
        <v>0</v>
      </c>
      <c r="HM10" s="75"/>
      <c r="HN10" s="75"/>
      <c r="HO10" s="75"/>
      <c r="HP10" s="75"/>
      <c r="HQ10" s="75">
        <v>0</v>
      </c>
      <c r="HR10" s="75">
        <v>4</v>
      </c>
      <c r="HS10" s="75">
        <v>11</v>
      </c>
      <c r="HT10" s="75"/>
      <c r="HU10" s="75">
        <v>11</v>
      </c>
      <c r="HV10" s="75">
        <v>8</v>
      </c>
      <c r="HW10" s="75">
        <v>8</v>
      </c>
      <c r="HX10" s="75">
        <v>6</v>
      </c>
      <c r="HY10" s="75">
        <v>6</v>
      </c>
      <c r="HZ10" s="75">
        <v>6</v>
      </c>
      <c r="IA10" s="75"/>
      <c r="IB10" s="75">
        <v>5</v>
      </c>
      <c r="IC10" s="75">
        <v>2</v>
      </c>
      <c r="ID10" s="75">
        <v>1</v>
      </c>
      <c r="IE10" s="75">
        <v>1</v>
      </c>
      <c r="IF10" s="75">
        <v>1</v>
      </c>
      <c r="IG10" s="75">
        <v>1</v>
      </c>
      <c r="IH10" s="75"/>
      <c r="II10" s="75"/>
      <c r="IJ10" s="75"/>
      <c r="IK10" s="75"/>
      <c r="IL10" s="75">
        <v>2</v>
      </c>
      <c r="IM10" s="75">
        <v>6</v>
      </c>
      <c r="IN10" s="75">
        <v>8</v>
      </c>
      <c r="IO10" s="75"/>
      <c r="IP10" s="75">
        <v>8</v>
      </c>
      <c r="IQ10" s="75">
        <v>6</v>
      </c>
      <c r="IR10" s="75">
        <v>2</v>
      </c>
      <c r="IS10" s="75"/>
      <c r="IT10" s="75"/>
      <c r="IU10" s="75"/>
      <c r="IV10" s="75"/>
      <c r="IW10" s="75"/>
      <c r="IX10" s="75"/>
      <c r="IY10" s="75">
        <v>0</v>
      </c>
      <c r="IZ10" s="75">
        <v>2</v>
      </c>
      <c r="JA10" s="75">
        <v>2</v>
      </c>
      <c r="JB10" s="75">
        <v>2</v>
      </c>
      <c r="JC10" s="75"/>
      <c r="JD10" s="75">
        <v>2</v>
      </c>
      <c r="JE10" s="75">
        <v>2</v>
      </c>
      <c r="JF10" s="75">
        <v>2</v>
      </c>
      <c r="JG10" s="75">
        <v>2</v>
      </c>
      <c r="JH10" s="75"/>
      <c r="JI10" s="75"/>
      <c r="JJ10" s="75"/>
      <c r="JK10" s="75"/>
      <c r="JL10" s="75"/>
      <c r="JM10" s="75"/>
      <c r="JN10" s="75"/>
      <c r="JO10" s="75"/>
      <c r="JP10" s="75"/>
      <c r="JQ10" s="75"/>
      <c r="JR10" s="75"/>
      <c r="JS10" s="75"/>
      <c r="JT10" s="75"/>
      <c r="JU10" s="75"/>
      <c r="JV10" s="75"/>
      <c r="JW10" s="75"/>
      <c r="JX10" s="75"/>
      <c r="JY10" s="75"/>
      <c r="JZ10" s="75"/>
      <c r="KA10" s="75"/>
      <c r="KB10" s="75"/>
      <c r="KC10" s="75">
        <v>2</v>
      </c>
      <c r="KD10" s="75">
        <v>3</v>
      </c>
      <c r="KE10" s="75"/>
      <c r="KF10" s="75">
        <v>3</v>
      </c>
      <c r="KG10" s="75">
        <v>4</v>
      </c>
      <c r="KH10" s="75">
        <v>6</v>
      </c>
      <c r="KI10" s="75">
        <v>8</v>
      </c>
      <c r="KJ10" s="75">
        <v>8</v>
      </c>
      <c r="KK10" s="75">
        <v>6</v>
      </c>
      <c r="KL10" s="75"/>
      <c r="KM10" s="75">
        <v>5</v>
      </c>
      <c r="KN10" s="75">
        <v>5</v>
      </c>
      <c r="KO10" s="75">
        <v>4</v>
      </c>
      <c r="KP10" s="75">
        <v>2</v>
      </c>
      <c r="KQ10" s="75"/>
      <c r="KR10" s="75"/>
      <c r="KS10" s="75"/>
      <c r="KT10" s="75"/>
      <c r="KU10" s="75"/>
      <c r="KV10" s="75">
        <v>4</v>
      </c>
      <c r="KW10" s="75">
        <v>4</v>
      </c>
      <c r="KX10" s="75">
        <v>4</v>
      </c>
      <c r="KY10" s="75">
        <v>4</v>
      </c>
      <c r="KZ10" s="75"/>
      <c r="LA10" s="75"/>
      <c r="LB10" s="75"/>
      <c r="LC10" s="75"/>
      <c r="LD10" s="75"/>
      <c r="LE10" s="75"/>
      <c r="LF10" s="75"/>
      <c r="LG10" s="75"/>
      <c r="LH10" s="75"/>
      <c r="LI10" s="75"/>
      <c r="LJ10" s="75"/>
      <c r="LK10" s="75"/>
      <c r="LL10" s="75"/>
      <c r="LM10" s="75"/>
      <c r="LN10" s="75"/>
      <c r="LO10" s="75"/>
      <c r="LP10" s="75"/>
      <c r="LQ10" s="75"/>
      <c r="LR10" s="75"/>
      <c r="LS10" s="75"/>
      <c r="LT10" s="75"/>
      <c r="LU10" s="75"/>
      <c r="LV10" s="75"/>
      <c r="LW10" s="75"/>
      <c r="LX10" s="75"/>
      <c r="LY10" s="75"/>
      <c r="LZ10" s="75"/>
      <c r="MA10" s="75"/>
      <c r="MB10" s="75"/>
      <c r="MC10" s="75"/>
      <c r="MD10" s="75"/>
      <c r="ME10" s="75"/>
      <c r="MF10" s="75"/>
      <c r="MG10" s="75"/>
      <c r="MH10" s="75"/>
      <c r="MI10" s="75"/>
      <c r="MJ10" s="75"/>
      <c r="MK10" s="75"/>
      <c r="ML10" s="75"/>
      <c r="MM10" s="75"/>
      <c r="MN10" s="75"/>
      <c r="MO10" s="75"/>
      <c r="MP10" s="75"/>
      <c r="MQ10" s="75">
        <v>4</v>
      </c>
      <c r="MR10" s="75">
        <v>4</v>
      </c>
      <c r="MS10" s="75">
        <v>4</v>
      </c>
      <c r="MT10" s="75">
        <v>4</v>
      </c>
      <c r="MU10" s="75">
        <v>4</v>
      </c>
      <c r="MV10" s="75">
        <v>4</v>
      </c>
      <c r="MW10" s="75"/>
      <c r="MX10" s="75">
        <v>4</v>
      </c>
      <c r="MY10" s="75">
        <v>4</v>
      </c>
      <c r="MZ10" s="75"/>
      <c r="NA10" s="75"/>
      <c r="NB10" s="75">
        <v>8</v>
      </c>
      <c r="NC10" s="75">
        <v>20</v>
      </c>
      <c r="ND10" s="75"/>
      <c r="NE10" s="75">
        <v>20</v>
      </c>
      <c r="NF10" s="75">
        <v>20</v>
      </c>
      <c r="NG10" s="75">
        <v>20</v>
      </c>
      <c r="NH10" s="75">
        <v>20</v>
      </c>
      <c r="NI10" s="75">
        <v>20</v>
      </c>
      <c r="NJ10" s="75">
        <v>20</v>
      </c>
      <c r="NK10" s="75"/>
      <c r="NL10" s="75">
        <v>20</v>
      </c>
      <c r="NM10" s="75">
        <v>20</v>
      </c>
      <c r="NN10" s="75">
        <v>20</v>
      </c>
      <c r="NO10" s="75">
        <v>20</v>
      </c>
      <c r="NP10" s="75">
        <v>20</v>
      </c>
      <c r="NQ10" s="75">
        <v>20</v>
      </c>
      <c r="NR10" s="75"/>
      <c r="NS10" s="75">
        <v>20</v>
      </c>
      <c r="NT10" s="75">
        <v>18</v>
      </c>
      <c r="NU10" s="75">
        <v>15</v>
      </c>
      <c r="NV10" s="75">
        <v>15</v>
      </c>
      <c r="NW10" s="75">
        <v>15</v>
      </c>
      <c r="NX10" s="75">
        <v>15</v>
      </c>
      <c r="NY10" s="75"/>
      <c r="NZ10" s="75">
        <v>15</v>
      </c>
      <c r="OA10" s="75">
        <v>15</v>
      </c>
      <c r="OB10" s="75">
        <v>15</v>
      </c>
      <c r="OC10" s="75">
        <v>15</v>
      </c>
      <c r="OD10" s="75">
        <v>15</v>
      </c>
      <c r="OE10" s="75">
        <v>15</v>
      </c>
      <c r="OF10" s="75"/>
      <c r="OG10" s="75">
        <v>25</v>
      </c>
      <c r="OH10" s="75">
        <v>35</v>
      </c>
      <c r="OI10" s="75">
        <v>35</v>
      </c>
      <c r="OJ10" s="75">
        <v>35</v>
      </c>
      <c r="OK10" s="75">
        <v>31</v>
      </c>
      <c r="OL10" s="75">
        <v>24</v>
      </c>
      <c r="OM10" s="75"/>
      <c r="ON10" s="75">
        <v>24</v>
      </c>
      <c r="OO10" s="75">
        <v>24</v>
      </c>
      <c r="OP10" s="75">
        <v>44</v>
      </c>
      <c r="OQ10" s="75">
        <v>44</v>
      </c>
      <c r="OR10" s="75">
        <v>42</v>
      </c>
      <c r="OS10" s="75">
        <v>40</v>
      </c>
      <c r="OT10" s="75"/>
      <c r="OU10" s="75">
        <v>40</v>
      </c>
      <c r="OV10" s="75">
        <v>40</v>
      </c>
      <c r="OW10" s="75">
        <v>40</v>
      </c>
      <c r="OX10" s="75">
        <v>38</v>
      </c>
      <c r="OY10" s="75">
        <v>35</v>
      </c>
      <c r="OZ10" s="75">
        <v>35</v>
      </c>
      <c r="PA10" s="75"/>
      <c r="PB10" s="75">
        <v>35</v>
      </c>
      <c r="PC10" s="75">
        <v>35</v>
      </c>
      <c r="PD10" s="75">
        <v>35</v>
      </c>
      <c r="PE10" s="75">
        <v>35</v>
      </c>
      <c r="PF10" s="75">
        <v>35</v>
      </c>
      <c r="PG10" s="75">
        <v>30</v>
      </c>
      <c r="PH10" s="75"/>
      <c r="PI10" s="75">
        <v>30</v>
      </c>
      <c r="PJ10" s="75">
        <v>30</v>
      </c>
      <c r="PK10" s="75">
        <v>30</v>
      </c>
      <c r="PL10" s="75">
        <v>30</v>
      </c>
      <c r="PM10" s="75">
        <v>34</v>
      </c>
      <c r="PN10" s="75">
        <v>50</v>
      </c>
      <c r="PO10" s="75"/>
      <c r="PP10" s="75">
        <v>43</v>
      </c>
      <c r="PQ10" s="75">
        <v>35</v>
      </c>
      <c r="PR10" s="75">
        <v>35</v>
      </c>
      <c r="PS10" s="75">
        <v>35</v>
      </c>
      <c r="PT10" s="75">
        <v>35</v>
      </c>
      <c r="PU10" s="75">
        <v>38</v>
      </c>
      <c r="PV10" s="75"/>
      <c r="PW10" s="75">
        <v>39</v>
      </c>
      <c r="PX10" s="75">
        <v>39</v>
      </c>
      <c r="PY10" s="75">
        <v>24</v>
      </c>
      <c r="PZ10" s="75">
        <v>24</v>
      </c>
      <c r="QA10" s="75">
        <v>24</v>
      </c>
      <c r="QB10" s="75">
        <v>21</v>
      </c>
      <c r="QC10" s="75"/>
      <c r="QD10" s="75">
        <v>21</v>
      </c>
      <c r="QE10" s="75">
        <v>20</v>
      </c>
      <c r="QF10" s="75">
        <v>19</v>
      </c>
      <c r="QG10" s="75">
        <v>19</v>
      </c>
      <c r="QH10" s="75">
        <v>19</v>
      </c>
      <c r="QI10" s="75">
        <v>23</v>
      </c>
      <c r="QJ10" s="75"/>
      <c r="QK10" s="75">
        <v>38</v>
      </c>
      <c r="QL10" s="75">
        <v>35</v>
      </c>
      <c r="QM10" s="75">
        <v>35</v>
      </c>
      <c r="QN10" s="75">
        <v>39</v>
      </c>
      <c r="QO10" s="75">
        <v>55</v>
      </c>
      <c r="QP10" s="75">
        <v>55</v>
      </c>
      <c r="QQ10" s="75"/>
      <c r="QR10" s="75">
        <v>55</v>
      </c>
      <c r="QS10" s="75">
        <v>55</v>
      </c>
      <c r="QT10" s="75">
        <v>55</v>
      </c>
      <c r="QU10" s="75">
        <v>55</v>
      </c>
      <c r="QV10" s="75">
        <v>55</v>
      </c>
      <c r="QW10" s="75">
        <v>40</v>
      </c>
      <c r="QX10" s="75"/>
      <c r="QY10" s="75">
        <v>40</v>
      </c>
      <c r="QZ10" s="75">
        <v>44</v>
      </c>
      <c r="RA10" s="75">
        <v>59</v>
      </c>
      <c r="RB10" s="75">
        <v>55</v>
      </c>
      <c r="RC10" s="75">
        <v>55</v>
      </c>
      <c r="RD10" s="75">
        <v>61</v>
      </c>
      <c r="RE10" s="75"/>
      <c r="RF10" s="75">
        <v>83</v>
      </c>
      <c r="RG10" s="75">
        <v>123</v>
      </c>
      <c r="RH10" s="75">
        <v>131</v>
      </c>
      <c r="RI10" s="75">
        <v>131</v>
      </c>
      <c r="RJ10" s="75">
        <v>133</v>
      </c>
      <c r="RK10" s="75">
        <v>139</v>
      </c>
      <c r="RL10" s="75"/>
      <c r="RM10" s="75">
        <v>139</v>
      </c>
      <c r="RN10" s="75">
        <v>145</v>
      </c>
      <c r="RO10" s="75">
        <v>145</v>
      </c>
      <c r="RP10" s="75">
        <v>148</v>
      </c>
      <c r="RQ10" s="75">
        <v>159</v>
      </c>
      <c r="RR10" s="75">
        <v>162</v>
      </c>
      <c r="RS10" s="75"/>
      <c r="RT10" s="75">
        <v>150</v>
      </c>
      <c r="RU10" s="75">
        <v>152</v>
      </c>
      <c r="RV10" s="75">
        <v>158</v>
      </c>
      <c r="RW10" s="75">
        <v>144</v>
      </c>
      <c r="RX10" s="75">
        <v>121</v>
      </c>
      <c r="RY10" s="75">
        <v>123</v>
      </c>
      <c r="RZ10" s="75"/>
      <c r="SA10" s="75">
        <v>125</v>
      </c>
      <c r="SB10" s="75">
        <v>126</v>
      </c>
      <c r="SC10" s="75">
        <v>130</v>
      </c>
      <c r="SD10" s="75">
        <v>142</v>
      </c>
      <c r="SE10" s="75">
        <v>143</v>
      </c>
      <c r="SF10" s="75">
        <v>143</v>
      </c>
      <c r="SG10" s="75"/>
      <c r="SH10" s="75">
        <v>141</v>
      </c>
      <c r="SI10" s="75">
        <v>138</v>
      </c>
      <c r="SJ10" s="75">
        <v>126</v>
      </c>
      <c r="SK10" s="75">
        <v>125</v>
      </c>
      <c r="SL10" s="75">
        <v>120</v>
      </c>
      <c r="SM10" s="75">
        <v>110</v>
      </c>
      <c r="SN10" s="75"/>
      <c r="SO10" s="75">
        <v>100</v>
      </c>
      <c r="SP10" s="75">
        <v>91</v>
      </c>
      <c r="SQ10" s="75">
        <v>84</v>
      </c>
      <c r="SR10" s="75">
        <v>84</v>
      </c>
      <c r="SS10" s="75">
        <v>82</v>
      </c>
      <c r="ST10" s="75">
        <v>76</v>
      </c>
      <c r="SU10" s="75"/>
      <c r="SV10" s="75">
        <v>82</v>
      </c>
      <c r="SW10" s="75">
        <v>78</v>
      </c>
      <c r="SX10" s="75">
        <v>82</v>
      </c>
      <c r="SY10" s="75">
        <v>81</v>
      </c>
      <c r="SZ10" s="75">
        <v>82</v>
      </c>
      <c r="TA10" s="75">
        <v>71</v>
      </c>
      <c r="TB10" s="75"/>
      <c r="TC10" s="75">
        <v>66</v>
      </c>
      <c r="TD10" s="75">
        <v>66</v>
      </c>
      <c r="TE10" s="75">
        <v>66</v>
      </c>
      <c r="TF10" s="75">
        <v>109</v>
      </c>
      <c r="TG10" s="75">
        <v>99</v>
      </c>
      <c r="TH10" s="75">
        <v>99</v>
      </c>
      <c r="TI10" s="75"/>
      <c r="TJ10" s="75">
        <v>99</v>
      </c>
      <c r="TK10" s="75">
        <v>99</v>
      </c>
      <c r="TL10" s="75">
        <v>99</v>
      </c>
      <c r="TM10" s="75">
        <v>103</v>
      </c>
      <c r="TN10" s="75">
        <v>103</v>
      </c>
      <c r="TO10" s="75">
        <v>104</v>
      </c>
      <c r="TP10" s="75"/>
      <c r="TQ10" s="75">
        <v>104</v>
      </c>
      <c r="TR10" s="75">
        <v>104</v>
      </c>
      <c r="TS10" s="75">
        <v>102</v>
      </c>
      <c r="TT10" s="75">
        <v>98</v>
      </c>
      <c r="TU10" s="75">
        <v>97</v>
      </c>
      <c r="TV10" s="75">
        <v>94</v>
      </c>
      <c r="TW10" s="75"/>
      <c r="TX10" s="75">
        <v>64</v>
      </c>
      <c r="TY10" s="75">
        <v>64</v>
      </c>
      <c r="TZ10" s="75">
        <v>64</v>
      </c>
      <c r="UA10" s="75">
        <v>64</v>
      </c>
      <c r="UB10" s="75">
        <v>64</v>
      </c>
      <c r="UC10" s="75">
        <v>64</v>
      </c>
      <c r="UD10" s="75"/>
      <c r="UE10" s="75">
        <v>65</v>
      </c>
      <c r="UF10" s="75">
        <v>66</v>
      </c>
      <c r="UG10" s="75">
        <v>62</v>
      </c>
      <c r="UH10" s="75">
        <v>62</v>
      </c>
      <c r="UI10" s="75">
        <v>62</v>
      </c>
      <c r="UJ10" s="75">
        <v>62</v>
      </c>
      <c r="UK10" s="75"/>
      <c r="UL10" s="75">
        <v>62</v>
      </c>
      <c r="UM10" s="75">
        <v>62</v>
      </c>
      <c r="UN10" s="75">
        <v>62</v>
      </c>
      <c r="UO10" s="75">
        <v>61</v>
      </c>
      <c r="UP10" s="75">
        <v>45</v>
      </c>
      <c r="UQ10" s="75">
        <v>45</v>
      </c>
      <c r="UR10" s="75"/>
      <c r="US10" s="75">
        <v>62</v>
      </c>
      <c r="UT10" s="75">
        <v>62</v>
      </c>
      <c r="UU10" s="75">
        <v>78</v>
      </c>
      <c r="UV10" s="75">
        <v>78</v>
      </c>
      <c r="UW10" s="75">
        <v>78</v>
      </c>
      <c r="UX10" s="75">
        <v>78</v>
      </c>
      <c r="UY10" s="75"/>
      <c r="UZ10" s="75">
        <v>78</v>
      </c>
      <c r="VA10" s="75">
        <v>78</v>
      </c>
      <c r="VB10" s="75">
        <v>82</v>
      </c>
      <c r="VC10" s="75">
        <v>90</v>
      </c>
      <c r="VD10" s="75">
        <v>88</v>
      </c>
      <c r="VE10" s="75">
        <v>88</v>
      </c>
      <c r="VF10" s="75"/>
      <c r="VG10" s="75">
        <v>72</v>
      </c>
      <c r="VH10" s="75">
        <v>72</v>
      </c>
      <c r="VI10" s="75">
        <v>74</v>
      </c>
      <c r="VJ10" s="75">
        <v>67</v>
      </c>
      <c r="VK10" s="75">
        <v>67</v>
      </c>
      <c r="VL10" s="75">
        <v>52</v>
      </c>
      <c r="VM10" s="75"/>
      <c r="VN10" s="75">
        <v>52</v>
      </c>
      <c r="VO10" s="75">
        <v>52</v>
      </c>
      <c r="VP10" s="75">
        <v>52</v>
      </c>
      <c r="VQ10" s="75">
        <v>52</v>
      </c>
      <c r="VR10" s="75">
        <v>52</v>
      </c>
      <c r="VS10" s="75">
        <v>52</v>
      </c>
      <c r="VT10" s="75"/>
      <c r="VU10" s="75">
        <v>52</v>
      </c>
      <c r="VV10" s="75">
        <v>52</v>
      </c>
      <c r="VW10" s="75">
        <v>52</v>
      </c>
      <c r="VX10" s="75">
        <v>52</v>
      </c>
      <c r="VY10" s="75">
        <v>50</v>
      </c>
      <c r="VZ10" s="75">
        <v>49</v>
      </c>
      <c r="WA10" s="75"/>
      <c r="WB10" s="75">
        <v>41</v>
      </c>
      <c r="WC10" s="75">
        <v>41</v>
      </c>
      <c r="WD10" s="75">
        <v>38</v>
      </c>
      <c r="WE10" s="75">
        <v>31</v>
      </c>
      <c r="WF10" s="75">
        <v>37</v>
      </c>
      <c r="WG10" s="75">
        <v>37</v>
      </c>
      <c r="WH10" s="75"/>
      <c r="WI10" s="75">
        <v>41</v>
      </c>
      <c r="WJ10" s="75">
        <v>48</v>
      </c>
      <c r="WK10" s="75">
        <v>46</v>
      </c>
      <c r="WL10" s="75">
        <v>37</v>
      </c>
      <c r="WM10" s="75">
        <v>37</v>
      </c>
      <c r="WN10" s="75">
        <v>37</v>
      </c>
      <c r="WO10" s="75"/>
      <c r="WP10" s="75">
        <v>37</v>
      </c>
      <c r="WQ10" s="75">
        <v>38</v>
      </c>
      <c r="WR10" s="75">
        <v>46</v>
      </c>
      <c r="WS10" s="75">
        <v>46</v>
      </c>
      <c r="WT10" s="75">
        <v>46</v>
      </c>
      <c r="WU10" s="75">
        <v>45</v>
      </c>
      <c r="WV10" s="75"/>
      <c r="WW10" s="75">
        <v>41</v>
      </c>
      <c r="WX10" s="75">
        <v>35</v>
      </c>
      <c r="WY10" s="75">
        <v>49</v>
      </c>
      <c r="WZ10" s="75">
        <v>45</v>
      </c>
      <c r="XA10" s="75">
        <v>41</v>
      </c>
      <c r="XB10" s="75">
        <v>43</v>
      </c>
      <c r="XC10" s="75"/>
      <c r="XD10" s="75">
        <v>48</v>
      </c>
      <c r="XE10" s="75">
        <v>53</v>
      </c>
      <c r="XF10" s="75">
        <v>53</v>
      </c>
      <c r="XG10" s="75">
        <v>53</v>
      </c>
      <c r="XH10" s="75">
        <v>51</v>
      </c>
      <c r="XI10" s="75"/>
      <c r="XJ10" s="75"/>
      <c r="XK10" s="75"/>
      <c r="XL10" s="75"/>
      <c r="XM10" s="75"/>
      <c r="XN10" s="75">
        <v>43</v>
      </c>
      <c r="XO10" s="75">
        <v>43</v>
      </c>
      <c r="XP10" s="75">
        <v>43</v>
      </c>
      <c r="XQ10" s="75"/>
      <c r="XR10" s="75">
        <v>43</v>
      </c>
      <c r="XS10" s="75">
        <v>43</v>
      </c>
      <c r="XT10" s="75">
        <v>43</v>
      </c>
      <c r="XU10" s="75">
        <v>29</v>
      </c>
      <c r="XV10" s="75">
        <v>29</v>
      </c>
      <c r="XW10" s="75">
        <v>27</v>
      </c>
      <c r="XX10" s="75"/>
      <c r="XY10" s="75">
        <v>25</v>
      </c>
      <c r="XZ10" s="75">
        <v>20</v>
      </c>
      <c r="YA10" s="75">
        <v>15</v>
      </c>
      <c r="YB10" s="75">
        <v>15</v>
      </c>
      <c r="YC10" s="75">
        <v>15</v>
      </c>
      <c r="YD10" s="75">
        <v>15</v>
      </c>
      <c r="YE10" s="75"/>
      <c r="YF10" s="75">
        <v>15</v>
      </c>
      <c r="YG10" s="75">
        <v>15</v>
      </c>
      <c r="YH10" s="75">
        <v>15</v>
      </c>
      <c r="YI10" s="75">
        <v>15</v>
      </c>
      <c r="YJ10" s="75">
        <v>15</v>
      </c>
      <c r="YK10" s="75">
        <v>15</v>
      </c>
      <c r="YL10" s="75"/>
      <c r="YM10" s="75">
        <v>15</v>
      </c>
      <c r="YN10" s="75">
        <v>15</v>
      </c>
      <c r="YO10" s="75">
        <v>15</v>
      </c>
      <c r="YP10" s="75">
        <v>15</v>
      </c>
      <c r="YQ10" s="75">
        <v>15</v>
      </c>
      <c r="YR10" s="75">
        <v>15</v>
      </c>
      <c r="YS10" s="75"/>
      <c r="YT10" s="75">
        <v>15</v>
      </c>
      <c r="YU10" s="75">
        <v>15</v>
      </c>
      <c r="YV10" s="75">
        <v>15</v>
      </c>
      <c r="YW10" s="75">
        <v>15</v>
      </c>
      <c r="YX10" s="75">
        <v>15</v>
      </c>
      <c r="YY10" s="75">
        <v>15</v>
      </c>
      <c r="YZ10" s="75"/>
      <c r="ZA10" s="75">
        <v>15</v>
      </c>
      <c r="ZB10" s="75">
        <v>15</v>
      </c>
      <c r="ZC10" s="75">
        <v>15</v>
      </c>
      <c r="ZD10" s="75">
        <v>15</v>
      </c>
      <c r="ZE10" s="75">
        <v>15</v>
      </c>
      <c r="ZF10" s="75">
        <v>15</v>
      </c>
      <c r="ZG10" s="75"/>
      <c r="ZH10" s="75">
        <v>15</v>
      </c>
      <c r="ZI10" s="75">
        <v>15</v>
      </c>
      <c r="ZJ10" s="75">
        <v>15</v>
      </c>
      <c r="ZK10" s="75">
        <v>15</v>
      </c>
      <c r="ZL10" s="75">
        <v>15</v>
      </c>
      <c r="ZM10" s="75">
        <v>15</v>
      </c>
      <c r="ZN10" s="75"/>
      <c r="ZO10" s="75">
        <v>15</v>
      </c>
      <c r="ZP10" s="75">
        <v>15</v>
      </c>
      <c r="ZQ10" s="75">
        <v>15</v>
      </c>
      <c r="ZR10" s="75">
        <v>15</v>
      </c>
      <c r="ZS10" s="75">
        <v>15</v>
      </c>
      <c r="ZT10" s="75"/>
      <c r="ZU10" s="75"/>
      <c r="ZV10" s="75"/>
      <c r="ZW10" s="75"/>
      <c r="ZX10" s="75"/>
      <c r="ZY10" s="75">
        <v>15</v>
      </c>
      <c r="ZZ10" s="75">
        <v>15</v>
      </c>
      <c r="AAA10" s="75">
        <v>12</v>
      </c>
      <c r="AAB10" s="75"/>
      <c r="AAC10" s="75"/>
      <c r="AAD10" s="75"/>
      <c r="AAE10" s="75"/>
      <c r="AAF10" s="75"/>
      <c r="AAG10" s="75"/>
      <c r="AAH10" s="75"/>
      <c r="AAI10" s="75"/>
      <c r="AAJ10" s="75"/>
      <c r="AAK10" s="75"/>
      <c r="AAL10" s="75"/>
      <c r="AAM10" s="75"/>
      <c r="AAN10" s="75"/>
      <c r="AAO10" s="75"/>
      <c r="AAP10" s="75"/>
      <c r="AAQ10" s="75"/>
      <c r="AAR10" s="75"/>
      <c r="AAS10" s="75"/>
      <c r="AAT10" s="75"/>
      <c r="AAU10" s="75"/>
      <c r="AAV10" s="75"/>
      <c r="AAW10" s="75"/>
      <c r="AAX10" s="75"/>
      <c r="AAY10" s="75"/>
      <c r="AAZ10" s="75"/>
      <c r="ABA10" s="75"/>
      <c r="ABB10" s="75"/>
      <c r="ABC10" s="75"/>
    </row>
    <row r="11" spans="1:731">
      <c r="A11" s="75" t="s">
        <v>48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5"/>
      <c r="BF11" s="75"/>
      <c r="BG11" s="75"/>
      <c r="BH11" s="75"/>
      <c r="BI11" s="75"/>
      <c r="BJ11" s="75"/>
      <c r="BK11" s="75"/>
      <c r="BL11" s="75"/>
      <c r="BM11" s="75"/>
      <c r="BN11" s="75"/>
      <c r="BO11" s="75"/>
      <c r="BP11" s="75"/>
      <c r="BQ11" s="75"/>
      <c r="BR11" s="75"/>
      <c r="BS11" s="75"/>
      <c r="BT11" s="75"/>
      <c r="BU11" s="75"/>
      <c r="BV11" s="75"/>
      <c r="BW11" s="75"/>
      <c r="BX11" s="75"/>
      <c r="BY11" s="75"/>
      <c r="BZ11" s="75"/>
      <c r="CA11" s="75"/>
      <c r="CB11" s="75"/>
      <c r="CC11" s="75"/>
      <c r="CD11" s="75"/>
      <c r="CE11" s="75"/>
      <c r="CF11" s="75"/>
      <c r="CG11" s="75"/>
      <c r="CH11" s="75"/>
      <c r="CI11" s="75"/>
      <c r="CJ11" s="75"/>
      <c r="CK11" s="75"/>
      <c r="CL11" s="75"/>
      <c r="CM11" s="75"/>
      <c r="CN11" s="75"/>
      <c r="CO11" s="75"/>
      <c r="CP11" s="75"/>
      <c r="CQ11" s="75"/>
      <c r="CR11" s="75"/>
      <c r="CS11" s="75"/>
      <c r="CT11" s="75"/>
      <c r="CU11" s="75"/>
      <c r="CV11" s="75"/>
      <c r="CW11" s="75"/>
      <c r="CX11" s="75"/>
      <c r="CY11" s="75"/>
      <c r="CZ11" s="75"/>
      <c r="DA11" s="75"/>
      <c r="DB11" s="75"/>
      <c r="DC11" s="75"/>
      <c r="DD11" s="75"/>
      <c r="DE11" s="75"/>
      <c r="DF11" s="75"/>
      <c r="DG11" s="75"/>
      <c r="DH11" s="75"/>
      <c r="DI11" s="75"/>
      <c r="DJ11" s="75"/>
      <c r="DK11" s="75"/>
      <c r="DL11" s="75"/>
      <c r="DM11" s="75"/>
      <c r="DN11" s="75"/>
      <c r="DO11" s="75"/>
      <c r="DP11" s="75"/>
      <c r="DQ11" s="75"/>
      <c r="DR11" s="75"/>
      <c r="DS11" s="75"/>
      <c r="DT11" s="75"/>
      <c r="DU11" s="75"/>
      <c r="DV11" s="75"/>
      <c r="DW11" s="75"/>
      <c r="DX11" s="75"/>
      <c r="DY11" s="75"/>
      <c r="DZ11" s="75"/>
      <c r="EA11" s="75"/>
      <c r="EB11" s="75"/>
      <c r="EC11" s="75"/>
      <c r="ED11" s="75"/>
      <c r="EE11" s="75"/>
      <c r="EF11" s="75"/>
      <c r="EG11" s="75"/>
      <c r="EH11" s="75"/>
      <c r="EI11" s="75"/>
      <c r="EJ11" s="75"/>
      <c r="EK11" s="75"/>
      <c r="EL11" s="75"/>
      <c r="EM11" s="75"/>
      <c r="EN11" s="75"/>
      <c r="EO11" s="75"/>
      <c r="EP11" s="75"/>
      <c r="EQ11" s="75"/>
      <c r="ER11" s="75"/>
      <c r="ES11" s="75"/>
      <c r="ET11" s="75"/>
      <c r="EU11" s="75"/>
      <c r="EV11" s="75"/>
      <c r="EW11" s="75"/>
      <c r="EX11" s="75"/>
      <c r="EY11" s="75"/>
      <c r="EZ11" s="75"/>
      <c r="FA11" s="75"/>
      <c r="FB11" s="75"/>
      <c r="FC11" s="75"/>
      <c r="FD11" s="75"/>
      <c r="FE11" s="75"/>
      <c r="FF11" s="75"/>
      <c r="FG11" s="75"/>
      <c r="FH11" s="75"/>
      <c r="FI11" s="75"/>
      <c r="FJ11" s="75"/>
      <c r="FK11" s="75"/>
      <c r="FL11" s="75"/>
      <c r="FM11" s="75"/>
      <c r="FN11" s="75"/>
      <c r="FO11" s="75"/>
      <c r="FP11" s="75"/>
      <c r="FQ11" s="75"/>
      <c r="FR11" s="75"/>
      <c r="FS11" s="75"/>
      <c r="FT11" s="75"/>
      <c r="FU11" s="75"/>
      <c r="FV11" s="75"/>
      <c r="FW11" s="75"/>
      <c r="FX11" s="75"/>
      <c r="FY11" s="75"/>
      <c r="FZ11" s="75"/>
      <c r="GA11" s="75"/>
      <c r="GB11" s="75"/>
      <c r="GC11" s="75"/>
      <c r="GD11" s="75"/>
      <c r="GE11" s="75"/>
      <c r="GF11" s="75"/>
      <c r="GG11" s="75"/>
      <c r="GH11" s="75"/>
      <c r="GI11" s="75"/>
      <c r="GJ11" s="75"/>
      <c r="GK11" s="75"/>
      <c r="GL11" s="75"/>
      <c r="GM11" s="75"/>
      <c r="GN11" s="75"/>
      <c r="GO11" s="75"/>
      <c r="GP11" s="75"/>
      <c r="GQ11" s="75"/>
      <c r="GR11" s="75"/>
      <c r="GS11" s="75"/>
      <c r="GT11" s="75"/>
      <c r="GU11" s="75"/>
      <c r="GV11" s="75"/>
      <c r="GW11" s="75"/>
      <c r="GX11" s="75"/>
      <c r="GY11" s="75"/>
      <c r="GZ11" s="75"/>
      <c r="HA11" s="75"/>
      <c r="HB11" s="75"/>
      <c r="HC11" s="75"/>
      <c r="HD11" s="75"/>
      <c r="HE11" s="75"/>
      <c r="HF11" s="75"/>
      <c r="HG11" s="75"/>
      <c r="HH11" s="75"/>
      <c r="HI11" s="75"/>
      <c r="HJ11" s="75"/>
      <c r="HK11" s="75"/>
      <c r="HL11" s="75"/>
      <c r="HM11" s="75"/>
      <c r="HN11" s="75"/>
      <c r="HO11" s="75"/>
      <c r="HP11" s="75"/>
      <c r="HQ11" s="75"/>
      <c r="HR11" s="75"/>
      <c r="HS11" s="75"/>
      <c r="HT11" s="75"/>
      <c r="HU11" s="75"/>
      <c r="HV11" s="75"/>
      <c r="HW11" s="75"/>
      <c r="HX11" s="75"/>
      <c r="HY11" s="75"/>
      <c r="HZ11" s="75"/>
      <c r="IA11" s="75"/>
      <c r="IB11" s="75"/>
      <c r="IC11" s="75"/>
      <c r="ID11" s="75"/>
      <c r="IE11" s="75"/>
      <c r="IF11" s="75"/>
      <c r="IG11" s="75"/>
      <c r="IH11" s="75"/>
      <c r="II11" s="75"/>
      <c r="IJ11" s="75"/>
      <c r="IK11" s="75"/>
      <c r="IL11" s="75"/>
      <c r="IM11" s="75"/>
      <c r="IN11" s="75"/>
      <c r="IO11" s="75"/>
      <c r="IP11" s="75"/>
      <c r="IQ11" s="75"/>
      <c r="IR11" s="75"/>
      <c r="IS11" s="75"/>
      <c r="IT11" s="75"/>
      <c r="IU11" s="75"/>
      <c r="IV11" s="75"/>
      <c r="IW11" s="75"/>
      <c r="IX11" s="75"/>
      <c r="IY11" s="75"/>
      <c r="IZ11" s="75"/>
      <c r="JA11" s="75"/>
      <c r="JB11" s="75"/>
      <c r="JC11" s="75"/>
      <c r="JD11" s="75"/>
      <c r="JE11" s="75"/>
      <c r="JF11" s="75"/>
      <c r="JG11" s="75"/>
      <c r="JH11" s="75"/>
      <c r="JI11" s="75"/>
      <c r="JJ11" s="75"/>
      <c r="JK11" s="75"/>
      <c r="JL11" s="75"/>
      <c r="JM11" s="75"/>
      <c r="JN11" s="75"/>
      <c r="JO11" s="75"/>
      <c r="JP11" s="75"/>
      <c r="JQ11" s="75"/>
      <c r="JR11" s="75"/>
      <c r="JS11" s="75"/>
      <c r="JT11" s="75"/>
      <c r="JU11" s="75"/>
      <c r="JV11" s="75"/>
      <c r="JW11" s="75"/>
      <c r="JX11" s="75"/>
      <c r="JY11" s="75"/>
      <c r="JZ11" s="75"/>
      <c r="KA11" s="75"/>
      <c r="KB11" s="75"/>
      <c r="KC11" s="75"/>
      <c r="KD11" s="75"/>
      <c r="KE11" s="75"/>
      <c r="KF11" s="75"/>
      <c r="KG11" s="75"/>
      <c r="KH11" s="75"/>
      <c r="KI11" s="75"/>
      <c r="KJ11" s="75"/>
      <c r="KK11" s="75"/>
      <c r="KL11" s="75"/>
      <c r="KM11" s="75"/>
      <c r="KN11" s="75"/>
      <c r="KO11" s="75"/>
      <c r="KP11" s="75"/>
      <c r="KQ11" s="75"/>
      <c r="KR11" s="75"/>
      <c r="KS11" s="75"/>
      <c r="KT11" s="75"/>
      <c r="KU11" s="75"/>
      <c r="KV11" s="75"/>
      <c r="KW11" s="75"/>
      <c r="KX11" s="75"/>
      <c r="KY11" s="75"/>
      <c r="KZ11" s="75"/>
      <c r="LA11" s="75"/>
      <c r="LB11" s="75"/>
      <c r="LC11" s="75"/>
      <c r="LD11" s="75"/>
      <c r="LE11" s="75"/>
      <c r="LF11" s="75"/>
      <c r="LG11" s="75"/>
      <c r="LH11" s="75"/>
      <c r="LI11" s="75"/>
      <c r="LJ11" s="75"/>
      <c r="LK11" s="75"/>
      <c r="LL11" s="75"/>
      <c r="LM11" s="75"/>
      <c r="LN11" s="75"/>
      <c r="LO11" s="75"/>
      <c r="LP11" s="75"/>
      <c r="LQ11" s="75"/>
      <c r="LR11" s="75"/>
      <c r="LS11" s="75"/>
      <c r="LT11" s="75"/>
      <c r="LU11" s="75"/>
      <c r="LV11" s="75"/>
      <c r="LW11" s="75"/>
      <c r="LX11" s="75"/>
      <c r="LY11" s="75"/>
      <c r="LZ11" s="75"/>
      <c r="MA11" s="75"/>
      <c r="MB11" s="75"/>
      <c r="MC11" s="75"/>
      <c r="MD11" s="75"/>
      <c r="ME11" s="75"/>
      <c r="MF11" s="75"/>
      <c r="MG11" s="75"/>
      <c r="MH11" s="75"/>
      <c r="MI11" s="75"/>
      <c r="MJ11" s="75"/>
      <c r="MK11" s="75"/>
      <c r="ML11" s="75"/>
      <c r="MM11" s="75"/>
      <c r="MN11" s="75"/>
      <c r="MO11" s="75"/>
      <c r="MP11" s="75"/>
      <c r="MQ11" s="75"/>
      <c r="MR11" s="75"/>
      <c r="MS11" s="75"/>
      <c r="MT11" s="75"/>
      <c r="MU11" s="75"/>
      <c r="MV11" s="75"/>
      <c r="MW11" s="75"/>
      <c r="MX11" s="75"/>
      <c r="MY11" s="75"/>
      <c r="MZ11" s="75"/>
      <c r="NA11" s="75"/>
      <c r="NB11" s="75"/>
      <c r="NC11" s="75"/>
      <c r="ND11" s="75"/>
      <c r="NE11" s="75"/>
      <c r="NF11" s="75"/>
      <c r="NG11" s="75"/>
      <c r="NH11" s="75"/>
      <c r="NI11" s="75"/>
      <c r="NJ11" s="75"/>
      <c r="NK11" s="75"/>
      <c r="NL11" s="75"/>
      <c r="NM11" s="75"/>
      <c r="NN11" s="75"/>
      <c r="NO11" s="75"/>
      <c r="NP11" s="75"/>
      <c r="NQ11" s="75"/>
      <c r="NR11" s="75"/>
      <c r="NS11" s="75"/>
      <c r="NT11" s="75"/>
      <c r="NU11" s="75"/>
      <c r="NV11" s="75"/>
      <c r="NW11" s="75"/>
      <c r="NX11" s="75"/>
      <c r="NY11" s="75"/>
      <c r="NZ11" s="75">
        <v>5</v>
      </c>
      <c r="OA11" s="75">
        <v>8</v>
      </c>
      <c r="OB11" s="75">
        <v>8</v>
      </c>
      <c r="OC11" s="75">
        <v>8</v>
      </c>
      <c r="OD11" s="75">
        <v>8</v>
      </c>
      <c r="OE11" s="75">
        <v>8</v>
      </c>
      <c r="OF11" s="75"/>
      <c r="OG11" s="75">
        <v>8</v>
      </c>
      <c r="OH11" s="75">
        <v>8</v>
      </c>
      <c r="OI11" s="75">
        <v>10</v>
      </c>
      <c r="OJ11" s="75">
        <v>10</v>
      </c>
      <c r="OK11" s="75">
        <v>5</v>
      </c>
      <c r="OL11" s="75">
        <v>2</v>
      </c>
      <c r="OM11" s="75"/>
      <c r="ON11" s="75">
        <v>2</v>
      </c>
      <c r="OO11" s="75">
        <v>2</v>
      </c>
      <c r="OP11" s="75">
        <v>2</v>
      </c>
      <c r="OQ11" s="75">
        <v>2</v>
      </c>
      <c r="OR11" s="75">
        <v>2</v>
      </c>
      <c r="OS11" s="75">
        <v>2</v>
      </c>
      <c r="OT11" s="75"/>
      <c r="OU11" s="75"/>
      <c r="OV11" s="75"/>
      <c r="OW11" s="75"/>
      <c r="OX11" s="75"/>
      <c r="OY11" s="75"/>
      <c r="OZ11" s="75"/>
      <c r="PA11" s="75"/>
      <c r="PB11" s="75"/>
      <c r="PC11" s="75"/>
      <c r="PD11" s="75">
        <v>14</v>
      </c>
      <c r="PE11" s="75">
        <v>16</v>
      </c>
      <c r="PF11" s="75">
        <v>16</v>
      </c>
      <c r="PG11" s="75">
        <v>16</v>
      </c>
      <c r="PH11" s="75"/>
      <c r="PI11" s="75">
        <v>16</v>
      </c>
      <c r="PJ11" s="75">
        <v>17</v>
      </c>
      <c r="PK11" s="75">
        <v>18</v>
      </c>
      <c r="PL11" s="75">
        <v>20</v>
      </c>
      <c r="PM11" s="75">
        <v>26</v>
      </c>
      <c r="PN11" s="75">
        <v>26</v>
      </c>
      <c r="PO11" s="75"/>
      <c r="PP11" s="75">
        <v>18</v>
      </c>
      <c r="PQ11" s="75">
        <v>20</v>
      </c>
      <c r="PR11" s="75">
        <v>20</v>
      </c>
      <c r="PS11" s="75">
        <v>22</v>
      </c>
      <c r="PT11" s="75">
        <v>22</v>
      </c>
      <c r="PU11" s="75">
        <v>21</v>
      </c>
      <c r="PV11" s="75"/>
      <c r="PW11" s="75">
        <v>20</v>
      </c>
      <c r="PX11" s="75">
        <v>18</v>
      </c>
      <c r="PY11" s="75">
        <v>20</v>
      </c>
      <c r="PZ11" s="75">
        <v>20</v>
      </c>
      <c r="QA11" s="75">
        <v>15</v>
      </c>
      <c r="QB11" s="75">
        <v>13</v>
      </c>
      <c r="QC11" s="75"/>
      <c r="QD11" s="75">
        <v>14</v>
      </c>
      <c r="QE11" s="75">
        <v>14</v>
      </c>
      <c r="QF11" s="75">
        <v>14</v>
      </c>
      <c r="QG11" s="75">
        <v>14</v>
      </c>
      <c r="QH11" s="75">
        <v>13</v>
      </c>
      <c r="QI11" s="75">
        <v>12</v>
      </c>
      <c r="QJ11" s="75"/>
      <c r="QK11" s="75">
        <v>8</v>
      </c>
      <c r="QL11" s="75">
        <v>16</v>
      </c>
      <c r="QM11" s="75">
        <v>15</v>
      </c>
      <c r="QN11" s="75">
        <v>14</v>
      </c>
      <c r="QO11" s="75">
        <v>14</v>
      </c>
      <c r="QP11" s="75">
        <v>14</v>
      </c>
      <c r="QQ11" s="75"/>
      <c r="QR11" s="75">
        <v>13</v>
      </c>
      <c r="QS11" s="75">
        <v>18</v>
      </c>
      <c r="QT11" s="75">
        <v>18</v>
      </c>
      <c r="QU11" s="75">
        <v>18</v>
      </c>
      <c r="QV11" s="75">
        <v>12</v>
      </c>
      <c r="QW11" s="75">
        <v>6</v>
      </c>
      <c r="QX11" s="75"/>
      <c r="QY11" s="75">
        <v>6</v>
      </c>
      <c r="QZ11" s="75">
        <v>6</v>
      </c>
      <c r="RA11" s="75">
        <v>6</v>
      </c>
      <c r="RB11" s="75">
        <v>6</v>
      </c>
      <c r="RC11" s="75">
        <v>7</v>
      </c>
      <c r="RD11" s="75">
        <v>10</v>
      </c>
      <c r="RE11" s="75"/>
      <c r="RF11" s="75">
        <v>14</v>
      </c>
      <c r="RG11" s="75">
        <v>24</v>
      </c>
      <c r="RH11" s="75">
        <v>30</v>
      </c>
      <c r="RI11" s="75">
        <v>30</v>
      </c>
      <c r="RJ11" s="75">
        <v>30</v>
      </c>
      <c r="RK11" s="75">
        <v>30</v>
      </c>
      <c r="RL11" s="75"/>
      <c r="RM11" s="75">
        <v>30</v>
      </c>
      <c r="RN11" s="75">
        <v>31</v>
      </c>
      <c r="RO11" s="75">
        <v>35</v>
      </c>
      <c r="RP11" s="75">
        <v>30</v>
      </c>
      <c r="RQ11" s="75">
        <v>32</v>
      </c>
      <c r="RR11" s="75">
        <v>37</v>
      </c>
      <c r="RS11" s="75"/>
      <c r="RT11" s="75">
        <v>34</v>
      </c>
      <c r="RU11" s="75">
        <v>34</v>
      </c>
      <c r="RV11" s="75">
        <v>38</v>
      </c>
      <c r="RW11" s="75">
        <v>49</v>
      </c>
      <c r="RX11" s="75">
        <v>59</v>
      </c>
      <c r="RY11" s="75">
        <v>60</v>
      </c>
      <c r="RZ11" s="75"/>
      <c r="SA11" s="75">
        <v>62</v>
      </c>
      <c r="SB11" s="75">
        <v>61</v>
      </c>
      <c r="SC11" s="75">
        <v>72</v>
      </c>
      <c r="SD11" s="75">
        <v>84</v>
      </c>
      <c r="SE11" s="75">
        <v>106</v>
      </c>
      <c r="SF11" s="75">
        <v>106</v>
      </c>
      <c r="SG11" s="75"/>
      <c r="SH11" s="75">
        <v>106</v>
      </c>
      <c r="SI11" s="75">
        <v>101</v>
      </c>
      <c r="SJ11" s="75">
        <v>89</v>
      </c>
      <c r="SK11" s="75">
        <v>87</v>
      </c>
      <c r="SL11" s="75">
        <v>84</v>
      </c>
      <c r="SM11" s="75">
        <v>83</v>
      </c>
      <c r="SN11" s="75"/>
      <c r="SO11" s="75">
        <v>77</v>
      </c>
      <c r="SP11" s="75">
        <v>86</v>
      </c>
      <c r="SQ11" s="75">
        <v>85</v>
      </c>
      <c r="SR11" s="75">
        <v>94</v>
      </c>
      <c r="SS11" s="75">
        <v>97</v>
      </c>
      <c r="ST11" s="75">
        <v>98</v>
      </c>
      <c r="SU11" s="75"/>
      <c r="SV11" s="75">
        <v>104</v>
      </c>
      <c r="SW11" s="75">
        <v>100</v>
      </c>
      <c r="SX11" s="75">
        <v>101</v>
      </c>
      <c r="SY11" s="75">
        <v>107</v>
      </c>
      <c r="SZ11" s="75">
        <v>99</v>
      </c>
      <c r="TA11" s="75">
        <v>107</v>
      </c>
      <c r="TB11" s="75"/>
      <c r="TC11" s="75">
        <v>99</v>
      </c>
      <c r="TD11" s="75">
        <v>104</v>
      </c>
      <c r="TE11" s="75">
        <v>100</v>
      </c>
      <c r="TF11" s="75">
        <v>92</v>
      </c>
      <c r="TG11" s="75">
        <v>72</v>
      </c>
      <c r="TH11" s="75">
        <v>66</v>
      </c>
      <c r="TI11" s="75"/>
      <c r="TJ11" s="75">
        <v>59</v>
      </c>
      <c r="TK11" s="75">
        <v>62</v>
      </c>
      <c r="TL11" s="75">
        <v>62</v>
      </c>
      <c r="TM11" s="75">
        <v>64</v>
      </c>
      <c r="TN11" s="75">
        <v>67</v>
      </c>
      <c r="TO11" s="75">
        <v>72</v>
      </c>
      <c r="TP11" s="75"/>
      <c r="TQ11" s="75">
        <v>60</v>
      </c>
      <c r="TR11" s="75">
        <v>53</v>
      </c>
      <c r="TS11" s="75">
        <v>50</v>
      </c>
      <c r="TT11" s="75">
        <v>51</v>
      </c>
      <c r="TU11" s="75">
        <v>52</v>
      </c>
      <c r="TV11" s="75">
        <v>53</v>
      </c>
      <c r="TW11" s="75"/>
      <c r="TX11" s="75">
        <v>53</v>
      </c>
      <c r="TY11" s="75">
        <v>53</v>
      </c>
      <c r="TZ11" s="75">
        <v>53</v>
      </c>
      <c r="UA11" s="75">
        <v>53</v>
      </c>
      <c r="UB11" s="75">
        <v>52</v>
      </c>
      <c r="UC11" s="75">
        <v>48</v>
      </c>
      <c r="UD11" s="75"/>
      <c r="UE11" s="75">
        <v>41</v>
      </c>
      <c r="UF11" s="75">
        <v>34</v>
      </c>
      <c r="UG11" s="75">
        <v>17</v>
      </c>
      <c r="UH11" s="75">
        <v>17</v>
      </c>
      <c r="UI11" s="75">
        <v>20</v>
      </c>
      <c r="UJ11" s="75">
        <v>33</v>
      </c>
      <c r="UK11" s="75"/>
      <c r="UL11" s="75">
        <v>35</v>
      </c>
      <c r="UM11" s="75">
        <v>43</v>
      </c>
      <c r="UN11" s="75">
        <v>43</v>
      </c>
      <c r="UO11" s="75">
        <v>44</v>
      </c>
      <c r="UP11" s="75">
        <v>47</v>
      </c>
      <c r="UQ11" s="75">
        <v>46</v>
      </c>
      <c r="UR11" s="75"/>
      <c r="US11" s="75">
        <v>44</v>
      </c>
      <c r="UT11" s="75">
        <v>46</v>
      </c>
      <c r="UU11" s="75">
        <v>44</v>
      </c>
      <c r="UV11" s="75">
        <v>44</v>
      </c>
      <c r="UW11" s="75">
        <v>44</v>
      </c>
      <c r="UX11" s="75">
        <v>46</v>
      </c>
      <c r="UY11" s="75"/>
      <c r="UZ11" s="75">
        <v>46</v>
      </c>
      <c r="VA11" s="75">
        <v>40</v>
      </c>
      <c r="VB11" s="75">
        <v>23</v>
      </c>
      <c r="VC11" s="75">
        <v>22</v>
      </c>
      <c r="VD11" s="75">
        <v>14</v>
      </c>
      <c r="VE11" s="75">
        <v>15</v>
      </c>
      <c r="VF11" s="75"/>
      <c r="VG11" s="75">
        <v>13</v>
      </c>
      <c r="VH11" s="75">
        <v>13</v>
      </c>
      <c r="VI11" s="75">
        <v>12</v>
      </c>
      <c r="VJ11" s="75">
        <v>9</v>
      </c>
      <c r="VK11" s="75">
        <v>7</v>
      </c>
      <c r="VL11" s="75">
        <v>10</v>
      </c>
      <c r="VM11" s="75"/>
      <c r="VN11" s="75">
        <v>10</v>
      </c>
      <c r="VO11" s="75">
        <v>17</v>
      </c>
      <c r="VP11" s="75">
        <v>26</v>
      </c>
      <c r="VQ11" s="75">
        <v>34</v>
      </c>
      <c r="VR11" s="75">
        <v>31</v>
      </c>
      <c r="VS11" s="75">
        <v>30</v>
      </c>
      <c r="VT11" s="75"/>
      <c r="VU11" s="75">
        <v>33</v>
      </c>
      <c r="VV11" s="75">
        <v>33</v>
      </c>
      <c r="VW11" s="75">
        <v>33</v>
      </c>
      <c r="VX11" s="75">
        <v>37</v>
      </c>
      <c r="VY11" s="75">
        <v>34</v>
      </c>
      <c r="VZ11" s="75">
        <v>29</v>
      </c>
      <c r="WA11" s="75"/>
      <c r="WB11" s="75">
        <v>28</v>
      </c>
      <c r="WC11" s="75">
        <v>28</v>
      </c>
      <c r="WD11" s="75">
        <v>28</v>
      </c>
      <c r="WE11" s="75">
        <v>28</v>
      </c>
      <c r="WF11" s="75">
        <v>23</v>
      </c>
      <c r="WG11" s="75">
        <v>14</v>
      </c>
      <c r="WH11" s="75"/>
      <c r="WI11" s="75">
        <v>4</v>
      </c>
      <c r="WJ11" s="75">
        <v>4</v>
      </c>
      <c r="WK11" s="75">
        <v>4</v>
      </c>
      <c r="WL11" s="75"/>
      <c r="WM11" s="75"/>
      <c r="WN11" s="75"/>
      <c r="WO11" s="75"/>
      <c r="WP11" s="75"/>
      <c r="WQ11" s="75"/>
      <c r="WR11" s="75"/>
      <c r="WS11" s="75"/>
      <c r="WT11" s="75"/>
      <c r="WU11" s="75"/>
      <c r="WV11" s="75"/>
      <c r="WW11" s="75"/>
      <c r="WX11" s="75"/>
      <c r="WY11" s="75"/>
      <c r="WZ11" s="75"/>
      <c r="XA11" s="75"/>
      <c r="XB11" s="75"/>
      <c r="XC11" s="75"/>
      <c r="XD11" s="75"/>
      <c r="XE11" s="75"/>
      <c r="XF11" s="75"/>
      <c r="XG11" s="75"/>
      <c r="XH11" s="75">
        <v>5</v>
      </c>
      <c r="XI11" s="75"/>
      <c r="XJ11" s="75"/>
      <c r="XK11" s="75"/>
      <c r="XL11" s="75"/>
      <c r="XM11" s="75"/>
      <c r="XN11" s="75">
        <v>5</v>
      </c>
      <c r="XO11" s="75">
        <v>5</v>
      </c>
      <c r="XP11" s="75">
        <v>5</v>
      </c>
      <c r="XQ11" s="75"/>
      <c r="XR11" s="75">
        <v>5</v>
      </c>
      <c r="XS11" s="75">
        <v>5</v>
      </c>
      <c r="XT11" s="75">
        <v>5</v>
      </c>
      <c r="XU11" s="75">
        <v>5</v>
      </c>
      <c r="XV11" s="75">
        <v>5</v>
      </c>
      <c r="XW11" s="75">
        <v>5</v>
      </c>
      <c r="XX11" s="75"/>
      <c r="XY11" s="75">
        <v>5</v>
      </c>
      <c r="XZ11" s="75">
        <v>5</v>
      </c>
      <c r="YA11" s="75"/>
      <c r="YB11" s="75"/>
      <c r="YC11" s="75"/>
      <c r="YD11" s="75"/>
      <c r="YE11" s="75"/>
      <c r="YF11" s="75"/>
      <c r="YG11" s="75"/>
      <c r="YH11" s="75"/>
      <c r="YI11" s="75"/>
      <c r="YJ11" s="75"/>
      <c r="YK11" s="75"/>
      <c r="YL11" s="75"/>
      <c r="YM11" s="75"/>
      <c r="YN11" s="75">
        <v>1</v>
      </c>
      <c r="YO11" s="75">
        <v>7</v>
      </c>
      <c r="YP11" s="75">
        <v>7</v>
      </c>
      <c r="YQ11" s="75">
        <v>7</v>
      </c>
      <c r="YR11" s="75">
        <v>7</v>
      </c>
      <c r="YS11" s="75"/>
      <c r="YT11" s="75">
        <v>7</v>
      </c>
      <c r="YU11" s="75">
        <v>7</v>
      </c>
      <c r="YV11" s="75">
        <v>7</v>
      </c>
      <c r="YW11" s="75">
        <v>7</v>
      </c>
      <c r="YX11" s="75">
        <v>7</v>
      </c>
      <c r="YY11" s="75">
        <v>7</v>
      </c>
      <c r="YZ11" s="75"/>
      <c r="ZA11" s="75">
        <v>7</v>
      </c>
      <c r="ZB11" s="75">
        <v>7</v>
      </c>
      <c r="ZC11" s="75">
        <v>7</v>
      </c>
      <c r="ZD11" s="75">
        <v>7</v>
      </c>
      <c r="ZE11" s="75">
        <v>5</v>
      </c>
      <c r="ZF11" s="75"/>
      <c r="ZG11" s="75"/>
      <c r="ZH11" s="75"/>
      <c r="ZI11" s="75"/>
      <c r="ZJ11" s="75"/>
      <c r="ZK11" s="75"/>
      <c r="ZL11" s="75"/>
      <c r="ZM11" s="75"/>
      <c r="ZN11" s="75"/>
      <c r="ZO11" s="75"/>
      <c r="ZP11" s="75"/>
      <c r="ZQ11" s="75"/>
      <c r="ZR11" s="75"/>
      <c r="ZS11" s="75"/>
      <c r="ZT11" s="75"/>
      <c r="ZU11" s="75"/>
      <c r="ZV11" s="75"/>
      <c r="ZW11" s="75"/>
      <c r="ZX11" s="75"/>
      <c r="ZY11" s="75"/>
      <c r="ZZ11" s="75"/>
      <c r="AAA11" s="75"/>
      <c r="AAB11" s="75"/>
      <c r="AAC11" s="75"/>
      <c r="AAD11" s="75"/>
      <c r="AAE11" s="75"/>
      <c r="AAF11" s="75"/>
      <c r="AAG11" s="75"/>
      <c r="AAH11" s="75"/>
      <c r="AAI11" s="75"/>
      <c r="AAJ11" s="75"/>
      <c r="AAK11" s="75"/>
      <c r="AAL11" s="75"/>
      <c r="AAM11" s="75"/>
      <c r="AAN11" s="75"/>
      <c r="AAO11" s="75"/>
      <c r="AAP11" s="75"/>
      <c r="AAQ11" s="75"/>
      <c r="AAR11" s="75"/>
      <c r="AAS11" s="75"/>
      <c r="AAT11" s="75"/>
      <c r="AAU11" s="75"/>
      <c r="AAV11" s="75"/>
      <c r="AAW11" s="75"/>
      <c r="AAX11" s="75"/>
      <c r="AAY11" s="75"/>
      <c r="AAZ11" s="75"/>
      <c r="ABA11" s="75"/>
      <c r="ABB11" s="75"/>
      <c r="ABC11" s="75"/>
    </row>
    <row r="12" spans="1:731">
      <c r="A12" s="75" t="s">
        <v>49</v>
      </c>
      <c r="B12" s="75">
        <v>0</v>
      </c>
      <c r="C12" s="75">
        <v>0</v>
      </c>
      <c r="D12" s="75">
        <v>0</v>
      </c>
      <c r="E12" s="75">
        <v>0</v>
      </c>
      <c r="F12" s="75">
        <v>0</v>
      </c>
      <c r="G12" s="75">
        <v>0</v>
      </c>
      <c r="H12" s="75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75">
        <v>0</v>
      </c>
      <c r="O12" s="75">
        <v>0</v>
      </c>
      <c r="P12" s="75">
        <v>0</v>
      </c>
      <c r="Q12" s="75">
        <v>0</v>
      </c>
      <c r="R12" s="75">
        <v>0</v>
      </c>
      <c r="S12" s="75">
        <v>0</v>
      </c>
      <c r="T12" s="75">
        <v>0</v>
      </c>
      <c r="U12" s="75">
        <v>0</v>
      </c>
      <c r="V12" s="75">
        <v>0</v>
      </c>
      <c r="W12" s="75">
        <v>0</v>
      </c>
      <c r="X12" s="75">
        <v>0</v>
      </c>
      <c r="Y12" s="75">
        <v>0</v>
      </c>
      <c r="Z12" s="75">
        <v>0</v>
      </c>
      <c r="AA12" s="75">
        <v>0</v>
      </c>
      <c r="AB12" s="75">
        <v>0</v>
      </c>
      <c r="AC12" s="75">
        <v>0</v>
      </c>
      <c r="AD12" s="75">
        <v>0</v>
      </c>
      <c r="AE12" s="75">
        <v>0</v>
      </c>
      <c r="AF12" s="75">
        <v>0</v>
      </c>
      <c r="AG12" s="75">
        <v>0</v>
      </c>
      <c r="AH12" s="75">
        <v>0</v>
      </c>
      <c r="AI12" s="75">
        <v>0</v>
      </c>
      <c r="AJ12" s="75">
        <v>0</v>
      </c>
      <c r="AK12" s="75">
        <v>0</v>
      </c>
      <c r="AL12" s="75">
        <v>0</v>
      </c>
      <c r="AM12" s="75">
        <v>0</v>
      </c>
      <c r="AN12" s="75">
        <v>0</v>
      </c>
      <c r="AO12" s="75">
        <v>0</v>
      </c>
      <c r="AP12" s="75">
        <v>7</v>
      </c>
      <c r="AQ12" s="75">
        <v>7</v>
      </c>
      <c r="AR12" s="75">
        <v>7</v>
      </c>
      <c r="AS12" s="75">
        <v>7</v>
      </c>
      <c r="AT12" s="75">
        <v>0</v>
      </c>
      <c r="AU12" s="75">
        <v>7</v>
      </c>
      <c r="AV12" s="75">
        <v>7</v>
      </c>
      <c r="AW12" s="75">
        <v>7</v>
      </c>
      <c r="AX12" s="75">
        <v>7</v>
      </c>
      <c r="AY12" s="75">
        <v>7</v>
      </c>
      <c r="AZ12" s="75">
        <v>7</v>
      </c>
      <c r="BA12" s="75">
        <v>0</v>
      </c>
      <c r="BB12" s="75">
        <v>7</v>
      </c>
      <c r="BC12" s="75">
        <v>7</v>
      </c>
      <c r="BD12" s="75">
        <v>7</v>
      </c>
      <c r="BE12" s="75">
        <v>7</v>
      </c>
      <c r="BF12" s="75">
        <v>7</v>
      </c>
      <c r="BG12" s="75">
        <v>12</v>
      </c>
      <c r="BH12" s="75">
        <v>0</v>
      </c>
      <c r="BI12" s="75">
        <v>12</v>
      </c>
      <c r="BJ12" s="75">
        <v>12</v>
      </c>
      <c r="BK12" s="75">
        <v>12</v>
      </c>
      <c r="BL12" s="75">
        <v>12</v>
      </c>
      <c r="BM12" s="75">
        <v>12</v>
      </c>
      <c r="BN12" s="75">
        <v>0</v>
      </c>
      <c r="BO12" s="75">
        <v>0</v>
      </c>
      <c r="BP12" s="75">
        <v>12</v>
      </c>
      <c r="BQ12" s="75">
        <v>12</v>
      </c>
      <c r="BR12" s="75">
        <v>12</v>
      </c>
      <c r="BS12" s="75">
        <v>12</v>
      </c>
      <c r="BT12" s="75">
        <v>12</v>
      </c>
      <c r="BU12" s="75">
        <v>12</v>
      </c>
      <c r="BV12" s="75">
        <v>0</v>
      </c>
      <c r="BW12" s="75">
        <v>20</v>
      </c>
      <c r="BX12" s="75">
        <v>20</v>
      </c>
      <c r="BY12" s="75">
        <v>20</v>
      </c>
      <c r="BZ12" s="75">
        <v>14</v>
      </c>
      <c r="CA12" s="75">
        <v>14</v>
      </c>
      <c r="CB12" s="75">
        <v>19</v>
      </c>
      <c r="CC12" s="75">
        <v>0</v>
      </c>
      <c r="CD12" s="75">
        <v>23</v>
      </c>
      <c r="CE12" s="75">
        <v>18</v>
      </c>
      <c r="CF12" s="75">
        <v>18</v>
      </c>
      <c r="CG12" s="75">
        <v>18</v>
      </c>
      <c r="CH12" s="75">
        <v>18</v>
      </c>
      <c r="CI12" s="75">
        <v>18</v>
      </c>
      <c r="CJ12" s="75">
        <v>0</v>
      </c>
      <c r="CK12" s="75">
        <v>15</v>
      </c>
      <c r="CL12" s="75">
        <v>15</v>
      </c>
      <c r="CM12" s="75">
        <v>20</v>
      </c>
      <c r="CN12" s="75">
        <v>19</v>
      </c>
      <c r="CO12" s="75">
        <v>14</v>
      </c>
      <c r="CP12" s="75">
        <v>14</v>
      </c>
      <c r="CQ12" s="75">
        <v>0</v>
      </c>
      <c r="CR12" s="75">
        <v>14</v>
      </c>
      <c r="CS12" s="75">
        <v>14</v>
      </c>
      <c r="CT12" s="75">
        <v>14</v>
      </c>
      <c r="CU12" s="75">
        <v>14</v>
      </c>
      <c r="CV12" s="75">
        <v>14</v>
      </c>
      <c r="CW12" s="75">
        <v>14</v>
      </c>
      <c r="CX12" s="75">
        <v>0</v>
      </c>
      <c r="CY12" s="75">
        <v>14</v>
      </c>
      <c r="CZ12" s="75">
        <v>14</v>
      </c>
      <c r="DA12" s="75">
        <v>14</v>
      </c>
      <c r="DB12" s="75">
        <v>14</v>
      </c>
      <c r="DC12" s="75">
        <v>14</v>
      </c>
      <c r="DD12" s="75">
        <v>14</v>
      </c>
      <c r="DE12" s="75">
        <v>0</v>
      </c>
      <c r="DF12" s="75">
        <v>6</v>
      </c>
      <c r="DG12" s="75">
        <v>6</v>
      </c>
      <c r="DH12" s="75">
        <v>11</v>
      </c>
      <c r="DI12" s="75">
        <v>11</v>
      </c>
      <c r="DJ12" s="75">
        <v>6</v>
      </c>
      <c r="DK12" s="75">
        <v>6</v>
      </c>
      <c r="DL12" s="75">
        <v>0</v>
      </c>
      <c r="DM12" s="75">
        <v>2</v>
      </c>
      <c r="DN12" s="75">
        <v>2</v>
      </c>
      <c r="DO12" s="75">
        <v>7</v>
      </c>
      <c r="DP12" s="75">
        <v>2</v>
      </c>
      <c r="DQ12" s="75">
        <v>2</v>
      </c>
      <c r="DR12" s="75">
        <v>2</v>
      </c>
      <c r="DS12" s="75">
        <v>0</v>
      </c>
      <c r="DT12" s="75">
        <v>0</v>
      </c>
      <c r="DU12" s="75">
        <v>0</v>
      </c>
      <c r="DV12" s="75">
        <v>11</v>
      </c>
      <c r="DW12" s="75">
        <v>12</v>
      </c>
      <c r="DX12" s="75">
        <v>12</v>
      </c>
      <c r="DY12" s="75">
        <v>17</v>
      </c>
      <c r="DZ12" s="75">
        <v>0</v>
      </c>
      <c r="EA12" s="75">
        <v>12</v>
      </c>
      <c r="EB12" s="75">
        <v>18</v>
      </c>
      <c r="EC12" s="75">
        <v>29</v>
      </c>
      <c r="ED12" s="75">
        <v>29</v>
      </c>
      <c r="EE12" s="75">
        <v>18</v>
      </c>
      <c r="EF12" s="75">
        <v>17</v>
      </c>
      <c r="EG12" s="75">
        <v>0</v>
      </c>
      <c r="EH12" s="75">
        <v>17</v>
      </c>
      <c r="EI12" s="75">
        <v>11</v>
      </c>
      <c r="EJ12" s="75">
        <v>11</v>
      </c>
      <c r="EK12" s="75">
        <v>17</v>
      </c>
      <c r="EL12" s="75">
        <v>6</v>
      </c>
      <c r="EM12" s="75">
        <v>6</v>
      </c>
      <c r="EN12" s="75">
        <v>0</v>
      </c>
      <c r="EO12" s="75">
        <v>6</v>
      </c>
      <c r="EP12" s="75">
        <v>6</v>
      </c>
      <c r="EQ12" s="75">
        <v>6</v>
      </c>
      <c r="ER12" s="75">
        <v>0</v>
      </c>
      <c r="ES12" s="75">
        <v>9</v>
      </c>
      <c r="ET12" s="75">
        <v>5</v>
      </c>
      <c r="EU12" s="75">
        <v>0</v>
      </c>
      <c r="EV12" s="75">
        <v>0</v>
      </c>
      <c r="EW12" s="75">
        <v>0</v>
      </c>
      <c r="EX12" s="75">
        <v>0</v>
      </c>
      <c r="EY12" s="75">
        <v>0</v>
      </c>
      <c r="EZ12" s="75">
        <v>0</v>
      </c>
      <c r="FA12" s="75">
        <v>0</v>
      </c>
      <c r="FB12" s="75">
        <v>0</v>
      </c>
      <c r="FC12" s="75">
        <v>0</v>
      </c>
      <c r="FD12" s="75">
        <v>4</v>
      </c>
      <c r="FE12" s="75">
        <v>6</v>
      </c>
      <c r="FF12" s="75">
        <v>6</v>
      </c>
      <c r="FG12" s="75">
        <v>6</v>
      </c>
      <c r="FH12" s="75">
        <v>12</v>
      </c>
      <c r="FI12" s="75">
        <v>0</v>
      </c>
      <c r="FJ12" s="75">
        <v>6</v>
      </c>
      <c r="FK12" s="75">
        <v>6</v>
      </c>
      <c r="FL12" s="75">
        <v>6</v>
      </c>
      <c r="FM12" s="75">
        <v>6</v>
      </c>
      <c r="FN12" s="75">
        <v>6</v>
      </c>
      <c r="FO12" s="75">
        <v>6</v>
      </c>
      <c r="FP12" s="75">
        <v>0</v>
      </c>
      <c r="FQ12" s="75">
        <v>6</v>
      </c>
      <c r="FR12" s="75">
        <v>6</v>
      </c>
      <c r="FS12" s="75">
        <v>14</v>
      </c>
      <c r="FT12" s="75">
        <v>7</v>
      </c>
      <c r="FU12" s="75">
        <v>6</v>
      </c>
      <c r="FV12" s="75">
        <v>6</v>
      </c>
      <c r="FW12" s="75">
        <v>0</v>
      </c>
      <c r="FX12" s="75">
        <v>11</v>
      </c>
      <c r="FY12" s="75">
        <v>13</v>
      </c>
      <c r="FZ12" s="75">
        <v>12</v>
      </c>
      <c r="GA12" s="75">
        <v>8</v>
      </c>
      <c r="GB12" s="75">
        <v>6</v>
      </c>
      <c r="GC12" s="75">
        <v>6</v>
      </c>
      <c r="GD12" s="75">
        <v>0</v>
      </c>
      <c r="GE12" s="75">
        <v>6</v>
      </c>
      <c r="GF12" s="75">
        <v>11</v>
      </c>
      <c r="GG12" s="75">
        <v>7</v>
      </c>
      <c r="GH12" s="75">
        <v>7</v>
      </c>
      <c r="GI12" s="75">
        <v>15</v>
      </c>
      <c r="GJ12" s="75">
        <v>6</v>
      </c>
      <c r="GK12" s="75">
        <v>0</v>
      </c>
      <c r="GL12" s="75">
        <v>6</v>
      </c>
      <c r="GM12" s="75">
        <v>4</v>
      </c>
      <c r="GN12" s="75">
        <v>8</v>
      </c>
      <c r="GO12" s="75">
        <v>2</v>
      </c>
      <c r="GP12" s="75">
        <v>9</v>
      </c>
      <c r="GQ12" s="75">
        <v>0</v>
      </c>
      <c r="GR12" s="75">
        <v>0</v>
      </c>
      <c r="GS12" s="75">
        <v>9</v>
      </c>
      <c r="GT12" s="75">
        <v>0</v>
      </c>
      <c r="GU12" s="75">
        <v>0</v>
      </c>
      <c r="GV12" s="75">
        <v>2</v>
      </c>
      <c r="GW12" s="75">
        <v>5</v>
      </c>
      <c r="GX12" s="75">
        <v>3</v>
      </c>
      <c r="GY12" s="75">
        <v>0</v>
      </c>
      <c r="GZ12" s="75">
        <v>2</v>
      </c>
      <c r="HA12" s="75">
        <v>3</v>
      </c>
      <c r="HB12" s="75">
        <v>3</v>
      </c>
      <c r="HC12" s="75">
        <v>2</v>
      </c>
      <c r="HD12" s="75">
        <v>0</v>
      </c>
      <c r="HE12" s="75">
        <v>5</v>
      </c>
      <c r="HF12" s="75">
        <v>0</v>
      </c>
      <c r="HG12" s="75">
        <v>0</v>
      </c>
      <c r="HH12" s="75">
        <v>5</v>
      </c>
      <c r="HI12" s="75">
        <v>43</v>
      </c>
      <c r="HJ12" s="75">
        <v>52</v>
      </c>
      <c r="HK12" s="75">
        <v>52</v>
      </c>
      <c r="HL12" s="75">
        <v>52</v>
      </c>
      <c r="HM12" s="75">
        <v>0</v>
      </c>
      <c r="HN12" s="75">
        <v>52</v>
      </c>
      <c r="HO12" s="75">
        <v>14</v>
      </c>
      <c r="HP12" s="75">
        <v>2</v>
      </c>
      <c r="HQ12" s="75">
        <v>10</v>
      </c>
      <c r="HR12" s="75">
        <v>20</v>
      </c>
      <c r="HS12" s="75">
        <v>5</v>
      </c>
      <c r="HT12" s="75">
        <v>0</v>
      </c>
      <c r="HU12" s="75">
        <v>5</v>
      </c>
      <c r="HV12" s="75">
        <v>2</v>
      </c>
      <c r="HW12" s="75">
        <v>2</v>
      </c>
      <c r="HX12" s="75">
        <v>0</v>
      </c>
      <c r="HY12" s="75">
        <v>0</v>
      </c>
      <c r="HZ12" s="75">
        <v>8</v>
      </c>
      <c r="IA12" s="75">
        <v>0</v>
      </c>
      <c r="IB12" s="75">
        <v>3</v>
      </c>
      <c r="IC12" s="75">
        <v>18</v>
      </c>
      <c r="ID12" s="75">
        <v>26</v>
      </c>
      <c r="IE12" s="75">
        <v>26</v>
      </c>
      <c r="IF12" s="75">
        <v>26</v>
      </c>
      <c r="IG12" s="75">
        <v>26</v>
      </c>
      <c r="IH12" s="75">
        <v>0</v>
      </c>
      <c r="II12" s="75">
        <v>34</v>
      </c>
      <c r="IJ12" s="75">
        <v>16</v>
      </c>
      <c r="IK12" s="75">
        <v>2</v>
      </c>
      <c r="IL12" s="75">
        <v>8</v>
      </c>
      <c r="IM12" s="75">
        <v>5</v>
      </c>
      <c r="IN12" s="75">
        <v>1</v>
      </c>
      <c r="IO12" s="75">
        <v>0</v>
      </c>
      <c r="IP12" s="75">
        <v>1</v>
      </c>
      <c r="IQ12" s="75">
        <v>1</v>
      </c>
      <c r="IR12" s="75">
        <v>11</v>
      </c>
      <c r="IS12" s="75">
        <v>14</v>
      </c>
      <c r="IT12" s="75">
        <v>1</v>
      </c>
      <c r="IU12" s="75">
        <v>3</v>
      </c>
      <c r="IV12" s="75">
        <v>0</v>
      </c>
      <c r="IW12" s="75">
        <v>4</v>
      </c>
      <c r="IX12" s="75">
        <v>6</v>
      </c>
      <c r="IY12" s="75">
        <v>4</v>
      </c>
      <c r="IZ12" s="75">
        <v>0</v>
      </c>
      <c r="JA12" s="75">
        <v>0</v>
      </c>
      <c r="JB12" s="75">
        <v>0</v>
      </c>
      <c r="JC12" s="75">
        <v>0</v>
      </c>
      <c r="JD12" s="75">
        <v>3</v>
      </c>
      <c r="JE12" s="75">
        <v>2</v>
      </c>
      <c r="JF12" s="75">
        <v>7</v>
      </c>
      <c r="JG12" s="75">
        <v>14</v>
      </c>
      <c r="JH12" s="75">
        <v>4</v>
      </c>
      <c r="JI12" s="75">
        <v>3</v>
      </c>
      <c r="JJ12" s="75">
        <v>0</v>
      </c>
      <c r="JK12" s="75">
        <v>2</v>
      </c>
      <c r="JL12" s="75">
        <v>2</v>
      </c>
      <c r="JM12" s="75">
        <v>5</v>
      </c>
      <c r="JN12" s="75">
        <v>2</v>
      </c>
      <c r="JO12" s="75">
        <v>5</v>
      </c>
      <c r="JP12" s="75">
        <v>5</v>
      </c>
      <c r="JQ12" s="75">
        <v>0</v>
      </c>
      <c r="JR12" s="75">
        <v>0</v>
      </c>
      <c r="JS12" s="75">
        <v>0</v>
      </c>
      <c r="JT12" s="75">
        <v>0</v>
      </c>
      <c r="JU12" s="75">
        <v>0</v>
      </c>
      <c r="JV12" s="75">
        <v>5</v>
      </c>
      <c r="JW12" s="75">
        <v>5</v>
      </c>
      <c r="JX12" s="75">
        <v>0</v>
      </c>
      <c r="JY12" s="75">
        <v>5</v>
      </c>
      <c r="JZ12" s="75">
        <v>11</v>
      </c>
      <c r="KA12" s="75">
        <v>11</v>
      </c>
      <c r="KB12" s="75">
        <v>5</v>
      </c>
      <c r="KC12" s="75">
        <v>3</v>
      </c>
      <c r="KD12" s="75">
        <v>3</v>
      </c>
      <c r="KE12" s="75">
        <v>0</v>
      </c>
      <c r="KF12" s="75">
        <v>8</v>
      </c>
      <c r="KG12" s="75">
        <v>13</v>
      </c>
      <c r="KH12" s="75">
        <v>14</v>
      </c>
      <c r="KI12" s="75">
        <v>3</v>
      </c>
      <c r="KJ12" s="75">
        <v>3</v>
      </c>
      <c r="KK12" s="75">
        <v>6</v>
      </c>
      <c r="KL12" s="75">
        <v>0</v>
      </c>
      <c r="KM12" s="75">
        <v>6</v>
      </c>
      <c r="KN12" s="75">
        <v>3</v>
      </c>
      <c r="KO12" s="75">
        <v>1</v>
      </c>
      <c r="KP12" s="75">
        <v>1</v>
      </c>
      <c r="KQ12" s="75">
        <v>10</v>
      </c>
      <c r="KR12" s="75">
        <v>15</v>
      </c>
      <c r="KS12" s="75">
        <v>0</v>
      </c>
      <c r="KT12" s="75">
        <v>1</v>
      </c>
      <c r="KU12" s="75">
        <v>1</v>
      </c>
      <c r="KV12" s="75">
        <v>1</v>
      </c>
      <c r="KW12" s="75">
        <v>7</v>
      </c>
      <c r="KX12" s="75">
        <v>6</v>
      </c>
      <c r="KY12" s="75">
        <v>0</v>
      </c>
      <c r="KZ12" s="75">
        <v>0</v>
      </c>
      <c r="LA12" s="75">
        <v>14</v>
      </c>
      <c r="LB12" s="75">
        <v>5</v>
      </c>
      <c r="LC12" s="75">
        <v>0</v>
      </c>
      <c r="LD12" s="75">
        <v>0</v>
      </c>
      <c r="LE12" s="75">
        <v>2</v>
      </c>
      <c r="LF12" s="75">
        <v>5</v>
      </c>
      <c r="LG12" s="75">
        <v>4</v>
      </c>
      <c r="LH12" s="75">
        <v>5</v>
      </c>
      <c r="LI12" s="75">
        <v>9</v>
      </c>
      <c r="LJ12" s="75">
        <v>35</v>
      </c>
      <c r="LK12" s="75">
        <v>8</v>
      </c>
      <c r="LL12" s="75">
        <v>0</v>
      </c>
      <c r="LM12" s="75">
        <v>0</v>
      </c>
      <c r="LN12" s="75">
        <v>0</v>
      </c>
      <c r="LO12" s="75">
        <v>0</v>
      </c>
      <c r="LP12" s="75">
        <v>5</v>
      </c>
      <c r="LQ12" s="75">
        <v>20</v>
      </c>
      <c r="LR12" s="75">
        <v>7</v>
      </c>
      <c r="LS12" s="75">
        <v>8</v>
      </c>
      <c r="LT12" s="75">
        <v>5</v>
      </c>
      <c r="LU12" s="75">
        <v>0</v>
      </c>
      <c r="LV12" s="75">
        <v>4</v>
      </c>
      <c r="LW12" s="75">
        <v>8</v>
      </c>
      <c r="LX12" s="75">
        <v>4</v>
      </c>
      <c r="LY12" s="75">
        <v>0</v>
      </c>
      <c r="LZ12" s="75">
        <v>0</v>
      </c>
      <c r="MA12" s="75">
        <v>0</v>
      </c>
      <c r="MB12" s="75">
        <v>0</v>
      </c>
      <c r="MC12" s="75">
        <v>0</v>
      </c>
      <c r="MD12" s="75">
        <v>4</v>
      </c>
      <c r="ME12" s="75">
        <v>17</v>
      </c>
      <c r="MF12" s="75">
        <v>18</v>
      </c>
      <c r="MG12" s="75">
        <v>0</v>
      </c>
      <c r="MH12" s="75">
        <v>0</v>
      </c>
      <c r="MI12" s="75">
        <v>0</v>
      </c>
      <c r="MJ12" s="75">
        <v>0</v>
      </c>
      <c r="MK12" s="75">
        <v>0</v>
      </c>
      <c r="ML12" s="75">
        <v>0</v>
      </c>
      <c r="MM12" s="75">
        <v>10</v>
      </c>
      <c r="MN12" s="75">
        <v>10</v>
      </c>
      <c r="MO12" s="75">
        <v>13</v>
      </c>
      <c r="MP12" s="75">
        <v>0</v>
      </c>
      <c r="MQ12" s="75">
        <v>9</v>
      </c>
      <c r="MR12" s="75">
        <v>12</v>
      </c>
      <c r="MS12" s="75">
        <v>18</v>
      </c>
      <c r="MT12" s="75">
        <v>14</v>
      </c>
      <c r="MU12" s="75">
        <v>0</v>
      </c>
      <c r="MV12" s="75">
        <v>2</v>
      </c>
      <c r="MW12" s="75">
        <v>4</v>
      </c>
      <c r="MX12" s="75">
        <v>9</v>
      </c>
      <c r="MY12" s="75">
        <v>6</v>
      </c>
      <c r="MZ12" s="75">
        <v>0</v>
      </c>
      <c r="NA12" s="75">
        <v>3</v>
      </c>
      <c r="NB12" s="75">
        <v>5</v>
      </c>
      <c r="NC12" s="75">
        <v>20</v>
      </c>
      <c r="ND12" s="75">
        <v>0</v>
      </c>
      <c r="NE12" s="75">
        <v>27</v>
      </c>
      <c r="NF12" s="75">
        <v>6</v>
      </c>
      <c r="NG12" s="75">
        <v>7</v>
      </c>
      <c r="NH12" s="75">
        <v>18</v>
      </c>
      <c r="NI12" s="75">
        <v>15</v>
      </c>
      <c r="NJ12" s="75">
        <v>7</v>
      </c>
      <c r="NK12" s="75">
        <v>0</v>
      </c>
      <c r="NL12" s="75">
        <v>19</v>
      </c>
      <c r="NM12" s="75">
        <v>25</v>
      </c>
      <c r="NN12" s="75">
        <v>6</v>
      </c>
      <c r="NO12" s="75">
        <v>19</v>
      </c>
      <c r="NP12" s="75">
        <v>12</v>
      </c>
      <c r="NQ12" s="75">
        <v>4</v>
      </c>
      <c r="NR12" s="75">
        <v>1</v>
      </c>
      <c r="NS12" s="75">
        <v>22</v>
      </c>
      <c r="NT12" s="75">
        <v>1</v>
      </c>
      <c r="NU12" s="75">
        <v>8</v>
      </c>
      <c r="NV12" s="75">
        <v>20</v>
      </c>
      <c r="NW12" s="75">
        <v>31</v>
      </c>
      <c r="NX12" s="75">
        <v>22</v>
      </c>
      <c r="NY12" s="75">
        <v>14</v>
      </c>
      <c r="NZ12" s="75">
        <v>16</v>
      </c>
      <c r="OA12" s="75">
        <v>20</v>
      </c>
      <c r="OB12" s="75">
        <v>2</v>
      </c>
      <c r="OC12" s="75">
        <v>12</v>
      </c>
      <c r="OD12" s="75">
        <v>18</v>
      </c>
      <c r="OE12" s="75">
        <v>1</v>
      </c>
      <c r="OF12" s="75">
        <v>7</v>
      </c>
      <c r="OG12" s="75">
        <v>21</v>
      </c>
      <c r="OH12" s="75">
        <v>19</v>
      </c>
      <c r="OI12" s="75">
        <v>9</v>
      </c>
      <c r="OJ12" s="75">
        <v>6</v>
      </c>
      <c r="OK12" s="75">
        <v>18</v>
      </c>
      <c r="OL12" s="75">
        <v>18</v>
      </c>
      <c r="OM12" s="75">
        <v>9</v>
      </c>
      <c r="ON12" s="75">
        <v>34</v>
      </c>
      <c r="OO12" s="75">
        <v>0</v>
      </c>
      <c r="OP12" s="75">
        <v>3</v>
      </c>
      <c r="OQ12" s="75">
        <v>5</v>
      </c>
      <c r="OR12" s="75">
        <v>8</v>
      </c>
      <c r="OS12" s="75">
        <v>18</v>
      </c>
      <c r="OT12" s="75">
        <v>4</v>
      </c>
      <c r="OU12" s="75">
        <v>14</v>
      </c>
      <c r="OV12" s="75">
        <v>2</v>
      </c>
      <c r="OW12" s="75">
        <v>7</v>
      </c>
      <c r="OX12" s="75">
        <v>6</v>
      </c>
      <c r="OY12" s="75">
        <v>25</v>
      </c>
      <c r="OZ12" s="75">
        <v>15</v>
      </c>
      <c r="PA12" s="75">
        <v>14</v>
      </c>
      <c r="PB12" s="75">
        <v>0</v>
      </c>
      <c r="PC12" s="75">
        <v>0</v>
      </c>
      <c r="PD12" s="75">
        <v>4</v>
      </c>
      <c r="PE12" s="75">
        <v>10</v>
      </c>
      <c r="PF12" s="75">
        <v>2</v>
      </c>
      <c r="PG12" s="75">
        <v>7</v>
      </c>
      <c r="PH12" s="75">
        <v>18</v>
      </c>
      <c r="PI12" s="75">
        <v>10</v>
      </c>
      <c r="PJ12" s="75">
        <v>0</v>
      </c>
      <c r="PK12" s="75">
        <v>0</v>
      </c>
      <c r="PL12" s="75">
        <v>1</v>
      </c>
      <c r="PM12" s="75">
        <v>3</v>
      </c>
      <c r="PN12" s="75">
        <v>4</v>
      </c>
      <c r="PO12" s="75">
        <v>14</v>
      </c>
      <c r="PP12" s="75">
        <v>0</v>
      </c>
      <c r="PQ12" s="75">
        <v>1</v>
      </c>
      <c r="PR12" s="75">
        <v>8</v>
      </c>
      <c r="PS12" s="75">
        <v>17</v>
      </c>
      <c r="PT12" s="75">
        <v>0</v>
      </c>
      <c r="PU12" s="75">
        <v>0</v>
      </c>
      <c r="PV12" s="75">
        <v>0</v>
      </c>
      <c r="PW12" s="75">
        <v>0</v>
      </c>
      <c r="PX12" s="75">
        <v>0</v>
      </c>
      <c r="PY12" s="75">
        <v>0</v>
      </c>
      <c r="PZ12" s="75">
        <v>0</v>
      </c>
      <c r="QA12" s="75">
        <v>2</v>
      </c>
      <c r="QB12" s="75">
        <v>6</v>
      </c>
      <c r="QC12" s="75">
        <v>0</v>
      </c>
      <c r="QD12" s="75">
        <v>0</v>
      </c>
      <c r="QE12" s="75">
        <v>0</v>
      </c>
      <c r="QF12" s="75">
        <v>0</v>
      </c>
      <c r="QG12" s="75">
        <v>0</v>
      </c>
      <c r="QH12" s="75">
        <v>0</v>
      </c>
      <c r="QI12" s="75">
        <v>0</v>
      </c>
      <c r="QJ12" s="75">
        <v>0</v>
      </c>
      <c r="QK12" s="75">
        <v>0</v>
      </c>
      <c r="QL12" s="75">
        <v>0</v>
      </c>
      <c r="QM12" s="75">
        <v>0</v>
      </c>
      <c r="QN12" s="75">
        <v>0</v>
      </c>
      <c r="QO12" s="75">
        <v>0</v>
      </c>
      <c r="QP12" s="75">
        <v>0</v>
      </c>
      <c r="QQ12" s="75">
        <v>0</v>
      </c>
      <c r="QR12" s="75">
        <v>0</v>
      </c>
      <c r="QS12" s="75">
        <v>0</v>
      </c>
      <c r="QT12" s="75">
        <v>0</v>
      </c>
      <c r="QU12" s="75">
        <v>0</v>
      </c>
      <c r="QV12" s="75">
        <v>0</v>
      </c>
      <c r="QW12" s="75">
        <v>0</v>
      </c>
      <c r="QX12" s="75">
        <v>0</v>
      </c>
      <c r="QY12" s="75">
        <v>0</v>
      </c>
      <c r="QZ12" s="75">
        <v>0</v>
      </c>
      <c r="RA12" s="75">
        <v>0</v>
      </c>
      <c r="RB12" s="75">
        <v>0</v>
      </c>
      <c r="RC12" s="75">
        <v>0</v>
      </c>
      <c r="RD12" s="75">
        <v>0</v>
      </c>
      <c r="RE12" s="75">
        <v>0</v>
      </c>
      <c r="RF12" s="75">
        <v>0</v>
      </c>
      <c r="RG12" s="75">
        <v>0</v>
      </c>
      <c r="RH12" s="75">
        <v>9</v>
      </c>
      <c r="RI12" s="75">
        <v>0</v>
      </c>
      <c r="RJ12" s="75">
        <v>0</v>
      </c>
      <c r="RK12" s="75">
        <v>0</v>
      </c>
      <c r="RL12" s="75">
        <v>0</v>
      </c>
      <c r="RM12" s="75">
        <v>0</v>
      </c>
      <c r="RN12" s="75">
        <v>0</v>
      </c>
      <c r="RO12" s="75">
        <v>0</v>
      </c>
      <c r="RP12" s="75">
        <v>9</v>
      </c>
      <c r="RQ12" s="75">
        <v>0</v>
      </c>
      <c r="RR12" s="75">
        <v>0</v>
      </c>
      <c r="RS12" s="75">
        <v>0</v>
      </c>
      <c r="RT12" s="75">
        <v>0</v>
      </c>
      <c r="RU12" s="75">
        <v>0</v>
      </c>
      <c r="RV12" s="75">
        <v>0</v>
      </c>
      <c r="RW12" s="75">
        <v>0</v>
      </c>
      <c r="RX12" s="75">
        <v>0</v>
      </c>
      <c r="RY12" s="75">
        <v>0</v>
      </c>
      <c r="RZ12" s="75">
        <v>0</v>
      </c>
      <c r="SA12" s="75">
        <v>0</v>
      </c>
      <c r="SB12" s="75">
        <v>0</v>
      </c>
      <c r="SC12" s="75">
        <v>0</v>
      </c>
      <c r="SD12" s="75">
        <v>0</v>
      </c>
      <c r="SE12" s="75">
        <v>0</v>
      </c>
      <c r="SF12" s="75">
        <v>0</v>
      </c>
      <c r="SG12" s="75">
        <v>0</v>
      </c>
      <c r="SH12" s="75">
        <v>0</v>
      </c>
      <c r="SI12" s="75">
        <v>0</v>
      </c>
      <c r="SJ12" s="75">
        <v>0</v>
      </c>
      <c r="SK12" s="75">
        <v>0</v>
      </c>
      <c r="SL12" s="75">
        <v>0</v>
      </c>
      <c r="SM12" s="75">
        <v>0</v>
      </c>
      <c r="SN12" s="75">
        <v>0</v>
      </c>
      <c r="SO12" s="75">
        <v>0</v>
      </c>
      <c r="SP12" s="75">
        <v>0</v>
      </c>
      <c r="SQ12" s="75">
        <v>0</v>
      </c>
      <c r="SR12" s="75">
        <v>0</v>
      </c>
      <c r="SS12" s="75">
        <v>0</v>
      </c>
      <c r="ST12" s="75">
        <v>0</v>
      </c>
      <c r="SU12" s="75">
        <v>0</v>
      </c>
      <c r="SV12" s="75">
        <v>0</v>
      </c>
      <c r="SW12" s="75">
        <v>0</v>
      </c>
      <c r="SX12" s="75">
        <v>0</v>
      </c>
      <c r="SY12" s="75">
        <v>0</v>
      </c>
      <c r="SZ12" s="75">
        <v>0</v>
      </c>
      <c r="TA12" s="75">
        <v>0</v>
      </c>
      <c r="TB12" s="75">
        <v>0</v>
      </c>
      <c r="TC12" s="75">
        <v>0</v>
      </c>
      <c r="TD12" s="75">
        <v>0</v>
      </c>
      <c r="TE12" s="75">
        <v>0</v>
      </c>
      <c r="TF12" s="75">
        <v>0</v>
      </c>
      <c r="TG12" s="75">
        <v>0</v>
      </c>
      <c r="TH12" s="75">
        <v>0</v>
      </c>
      <c r="TI12" s="75">
        <v>0</v>
      </c>
      <c r="TJ12" s="75">
        <v>0</v>
      </c>
      <c r="TK12" s="75">
        <v>0</v>
      </c>
      <c r="TL12" s="75">
        <v>0</v>
      </c>
      <c r="TM12" s="75">
        <v>0</v>
      </c>
      <c r="TN12" s="75">
        <v>0</v>
      </c>
      <c r="TO12" s="75">
        <v>0</v>
      </c>
      <c r="TP12" s="75">
        <v>0</v>
      </c>
      <c r="TQ12" s="75">
        <v>0</v>
      </c>
      <c r="TR12" s="75">
        <v>0</v>
      </c>
      <c r="TS12" s="75">
        <v>0</v>
      </c>
      <c r="TT12" s="75">
        <v>0</v>
      </c>
      <c r="TU12" s="75">
        <v>0</v>
      </c>
      <c r="TV12" s="75">
        <v>0</v>
      </c>
      <c r="TW12" s="75">
        <v>0</v>
      </c>
      <c r="TX12" s="75">
        <v>0</v>
      </c>
      <c r="TY12" s="75">
        <v>0</v>
      </c>
      <c r="TZ12" s="75">
        <v>0</v>
      </c>
      <c r="UA12" s="75">
        <v>0</v>
      </c>
      <c r="UB12" s="75">
        <v>0</v>
      </c>
      <c r="UC12" s="75">
        <v>0</v>
      </c>
      <c r="UD12" s="75">
        <v>0</v>
      </c>
      <c r="UE12" s="75">
        <v>0</v>
      </c>
      <c r="UF12" s="75">
        <v>0</v>
      </c>
      <c r="UG12" s="75">
        <v>0</v>
      </c>
      <c r="UH12" s="75">
        <v>0</v>
      </c>
      <c r="UI12" s="75">
        <v>0</v>
      </c>
      <c r="UJ12" s="75">
        <v>0</v>
      </c>
      <c r="UK12" s="75">
        <v>0</v>
      </c>
      <c r="UL12" s="75">
        <v>0</v>
      </c>
      <c r="UM12" s="75">
        <v>0</v>
      </c>
      <c r="UN12" s="75">
        <v>0</v>
      </c>
      <c r="UO12" s="75">
        <v>0</v>
      </c>
      <c r="UP12" s="75">
        <v>0</v>
      </c>
      <c r="UQ12" s="75">
        <v>0</v>
      </c>
      <c r="UR12" s="75">
        <v>0</v>
      </c>
      <c r="US12" s="75">
        <v>0</v>
      </c>
      <c r="UT12" s="75">
        <v>0</v>
      </c>
      <c r="UU12" s="75">
        <v>0</v>
      </c>
      <c r="UV12" s="75">
        <v>0</v>
      </c>
      <c r="UW12" s="75">
        <v>0</v>
      </c>
      <c r="UX12" s="75">
        <v>0</v>
      </c>
      <c r="UY12" s="75">
        <v>0</v>
      </c>
      <c r="UZ12" s="75">
        <v>0</v>
      </c>
      <c r="VA12" s="75">
        <v>0</v>
      </c>
      <c r="VB12" s="75">
        <v>0</v>
      </c>
      <c r="VC12" s="75">
        <v>0</v>
      </c>
      <c r="VD12" s="75">
        <v>0</v>
      </c>
      <c r="VE12" s="75">
        <v>0</v>
      </c>
      <c r="VF12" s="75">
        <v>0</v>
      </c>
      <c r="VG12" s="75">
        <v>0</v>
      </c>
      <c r="VH12" s="75">
        <v>0</v>
      </c>
      <c r="VI12" s="75">
        <v>0</v>
      </c>
      <c r="VJ12" s="75">
        <v>0</v>
      </c>
      <c r="VK12" s="75">
        <v>0</v>
      </c>
      <c r="VL12" s="75">
        <v>0</v>
      </c>
      <c r="VM12" s="75">
        <v>0</v>
      </c>
      <c r="VN12" s="75">
        <v>0</v>
      </c>
      <c r="VO12" s="75">
        <v>0</v>
      </c>
      <c r="VP12" s="75">
        <v>0</v>
      </c>
      <c r="VQ12" s="75">
        <v>0</v>
      </c>
      <c r="VR12" s="75">
        <v>0</v>
      </c>
      <c r="VS12" s="75">
        <v>0</v>
      </c>
      <c r="VT12" s="75">
        <v>0</v>
      </c>
      <c r="VU12" s="75">
        <v>0</v>
      </c>
      <c r="VV12" s="75">
        <v>0</v>
      </c>
      <c r="VW12" s="75">
        <v>0</v>
      </c>
      <c r="VX12" s="75">
        <v>0</v>
      </c>
      <c r="VY12" s="75">
        <v>0</v>
      </c>
      <c r="VZ12" s="75">
        <v>0</v>
      </c>
      <c r="WA12" s="75">
        <v>0</v>
      </c>
      <c r="WB12" s="75">
        <v>0</v>
      </c>
      <c r="WC12" s="75">
        <v>0</v>
      </c>
      <c r="WD12" s="75">
        <v>0</v>
      </c>
      <c r="WE12" s="75">
        <v>0</v>
      </c>
      <c r="WF12" s="75">
        <v>0</v>
      </c>
      <c r="WG12" s="75">
        <v>0</v>
      </c>
      <c r="WH12" s="75">
        <v>0</v>
      </c>
      <c r="WI12" s="75">
        <v>0</v>
      </c>
      <c r="WJ12" s="75">
        <v>0</v>
      </c>
      <c r="WK12" s="75">
        <v>0</v>
      </c>
      <c r="WL12" s="75">
        <v>0</v>
      </c>
      <c r="WM12" s="75">
        <v>0</v>
      </c>
      <c r="WN12" s="75">
        <v>0</v>
      </c>
      <c r="WO12" s="75">
        <v>0</v>
      </c>
      <c r="WP12" s="75">
        <v>0</v>
      </c>
      <c r="WQ12" s="75">
        <v>0</v>
      </c>
      <c r="WR12" s="75">
        <v>0</v>
      </c>
      <c r="WS12" s="75">
        <v>0</v>
      </c>
      <c r="WT12" s="75">
        <v>0</v>
      </c>
      <c r="WU12" s="75">
        <v>0</v>
      </c>
      <c r="WV12" s="75">
        <v>0</v>
      </c>
      <c r="WW12" s="75">
        <v>0</v>
      </c>
      <c r="WX12" s="75">
        <v>0</v>
      </c>
      <c r="WY12" s="75">
        <v>0</v>
      </c>
      <c r="WZ12" s="75">
        <v>0</v>
      </c>
      <c r="XA12" s="75">
        <v>0</v>
      </c>
      <c r="XB12" s="75">
        <v>0</v>
      </c>
      <c r="XC12" s="75">
        <v>0</v>
      </c>
      <c r="XD12" s="75">
        <v>0</v>
      </c>
      <c r="XE12" s="75">
        <v>0</v>
      </c>
      <c r="XF12" s="75">
        <v>0</v>
      </c>
      <c r="XG12" s="75">
        <v>0</v>
      </c>
      <c r="XH12" s="75">
        <v>0</v>
      </c>
      <c r="XI12" s="75">
        <v>0</v>
      </c>
      <c r="XJ12" s="75">
        <v>0</v>
      </c>
      <c r="XK12" s="75">
        <v>0</v>
      </c>
      <c r="XL12" s="75">
        <v>0</v>
      </c>
      <c r="XM12" s="75">
        <v>0</v>
      </c>
      <c r="XN12" s="75">
        <v>0</v>
      </c>
      <c r="XO12" s="75">
        <v>0</v>
      </c>
      <c r="XP12" s="75">
        <v>0</v>
      </c>
      <c r="XQ12" s="75">
        <v>0</v>
      </c>
      <c r="XR12" s="75">
        <v>0</v>
      </c>
      <c r="XS12" s="75">
        <v>0</v>
      </c>
      <c r="XT12" s="75">
        <v>0</v>
      </c>
      <c r="XU12" s="75">
        <v>0</v>
      </c>
      <c r="XV12" s="75">
        <v>0</v>
      </c>
      <c r="XW12" s="75">
        <v>0</v>
      </c>
      <c r="XX12" s="75">
        <v>0</v>
      </c>
      <c r="XY12" s="75">
        <v>0</v>
      </c>
      <c r="XZ12" s="75">
        <v>0</v>
      </c>
      <c r="YA12" s="75">
        <v>0</v>
      </c>
      <c r="YB12" s="75">
        <v>0</v>
      </c>
      <c r="YC12" s="75">
        <v>0</v>
      </c>
      <c r="YD12" s="75">
        <v>0</v>
      </c>
      <c r="YE12" s="75">
        <v>0</v>
      </c>
      <c r="YF12" s="75">
        <v>0</v>
      </c>
      <c r="YG12" s="75">
        <v>0</v>
      </c>
      <c r="YH12" s="75">
        <v>0</v>
      </c>
      <c r="YI12" s="75">
        <v>0</v>
      </c>
      <c r="YJ12" s="75">
        <v>0</v>
      </c>
      <c r="YK12" s="75">
        <v>0</v>
      </c>
      <c r="YL12" s="75">
        <v>0</v>
      </c>
      <c r="YM12" s="75">
        <v>0</v>
      </c>
      <c r="YN12" s="75">
        <v>0</v>
      </c>
      <c r="YO12" s="75">
        <v>0</v>
      </c>
      <c r="YP12" s="75">
        <v>0</v>
      </c>
      <c r="YQ12" s="75">
        <v>0</v>
      </c>
      <c r="YR12" s="75">
        <v>0</v>
      </c>
      <c r="YS12" s="75">
        <v>0</v>
      </c>
      <c r="YT12" s="75">
        <v>0</v>
      </c>
      <c r="YU12" s="75">
        <v>0</v>
      </c>
      <c r="YV12" s="75">
        <v>0</v>
      </c>
      <c r="YW12" s="75">
        <v>0</v>
      </c>
      <c r="YX12" s="75">
        <v>0</v>
      </c>
      <c r="YY12" s="75">
        <v>0</v>
      </c>
      <c r="YZ12" s="75">
        <v>0</v>
      </c>
      <c r="ZA12" s="75">
        <v>0</v>
      </c>
      <c r="ZB12" s="75">
        <v>0</v>
      </c>
      <c r="ZC12" s="75">
        <v>0</v>
      </c>
      <c r="ZD12" s="75">
        <v>0</v>
      </c>
      <c r="ZE12" s="75">
        <v>0</v>
      </c>
      <c r="ZF12" s="75">
        <v>0</v>
      </c>
      <c r="ZG12" s="75">
        <v>0</v>
      </c>
      <c r="ZH12" s="75">
        <v>0</v>
      </c>
      <c r="ZI12" s="75">
        <v>0</v>
      </c>
      <c r="ZJ12" s="75">
        <v>0</v>
      </c>
      <c r="ZK12" s="75">
        <v>0</v>
      </c>
      <c r="ZL12" s="75">
        <v>0</v>
      </c>
      <c r="ZM12" s="75">
        <v>0</v>
      </c>
      <c r="ZN12" s="75">
        <v>0</v>
      </c>
      <c r="ZO12" s="75">
        <v>0</v>
      </c>
      <c r="ZP12" s="75">
        <v>0</v>
      </c>
      <c r="ZQ12" s="75">
        <v>0</v>
      </c>
      <c r="ZR12" s="75">
        <v>0</v>
      </c>
      <c r="ZS12" s="75">
        <v>0</v>
      </c>
      <c r="ZT12" s="75">
        <v>0</v>
      </c>
      <c r="ZU12" s="75">
        <v>0</v>
      </c>
      <c r="ZV12" s="75">
        <v>0</v>
      </c>
      <c r="ZW12" s="75">
        <v>0</v>
      </c>
      <c r="ZX12" s="75">
        <v>0</v>
      </c>
      <c r="ZY12" s="75">
        <v>0</v>
      </c>
      <c r="ZZ12" s="75">
        <v>0</v>
      </c>
      <c r="AAA12" s="75">
        <v>0</v>
      </c>
      <c r="AAB12" s="75">
        <v>0</v>
      </c>
      <c r="AAC12" s="75">
        <v>0</v>
      </c>
      <c r="AAD12" s="75">
        <v>0</v>
      </c>
      <c r="AAE12" s="75">
        <v>0</v>
      </c>
      <c r="AAF12" s="75">
        <v>0</v>
      </c>
      <c r="AAG12" s="75">
        <v>0</v>
      </c>
      <c r="AAH12" s="75">
        <v>0</v>
      </c>
      <c r="AAI12" s="75">
        <v>0</v>
      </c>
      <c r="AAJ12" s="75">
        <v>0</v>
      </c>
      <c r="AAK12" s="75">
        <v>0</v>
      </c>
      <c r="AAL12" s="75">
        <v>0</v>
      </c>
      <c r="AAM12" s="75">
        <v>0</v>
      </c>
      <c r="AAN12" s="75">
        <v>0</v>
      </c>
      <c r="AAO12" s="75">
        <v>0</v>
      </c>
      <c r="AAP12" s="75">
        <v>0</v>
      </c>
      <c r="AAQ12" s="75">
        <v>0</v>
      </c>
      <c r="AAR12" s="75">
        <v>0</v>
      </c>
      <c r="AAS12" s="75">
        <v>0</v>
      </c>
      <c r="AAT12" s="75">
        <v>0</v>
      </c>
      <c r="AAU12" s="75">
        <v>0</v>
      </c>
      <c r="AAV12" s="75">
        <v>0</v>
      </c>
      <c r="AAW12" s="75">
        <v>0</v>
      </c>
      <c r="AAX12" s="75">
        <v>0</v>
      </c>
      <c r="AAY12" s="75">
        <v>0</v>
      </c>
      <c r="AAZ12" s="75">
        <v>0</v>
      </c>
      <c r="ABA12" s="75">
        <v>0</v>
      </c>
      <c r="ABB12" s="75">
        <v>0</v>
      </c>
      <c r="ABC12" s="75">
        <v>0</v>
      </c>
    </row>
    <row r="13" spans="1:731">
      <c r="A13" s="75" t="s">
        <v>50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>
        <v>4</v>
      </c>
      <c r="AQ13" s="75">
        <v>4</v>
      </c>
      <c r="AR13" s="75">
        <v>4</v>
      </c>
      <c r="AS13" s="75">
        <v>4</v>
      </c>
      <c r="AT13" s="75"/>
      <c r="AU13" s="75">
        <v>4</v>
      </c>
      <c r="AV13" s="75">
        <v>4</v>
      </c>
      <c r="AW13" s="75">
        <v>4</v>
      </c>
      <c r="AX13" s="75">
        <v>4</v>
      </c>
      <c r="AY13" s="75">
        <v>4</v>
      </c>
      <c r="AZ13" s="75">
        <v>4</v>
      </c>
      <c r="BA13" s="75"/>
      <c r="BB13" s="75">
        <v>4</v>
      </c>
      <c r="BC13" s="75">
        <v>4</v>
      </c>
      <c r="BD13" s="75">
        <v>4</v>
      </c>
      <c r="BE13" s="75">
        <v>4</v>
      </c>
      <c r="BF13" s="75">
        <v>4</v>
      </c>
      <c r="BG13" s="75">
        <v>5</v>
      </c>
      <c r="BH13" s="75"/>
      <c r="BI13" s="75">
        <v>5</v>
      </c>
      <c r="BJ13" s="75">
        <v>5</v>
      </c>
      <c r="BK13" s="75">
        <v>5</v>
      </c>
      <c r="BL13" s="75">
        <v>5</v>
      </c>
      <c r="BM13" s="75">
        <v>5</v>
      </c>
      <c r="BN13" s="75"/>
      <c r="BO13" s="75"/>
      <c r="BP13" s="75">
        <v>5</v>
      </c>
      <c r="BQ13" s="75">
        <v>5</v>
      </c>
      <c r="BR13" s="75">
        <v>5</v>
      </c>
      <c r="BS13" s="75">
        <v>5</v>
      </c>
      <c r="BT13" s="75">
        <v>5</v>
      </c>
      <c r="BU13" s="75">
        <v>5</v>
      </c>
      <c r="BV13" s="75"/>
      <c r="BW13" s="75">
        <v>14</v>
      </c>
      <c r="BX13" s="75">
        <v>14</v>
      </c>
      <c r="BY13" s="75">
        <v>14</v>
      </c>
      <c r="BZ13" s="75">
        <v>14</v>
      </c>
      <c r="CA13" s="75">
        <v>14</v>
      </c>
      <c r="CB13" s="75">
        <v>14</v>
      </c>
      <c r="CC13" s="75"/>
      <c r="CD13" s="75">
        <v>34</v>
      </c>
      <c r="CE13" s="75">
        <v>34</v>
      </c>
      <c r="CF13" s="75">
        <v>34</v>
      </c>
      <c r="CG13" s="75">
        <v>34</v>
      </c>
      <c r="CH13" s="75">
        <v>34</v>
      </c>
      <c r="CI13" s="75">
        <v>34</v>
      </c>
      <c r="CJ13" s="75"/>
      <c r="CK13" s="75">
        <v>44</v>
      </c>
      <c r="CL13" s="75">
        <v>44</v>
      </c>
      <c r="CM13" s="75">
        <v>44</v>
      </c>
      <c r="CN13" s="75">
        <v>40</v>
      </c>
      <c r="CO13" s="75">
        <v>40</v>
      </c>
      <c r="CP13" s="75">
        <v>40</v>
      </c>
      <c r="CQ13" s="75"/>
      <c r="CR13" s="75">
        <v>40</v>
      </c>
      <c r="CS13" s="75">
        <v>40</v>
      </c>
      <c r="CT13" s="75">
        <v>40</v>
      </c>
      <c r="CU13" s="75">
        <v>40</v>
      </c>
      <c r="CV13" s="75">
        <v>40</v>
      </c>
      <c r="CW13" s="75">
        <v>40</v>
      </c>
      <c r="CX13" s="75"/>
      <c r="CY13" s="75">
        <v>40</v>
      </c>
      <c r="CZ13" s="75">
        <v>40</v>
      </c>
      <c r="DA13" s="75">
        <v>40</v>
      </c>
      <c r="DB13" s="75">
        <v>40</v>
      </c>
      <c r="DC13" s="75">
        <v>40</v>
      </c>
      <c r="DD13" s="75">
        <v>40</v>
      </c>
      <c r="DE13" s="75"/>
      <c r="DF13" s="75">
        <v>30</v>
      </c>
      <c r="DG13" s="75">
        <v>30</v>
      </c>
      <c r="DH13" s="75">
        <v>30</v>
      </c>
      <c r="DI13" s="75">
        <v>30</v>
      </c>
      <c r="DJ13" s="75">
        <v>30</v>
      </c>
      <c r="DK13" s="75">
        <v>30</v>
      </c>
      <c r="DL13" s="75"/>
      <c r="DM13" s="75">
        <v>10</v>
      </c>
      <c r="DN13" s="75">
        <v>10</v>
      </c>
      <c r="DO13" s="75">
        <v>10</v>
      </c>
      <c r="DP13" s="75">
        <v>10</v>
      </c>
      <c r="DQ13" s="75">
        <v>10</v>
      </c>
      <c r="DR13" s="75">
        <v>10</v>
      </c>
      <c r="DS13" s="75"/>
      <c r="DT13" s="75"/>
      <c r="DU13" s="75"/>
      <c r="DV13" s="75"/>
      <c r="DW13" s="75"/>
      <c r="DX13" s="75"/>
      <c r="DY13" s="75"/>
      <c r="DZ13" s="75"/>
      <c r="EA13" s="75"/>
      <c r="EB13" s="75"/>
      <c r="EC13" s="75"/>
      <c r="ED13" s="75"/>
      <c r="EE13" s="75"/>
      <c r="EF13" s="75"/>
      <c r="EG13" s="75"/>
      <c r="EH13" s="75"/>
      <c r="EI13" s="75"/>
      <c r="EJ13" s="75"/>
      <c r="EK13" s="75"/>
      <c r="EL13" s="75"/>
      <c r="EM13" s="75"/>
      <c r="EN13" s="75"/>
      <c r="EO13" s="75"/>
      <c r="EP13" s="75"/>
      <c r="EQ13" s="75"/>
      <c r="ER13" s="75"/>
      <c r="ES13" s="75"/>
      <c r="ET13" s="75"/>
      <c r="EU13" s="75"/>
      <c r="EV13" s="75"/>
      <c r="EW13" s="75"/>
      <c r="EX13" s="75"/>
      <c r="EY13" s="75"/>
      <c r="EZ13" s="75"/>
      <c r="FA13" s="75"/>
      <c r="FB13" s="75"/>
      <c r="FC13" s="75"/>
      <c r="FD13" s="75"/>
      <c r="FE13" s="75"/>
      <c r="FF13" s="75"/>
      <c r="FG13" s="75"/>
      <c r="FH13" s="75"/>
      <c r="FI13" s="75"/>
      <c r="FJ13" s="75"/>
      <c r="FK13" s="75"/>
      <c r="FL13" s="75"/>
      <c r="FM13" s="75"/>
      <c r="FN13" s="75"/>
      <c r="FO13" s="75"/>
      <c r="FP13" s="75"/>
      <c r="FQ13" s="75"/>
      <c r="FR13" s="75"/>
      <c r="FS13" s="75"/>
      <c r="FT13" s="75"/>
      <c r="FU13" s="75"/>
      <c r="FV13" s="75"/>
      <c r="FW13" s="75"/>
      <c r="FX13" s="75"/>
      <c r="FY13" s="75"/>
      <c r="FZ13" s="75"/>
      <c r="GA13" s="75"/>
      <c r="GB13" s="75"/>
      <c r="GC13" s="75"/>
      <c r="GD13" s="75"/>
      <c r="GE13" s="75"/>
      <c r="GF13" s="75"/>
      <c r="GG13" s="75"/>
      <c r="GH13" s="75"/>
      <c r="GI13" s="75"/>
      <c r="GJ13" s="75"/>
      <c r="GK13" s="75"/>
      <c r="GL13" s="75"/>
      <c r="GM13" s="75"/>
      <c r="GN13" s="75"/>
      <c r="GO13" s="75"/>
      <c r="GP13" s="75"/>
      <c r="GQ13" s="75"/>
      <c r="GR13" s="75"/>
      <c r="GS13" s="75"/>
      <c r="GT13" s="75"/>
      <c r="GU13" s="75"/>
      <c r="GV13" s="75"/>
      <c r="GW13" s="75"/>
      <c r="GX13" s="75"/>
      <c r="GY13" s="75"/>
      <c r="GZ13" s="75"/>
      <c r="HA13" s="75"/>
      <c r="HB13" s="75"/>
      <c r="HC13" s="75"/>
      <c r="HD13" s="75"/>
      <c r="HE13" s="75"/>
      <c r="HF13" s="75"/>
      <c r="HG13" s="75"/>
      <c r="HH13" s="75"/>
      <c r="HI13" s="75"/>
      <c r="HJ13" s="75"/>
      <c r="HK13" s="75"/>
      <c r="HL13" s="75"/>
      <c r="HM13" s="75"/>
      <c r="HN13" s="75"/>
      <c r="HO13" s="75"/>
      <c r="HP13" s="75"/>
      <c r="HQ13" s="75"/>
      <c r="HR13" s="75"/>
      <c r="HS13" s="75"/>
      <c r="HT13" s="75"/>
      <c r="HU13" s="75"/>
      <c r="HV13" s="75"/>
      <c r="HW13" s="75"/>
      <c r="HX13" s="75"/>
      <c r="HY13" s="75"/>
      <c r="HZ13" s="75"/>
      <c r="IA13" s="75"/>
      <c r="IB13" s="75"/>
      <c r="IC13" s="75"/>
      <c r="ID13" s="75"/>
      <c r="IE13" s="75"/>
      <c r="IF13" s="75"/>
      <c r="IG13" s="75"/>
      <c r="IH13" s="75"/>
      <c r="II13" s="75"/>
      <c r="IJ13" s="75"/>
      <c r="IK13" s="75"/>
      <c r="IL13" s="75"/>
      <c r="IM13" s="75"/>
      <c r="IN13" s="75"/>
      <c r="IO13" s="75"/>
      <c r="IP13" s="75"/>
      <c r="IQ13" s="75"/>
      <c r="IR13" s="75"/>
      <c r="IS13" s="75"/>
      <c r="IT13" s="75"/>
      <c r="IU13" s="75"/>
      <c r="IV13" s="75"/>
      <c r="IW13" s="75"/>
      <c r="IX13" s="75"/>
      <c r="IY13" s="75"/>
      <c r="IZ13" s="75"/>
      <c r="JA13" s="75"/>
      <c r="JB13" s="75"/>
      <c r="JC13" s="75"/>
      <c r="JD13" s="75"/>
      <c r="JE13" s="75"/>
      <c r="JF13" s="75"/>
      <c r="JG13" s="75"/>
      <c r="JH13" s="75"/>
      <c r="JI13" s="75"/>
      <c r="JJ13" s="75"/>
      <c r="JK13" s="75"/>
      <c r="JL13" s="75"/>
      <c r="JM13" s="75"/>
      <c r="JN13" s="75"/>
      <c r="JO13" s="75"/>
      <c r="JP13" s="75"/>
      <c r="JQ13" s="75"/>
      <c r="JR13" s="75"/>
      <c r="JS13" s="75"/>
      <c r="JT13" s="75"/>
      <c r="JU13" s="75"/>
      <c r="JV13" s="75"/>
      <c r="JW13" s="75"/>
      <c r="JX13" s="75"/>
      <c r="JY13" s="75"/>
      <c r="JZ13" s="75"/>
      <c r="KA13" s="75"/>
      <c r="KB13" s="75"/>
      <c r="KC13" s="75"/>
      <c r="KD13" s="75"/>
      <c r="KE13" s="75"/>
      <c r="KF13" s="75"/>
      <c r="KG13" s="75"/>
      <c r="KH13" s="75"/>
      <c r="KI13" s="75"/>
      <c r="KJ13" s="75"/>
      <c r="KK13" s="75"/>
      <c r="KL13" s="75"/>
      <c r="KM13" s="75"/>
      <c r="KN13" s="75"/>
      <c r="KO13" s="75"/>
      <c r="KP13" s="75"/>
      <c r="KQ13" s="75"/>
      <c r="KR13" s="75"/>
      <c r="KS13" s="75"/>
      <c r="KT13" s="75"/>
      <c r="KU13" s="75"/>
      <c r="KV13" s="75"/>
      <c r="KW13" s="75"/>
      <c r="KX13" s="75"/>
      <c r="KY13" s="75"/>
      <c r="KZ13" s="75"/>
      <c r="LA13" s="75"/>
      <c r="LB13" s="75"/>
      <c r="LC13" s="75"/>
      <c r="LD13" s="75"/>
      <c r="LE13" s="75"/>
      <c r="LF13" s="75"/>
      <c r="LG13" s="75"/>
      <c r="LH13" s="75"/>
      <c r="LI13" s="75"/>
      <c r="LJ13" s="75"/>
      <c r="LK13" s="75"/>
      <c r="LL13" s="75"/>
      <c r="LM13" s="75"/>
      <c r="LN13" s="75"/>
      <c r="LO13" s="75"/>
      <c r="LP13" s="75"/>
      <c r="LQ13" s="75"/>
      <c r="LR13" s="75"/>
      <c r="LS13" s="75"/>
      <c r="LT13" s="75"/>
      <c r="LU13" s="75"/>
      <c r="LV13" s="75"/>
      <c r="LW13" s="75"/>
      <c r="LX13" s="75"/>
      <c r="LY13" s="75"/>
      <c r="LZ13" s="75"/>
      <c r="MA13" s="75"/>
      <c r="MB13" s="75"/>
      <c r="MC13" s="75"/>
      <c r="MD13" s="75"/>
      <c r="ME13" s="75"/>
      <c r="MF13" s="75"/>
      <c r="MG13" s="75"/>
      <c r="MH13" s="75"/>
      <c r="MI13" s="75"/>
      <c r="MJ13" s="75"/>
      <c r="MK13" s="75"/>
      <c r="ML13" s="75"/>
      <c r="MM13" s="75"/>
      <c r="MN13" s="75"/>
      <c r="MO13" s="75"/>
      <c r="MP13" s="75"/>
      <c r="MQ13" s="75"/>
      <c r="MR13" s="75"/>
      <c r="MS13" s="75"/>
      <c r="MT13" s="75"/>
      <c r="MU13" s="75"/>
      <c r="MV13" s="75"/>
      <c r="MW13" s="75"/>
      <c r="MX13" s="75"/>
      <c r="MY13" s="75"/>
      <c r="MZ13" s="75"/>
      <c r="NA13" s="75"/>
      <c r="NB13" s="75"/>
      <c r="NC13" s="75"/>
      <c r="ND13" s="75"/>
      <c r="NE13" s="75"/>
      <c r="NF13" s="75"/>
      <c r="NG13" s="75"/>
      <c r="NH13" s="75"/>
      <c r="NI13" s="75"/>
      <c r="NJ13" s="75"/>
      <c r="NK13" s="75"/>
      <c r="NL13" s="75"/>
      <c r="NM13" s="75"/>
      <c r="NN13" s="75"/>
      <c r="NO13" s="75"/>
      <c r="NP13" s="75"/>
      <c r="NQ13" s="75"/>
      <c r="NR13" s="75"/>
      <c r="NS13" s="75"/>
      <c r="NT13" s="75"/>
      <c r="NU13" s="75"/>
      <c r="NV13" s="75"/>
      <c r="NW13" s="75"/>
      <c r="NX13" s="75"/>
      <c r="NY13" s="75"/>
      <c r="NZ13" s="75"/>
      <c r="OA13" s="75"/>
      <c r="OB13" s="75"/>
      <c r="OC13" s="75"/>
      <c r="OD13" s="75"/>
      <c r="OE13" s="75"/>
      <c r="OF13" s="75"/>
      <c r="OG13" s="75"/>
      <c r="OH13" s="75"/>
      <c r="OI13" s="75"/>
      <c r="OJ13" s="75"/>
      <c r="OK13" s="75"/>
      <c r="OL13" s="75"/>
      <c r="OM13" s="75"/>
      <c r="ON13" s="75"/>
      <c r="OO13" s="75"/>
      <c r="OP13" s="75"/>
      <c r="OQ13" s="75"/>
      <c r="OR13" s="75"/>
      <c r="OS13" s="75"/>
      <c r="OT13" s="75"/>
      <c r="OU13" s="75"/>
      <c r="OV13" s="75"/>
      <c r="OW13" s="75"/>
      <c r="OX13" s="75"/>
      <c r="OY13" s="75"/>
      <c r="OZ13" s="75"/>
      <c r="PA13" s="75"/>
      <c r="PB13" s="75"/>
      <c r="PC13" s="75"/>
      <c r="PD13" s="75"/>
      <c r="PE13" s="75"/>
      <c r="PF13" s="75"/>
      <c r="PG13" s="75"/>
      <c r="PH13" s="75"/>
      <c r="PI13" s="75"/>
      <c r="PJ13" s="75"/>
      <c r="PK13" s="75"/>
      <c r="PL13" s="75"/>
      <c r="PM13" s="75"/>
      <c r="PN13" s="75"/>
      <c r="PO13" s="75"/>
      <c r="PP13" s="75"/>
      <c r="PQ13" s="75"/>
      <c r="PR13" s="75"/>
      <c r="PS13" s="75"/>
      <c r="PT13" s="75"/>
      <c r="PU13" s="75"/>
      <c r="PV13" s="75"/>
      <c r="PW13" s="75"/>
      <c r="PX13" s="75"/>
      <c r="PY13" s="75"/>
      <c r="PZ13" s="75"/>
      <c r="QA13" s="75"/>
      <c r="QB13" s="75"/>
      <c r="QC13" s="75"/>
      <c r="QD13" s="75"/>
      <c r="QE13" s="75"/>
      <c r="QF13" s="75"/>
      <c r="QG13" s="75"/>
      <c r="QH13" s="75"/>
      <c r="QI13" s="75"/>
      <c r="QJ13" s="75"/>
      <c r="QK13" s="75"/>
      <c r="QL13" s="75"/>
      <c r="QM13" s="75"/>
      <c r="QN13" s="75"/>
      <c r="QO13" s="75"/>
      <c r="QP13" s="75"/>
      <c r="QQ13" s="75"/>
      <c r="QR13" s="75"/>
      <c r="QS13" s="75"/>
      <c r="QT13" s="75"/>
      <c r="QU13" s="75"/>
      <c r="QV13" s="75"/>
      <c r="QW13" s="75"/>
      <c r="QX13" s="75"/>
      <c r="QY13" s="75"/>
      <c r="QZ13" s="75"/>
      <c r="RA13" s="75"/>
      <c r="RB13" s="75"/>
      <c r="RC13" s="75"/>
      <c r="RD13" s="75"/>
      <c r="RE13" s="75"/>
      <c r="RF13" s="75"/>
      <c r="RG13" s="75"/>
      <c r="RH13" s="75"/>
      <c r="RI13" s="75"/>
      <c r="RJ13" s="75"/>
      <c r="RK13" s="75"/>
      <c r="RL13" s="75"/>
      <c r="RM13" s="75"/>
      <c r="RN13" s="75"/>
      <c r="RO13" s="75"/>
      <c r="RP13" s="75"/>
      <c r="RQ13" s="75"/>
      <c r="RR13" s="75"/>
      <c r="RS13" s="75"/>
      <c r="RT13" s="75"/>
      <c r="RU13" s="75"/>
      <c r="RV13" s="75"/>
      <c r="RW13" s="75"/>
      <c r="RX13" s="75"/>
      <c r="RY13" s="75"/>
      <c r="RZ13" s="75"/>
      <c r="SA13" s="75"/>
      <c r="SB13" s="75"/>
      <c r="SC13" s="75"/>
      <c r="SD13" s="75"/>
      <c r="SE13" s="75"/>
      <c r="SF13" s="75"/>
      <c r="SG13" s="75"/>
      <c r="SH13" s="75"/>
      <c r="SI13" s="75"/>
      <c r="SJ13" s="75"/>
      <c r="SK13" s="75"/>
      <c r="SL13" s="75"/>
      <c r="SM13" s="75"/>
      <c r="SN13" s="75"/>
      <c r="SO13" s="75"/>
      <c r="SP13" s="75"/>
      <c r="SQ13" s="75"/>
      <c r="SR13" s="75"/>
      <c r="SS13" s="75"/>
      <c r="ST13" s="75"/>
      <c r="SU13" s="75"/>
      <c r="SV13" s="75"/>
      <c r="SW13" s="75"/>
      <c r="SX13" s="75"/>
      <c r="SY13" s="75"/>
      <c r="SZ13" s="75"/>
      <c r="TA13" s="75"/>
      <c r="TB13" s="75"/>
      <c r="TC13" s="75"/>
      <c r="TD13" s="75"/>
      <c r="TE13" s="75"/>
      <c r="TF13" s="75"/>
      <c r="TG13" s="75"/>
      <c r="TH13" s="75"/>
      <c r="TI13" s="75"/>
      <c r="TJ13" s="75"/>
      <c r="TK13" s="75"/>
      <c r="TL13" s="75"/>
      <c r="TM13" s="75"/>
      <c r="TN13" s="75"/>
      <c r="TO13" s="75"/>
      <c r="TP13" s="75"/>
      <c r="TQ13" s="75"/>
      <c r="TR13" s="75"/>
      <c r="TS13" s="75"/>
      <c r="TT13" s="75"/>
      <c r="TU13" s="75"/>
      <c r="TV13" s="75"/>
      <c r="TW13" s="75"/>
      <c r="TX13" s="75"/>
      <c r="TY13" s="75"/>
      <c r="TZ13" s="75"/>
      <c r="UA13" s="75"/>
      <c r="UB13" s="75"/>
      <c r="UC13" s="75"/>
      <c r="UD13" s="75"/>
      <c r="UE13" s="75"/>
      <c r="UF13" s="75"/>
      <c r="UG13" s="75"/>
      <c r="UH13" s="75"/>
      <c r="UI13" s="75"/>
      <c r="UJ13" s="75"/>
      <c r="UK13" s="75"/>
      <c r="UL13" s="75"/>
      <c r="UM13" s="75"/>
      <c r="UN13" s="75"/>
      <c r="UO13" s="75"/>
      <c r="UP13" s="75"/>
      <c r="UQ13" s="75"/>
      <c r="UR13" s="75"/>
      <c r="US13" s="75"/>
      <c r="UT13" s="75"/>
      <c r="UU13" s="75"/>
      <c r="UV13" s="75"/>
      <c r="UW13" s="75"/>
      <c r="UX13" s="75"/>
      <c r="UY13" s="75"/>
      <c r="UZ13" s="75"/>
      <c r="VA13" s="75"/>
      <c r="VB13" s="75"/>
      <c r="VC13" s="75"/>
      <c r="VD13" s="75"/>
      <c r="VE13" s="75"/>
      <c r="VF13" s="75"/>
      <c r="VG13" s="75"/>
      <c r="VH13" s="75"/>
      <c r="VI13" s="75"/>
      <c r="VJ13" s="75"/>
      <c r="VK13" s="75"/>
      <c r="VL13" s="75"/>
      <c r="VM13" s="75"/>
      <c r="VN13" s="75"/>
      <c r="VO13" s="75"/>
      <c r="VP13" s="75"/>
      <c r="VQ13" s="75"/>
      <c r="VR13" s="75"/>
      <c r="VS13" s="75"/>
      <c r="VT13" s="75"/>
      <c r="VU13" s="75"/>
      <c r="VV13" s="75"/>
      <c r="VW13" s="75"/>
      <c r="VX13" s="75"/>
      <c r="VY13" s="75"/>
      <c r="VZ13" s="75"/>
      <c r="WA13" s="75"/>
      <c r="WB13" s="75"/>
      <c r="WC13" s="75"/>
      <c r="WD13" s="75"/>
      <c r="WE13" s="75"/>
      <c r="WF13" s="75"/>
      <c r="WG13" s="75"/>
      <c r="WH13" s="75"/>
      <c r="WI13" s="75"/>
      <c r="WJ13" s="75"/>
      <c r="WK13" s="75"/>
      <c r="WL13" s="75"/>
      <c r="WM13" s="75"/>
      <c r="WN13" s="75"/>
      <c r="WO13" s="75"/>
      <c r="WP13" s="75"/>
      <c r="WQ13" s="75"/>
      <c r="WR13" s="75"/>
      <c r="WS13" s="75"/>
      <c r="WT13" s="75"/>
      <c r="WU13" s="75"/>
      <c r="WV13" s="75"/>
      <c r="WW13" s="75"/>
      <c r="WX13" s="75"/>
      <c r="WY13" s="75"/>
      <c r="WZ13" s="75"/>
      <c r="XA13" s="75"/>
      <c r="XB13" s="75"/>
      <c r="XC13" s="75"/>
      <c r="XD13" s="75"/>
      <c r="XE13" s="75"/>
      <c r="XF13" s="75"/>
      <c r="XG13" s="75"/>
      <c r="XH13" s="75"/>
      <c r="XI13" s="75"/>
      <c r="XJ13" s="75"/>
      <c r="XK13" s="75"/>
      <c r="XL13" s="75"/>
      <c r="XM13" s="75"/>
      <c r="XN13" s="75"/>
      <c r="XO13" s="75"/>
      <c r="XP13" s="75"/>
      <c r="XQ13" s="75"/>
      <c r="XR13" s="75"/>
      <c r="XS13" s="75"/>
      <c r="XT13" s="75"/>
      <c r="XU13" s="75"/>
      <c r="XV13" s="75"/>
      <c r="XW13" s="75"/>
      <c r="XX13" s="75"/>
      <c r="XY13" s="75"/>
      <c r="XZ13" s="75"/>
      <c r="YA13" s="75"/>
      <c r="YB13" s="75"/>
      <c r="YC13" s="75"/>
      <c r="YD13" s="75"/>
      <c r="YE13" s="75"/>
      <c r="YF13" s="75"/>
      <c r="YG13" s="75"/>
      <c r="YH13" s="75"/>
      <c r="YI13" s="75"/>
      <c r="YJ13" s="75"/>
      <c r="YK13" s="75"/>
      <c r="YL13" s="75"/>
      <c r="YM13" s="75"/>
      <c r="YN13" s="75"/>
      <c r="YO13" s="75"/>
      <c r="YP13" s="75"/>
      <c r="YQ13" s="75"/>
      <c r="YR13" s="75"/>
      <c r="YS13" s="75"/>
      <c r="YT13" s="75"/>
      <c r="YU13" s="75"/>
      <c r="YV13" s="75"/>
      <c r="YW13" s="75"/>
      <c r="YX13" s="75"/>
      <c r="YY13" s="75"/>
      <c r="YZ13" s="75"/>
      <c r="ZA13" s="75"/>
      <c r="ZB13" s="75"/>
      <c r="ZC13" s="75"/>
      <c r="ZD13" s="75"/>
      <c r="ZE13" s="75"/>
      <c r="ZF13" s="75"/>
      <c r="ZG13" s="75"/>
      <c r="ZH13" s="75"/>
      <c r="ZI13" s="75"/>
      <c r="ZJ13" s="75"/>
      <c r="ZK13" s="75"/>
      <c r="ZL13" s="75"/>
      <c r="ZM13" s="75"/>
      <c r="ZN13" s="75"/>
      <c r="ZO13" s="75"/>
      <c r="ZP13" s="75"/>
      <c r="ZQ13" s="75"/>
      <c r="ZR13" s="75"/>
      <c r="ZS13" s="75"/>
      <c r="ZT13" s="75"/>
      <c r="ZU13" s="75"/>
      <c r="ZV13" s="75"/>
      <c r="ZW13" s="75"/>
      <c r="ZX13" s="75"/>
      <c r="ZY13" s="75"/>
      <c r="ZZ13" s="75"/>
      <c r="AAA13" s="75"/>
      <c r="AAB13" s="75"/>
      <c r="AAC13" s="75"/>
      <c r="AAD13" s="75"/>
      <c r="AAE13" s="75"/>
      <c r="AAF13" s="75"/>
      <c r="AAG13" s="75"/>
      <c r="AAH13" s="75"/>
      <c r="AAI13" s="75"/>
      <c r="AAJ13" s="75"/>
      <c r="AAK13" s="75"/>
      <c r="AAL13" s="75"/>
      <c r="AAM13" s="75"/>
      <c r="AAN13" s="75"/>
      <c r="AAO13" s="75"/>
      <c r="AAP13" s="75"/>
      <c r="AAQ13" s="75"/>
      <c r="AAR13" s="75"/>
      <c r="AAS13" s="75"/>
      <c r="AAT13" s="75"/>
      <c r="AAU13" s="75"/>
      <c r="AAV13" s="75"/>
      <c r="AAW13" s="75"/>
      <c r="AAX13" s="75"/>
      <c r="AAY13" s="75"/>
      <c r="AAZ13" s="75"/>
      <c r="ABA13" s="75"/>
      <c r="ABB13" s="75"/>
      <c r="ABC13" s="75"/>
    </row>
    <row r="14" spans="1:731">
      <c r="A14" s="75" t="s">
        <v>51</v>
      </c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5"/>
      <c r="BF14" s="75"/>
      <c r="BG14" s="75"/>
      <c r="BH14" s="75"/>
      <c r="BI14" s="75"/>
      <c r="BJ14" s="75"/>
      <c r="BK14" s="75"/>
      <c r="BL14" s="75"/>
      <c r="BM14" s="75"/>
      <c r="BN14" s="75"/>
      <c r="BO14" s="75"/>
      <c r="BP14" s="75"/>
      <c r="BQ14" s="75"/>
      <c r="BR14" s="75"/>
      <c r="BS14" s="75"/>
      <c r="BT14" s="75"/>
      <c r="BU14" s="75"/>
      <c r="BV14" s="75"/>
      <c r="BW14" s="75"/>
      <c r="BX14" s="75"/>
      <c r="BY14" s="75"/>
      <c r="BZ14" s="75"/>
      <c r="CA14" s="75"/>
      <c r="CB14" s="75"/>
      <c r="CC14" s="75"/>
      <c r="CD14" s="75"/>
      <c r="CE14" s="75"/>
      <c r="CF14" s="75"/>
      <c r="CG14" s="75"/>
      <c r="CH14" s="75"/>
      <c r="CI14" s="75"/>
      <c r="CJ14" s="75"/>
      <c r="CK14" s="75"/>
      <c r="CL14" s="75"/>
      <c r="CM14" s="75"/>
      <c r="CN14" s="75"/>
      <c r="CO14" s="75"/>
      <c r="CP14" s="75"/>
      <c r="CQ14" s="75"/>
      <c r="CR14" s="75"/>
      <c r="CS14" s="75"/>
      <c r="CT14" s="75"/>
      <c r="CU14" s="75"/>
      <c r="CV14" s="75"/>
      <c r="CW14" s="75"/>
      <c r="CX14" s="75"/>
      <c r="CY14" s="75"/>
      <c r="CZ14" s="75"/>
      <c r="DA14" s="75"/>
      <c r="DB14" s="75"/>
      <c r="DC14" s="75"/>
      <c r="DD14" s="75"/>
      <c r="DE14" s="75"/>
      <c r="DF14" s="75"/>
      <c r="DG14" s="75"/>
      <c r="DH14" s="75"/>
      <c r="DI14" s="75"/>
      <c r="DJ14" s="75"/>
      <c r="DK14" s="75"/>
      <c r="DL14" s="75"/>
      <c r="DM14" s="75"/>
      <c r="DN14" s="75"/>
      <c r="DO14" s="75"/>
      <c r="DP14" s="75"/>
      <c r="DQ14" s="75"/>
      <c r="DR14" s="75"/>
      <c r="DS14" s="75"/>
      <c r="DT14" s="75"/>
      <c r="DU14" s="75"/>
      <c r="DV14" s="75"/>
      <c r="DW14" s="75"/>
      <c r="DX14" s="75"/>
      <c r="DY14" s="75"/>
      <c r="DZ14" s="75"/>
      <c r="EA14" s="75"/>
      <c r="EB14" s="75"/>
      <c r="EC14" s="75"/>
      <c r="ED14" s="75"/>
      <c r="EE14" s="75"/>
      <c r="EF14" s="75"/>
      <c r="EG14" s="75"/>
      <c r="EH14" s="75"/>
      <c r="EI14" s="75"/>
      <c r="EJ14" s="75"/>
      <c r="EK14" s="75"/>
      <c r="EL14" s="75"/>
      <c r="EM14" s="75"/>
      <c r="EN14" s="75"/>
      <c r="EO14" s="75"/>
      <c r="EP14" s="75"/>
      <c r="EQ14" s="75"/>
      <c r="ER14" s="75"/>
      <c r="ES14" s="75"/>
      <c r="ET14" s="75"/>
      <c r="EU14" s="75"/>
      <c r="EV14" s="75"/>
      <c r="EW14" s="75"/>
      <c r="EX14" s="75"/>
      <c r="EY14" s="75"/>
      <c r="EZ14" s="75"/>
      <c r="FA14" s="75"/>
      <c r="FB14" s="75"/>
      <c r="FC14" s="75"/>
      <c r="FD14" s="75">
        <v>6</v>
      </c>
      <c r="FE14" s="75">
        <v>10</v>
      </c>
      <c r="FF14" s="75">
        <v>10</v>
      </c>
      <c r="FG14" s="75">
        <v>10</v>
      </c>
      <c r="FH14" s="75">
        <v>10</v>
      </c>
      <c r="FI14" s="75"/>
      <c r="FJ14" s="75">
        <v>10</v>
      </c>
      <c r="FK14" s="75">
        <v>10</v>
      </c>
      <c r="FL14" s="75">
        <v>10</v>
      </c>
      <c r="FM14" s="75">
        <v>10</v>
      </c>
      <c r="FN14" s="75">
        <v>10</v>
      </c>
      <c r="FO14" s="75">
        <v>10</v>
      </c>
      <c r="FP14" s="75"/>
      <c r="FQ14" s="75">
        <v>10</v>
      </c>
      <c r="FR14" s="75">
        <v>10</v>
      </c>
      <c r="FS14" s="75">
        <v>10</v>
      </c>
      <c r="FT14" s="75">
        <v>10</v>
      </c>
      <c r="FU14" s="75">
        <v>10</v>
      </c>
      <c r="FV14" s="75">
        <v>10</v>
      </c>
      <c r="FW14" s="75"/>
      <c r="FX14" s="75">
        <v>10</v>
      </c>
      <c r="FY14" s="75">
        <v>14</v>
      </c>
      <c r="FZ14" s="75">
        <v>20</v>
      </c>
      <c r="GA14" s="75">
        <v>14</v>
      </c>
      <c r="GB14" s="75">
        <v>10</v>
      </c>
      <c r="GC14" s="75">
        <v>10</v>
      </c>
      <c r="GD14" s="75"/>
      <c r="GE14" s="75">
        <v>10</v>
      </c>
      <c r="GF14" s="75">
        <v>10</v>
      </c>
      <c r="GG14" s="75">
        <v>10</v>
      </c>
      <c r="GH14" s="75">
        <v>10</v>
      </c>
      <c r="GI14" s="75">
        <v>10</v>
      </c>
      <c r="GJ14" s="75">
        <v>10</v>
      </c>
      <c r="GK14" s="75"/>
      <c r="GL14" s="75">
        <v>10</v>
      </c>
      <c r="GM14" s="75">
        <v>6</v>
      </c>
      <c r="GN14" s="75"/>
      <c r="GO14" s="75"/>
      <c r="GP14" s="75"/>
      <c r="GQ14" s="75">
        <v>2</v>
      </c>
      <c r="GR14" s="75"/>
      <c r="GS14" s="75">
        <v>5</v>
      </c>
      <c r="GT14" s="75">
        <v>5</v>
      </c>
      <c r="GU14" s="75">
        <v>5</v>
      </c>
      <c r="GV14" s="75">
        <v>5</v>
      </c>
      <c r="GW14" s="75">
        <v>5</v>
      </c>
      <c r="GX14" s="75">
        <v>5</v>
      </c>
      <c r="GY14" s="75"/>
      <c r="GZ14" s="75">
        <v>5</v>
      </c>
      <c r="HA14" s="75">
        <v>5</v>
      </c>
      <c r="HB14" s="75">
        <v>15</v>
      </c>
      <c r="HC14" s="75">
        <v>15</v>
      </c>
      <c r="HD14" s="75">
        <v>15</v>
      </c>
      <c r="HE14" s="75">
        <v>15</v>
      </c>
      <c r="HF14" s="75"/>
      <c r="HG14" s="75">
        <v>15</v>
      </c>
      <c r="HH14" s="75">
        <v>15</v>
      </c>
      <c r="HI14" s="75">
        <v>43</v>
      </c>
      <c r="HJ14" s="75">
        <v>50</v>
      </c>
      <c r="HK14" s="75">
        <v>40</v>
      </c>
      <c r="HL14" s="75">
        <v>40</v>
      </c>
      <c r="HM14" s="75"/>
      <c r="HN14" s="75">
        <v>40</v>
      </c>
      <c r="HO14" s="75">
        <v>10</v>
      </c>
      <c r="HP14" s="75"/>
      <c r="HQ14" s="75"/>
      <c r="HR14" s="75"/>
      <c r="HS14" s="75"/>
      <c r="HT14" s="75"/>
      <c r="HU14" s="75"/>
      <c r="HV14" s="75"/>
      <c r="HW14" s="75"/>
      <c r="HX14" s="75"/>
      <c r="HY14" s="75"/>
      <c r="HZ14" s="75"/>
      <c r="IA14" s="75"/>
      <c r="IB14" s="75"/>
      <c r="IC14" s="75">
        <v>8</v>
      </c>
      <c r="ID14" s="75">
        <v>20</v>
      </c>
      <c r="IE14" s="75">
        <v>20</v>
      </c>
      <c r="IF14" s="75">
        <v>20</v>
      </c>
      <c r="IG14" s="75">
        <v>20</v>
      </c>
      <c r="IH14" s="75"/>
      <c r="II14" s="75">
        <v>20</v>
      </c>
      <c r="IJ14" s="75">
        <v>12</v>
      </c>
      <c r="IK14" s="75"/>
      <c r="IL14" s="75"/>
      <c r="IM14" s="75"/>
      <c r="IN14" s="75"/>
      <c r="IO14" s="75"/>
      <c r="IP14" s="75"/>
      <c r="IQ14" s="75"/>
      <c r="IR14" s="75"/>
      <c r="IS14" s="75"/>
      <c r="IT14" s="75"/>
      <c r="IU14" s="75"/>
      <c r="IV14" s="75"/>
      <c r="IW14" s="75"/>
      <c r="IX14" s="75"/>
      <c r="IY14" s="75"/>
      <c r="IZ14" s="75"/>
      <c r="JA14" s="75"/>
      <c r="JB14" s="75">
        <v>1</v>
      </c>
      <c r="JC14" s="75"/>
      <c r="JD14" s="75">
        <v>4</v>
      </c>
      <c r="JE14" s="75">
        <v>4</v>
      </c>
      <c r="JF14" s="75">
        <v>4</v>
      </c>
      <c r="JG14" s="75">
        <v>4</v>
      </c>
      <c r="JH14" s="75">
        <v>4</v>
      </c>
      <c r="JI14" s="75">
        <v>4</v>
      </c>
      <c r="JJ14" s="75"/>
      <c r="JK14" s="75">
        <v>4</v>
      </c>
      <c r="JL14" s="75">
        <v>4</v>
      </c>
      <c r="JM14" s="75">
        <v>4</v>
      </c>
      <c r="JN14" s="75">
        <v>4</v>
      </c>
      <c r="JO14" s="75">
        <v>4</v>
      </c>
      <c r="JP14" s="75">
        <v>4</v>
      </c>
      <c r="JQ14" s="75"/>
      <c r="JR14" s="75"/>
      <c r="JS14" s="75"/>
      <c r="JT14" s="75"/>
      <c r="JU14" s="75"/>
      <c r="JV14" s="75">
        <v>4</v>
      </c>
      <c r="JW14" s="75">
        <v>4</v>
      </c>
      <c r="JX14" s="75"/>
      <c r="JY14" s="75">
        <v>4</v>
      </c>
      <c r="JZ14" s="75">
        <v>4</v>
      </c>
      <c r="KA14" s="75">
        <v>4</v>
      </c>
      <c r="KB14" s="75">
        <v>4</v>
      </c>
      <c r="KC14" s="75">
        <v>4</v>
      </c>
      <c r="KD14" s="75">
        <v>3</v>
      </c>
      <c r="KE14" s="75"/>
      <c r="KF14" s="75"/>
      <c r="KG14" s="75"/>
      <c r="KH14" s="75"/>
      <c r="KI14" s="75"/>
      <c r="KJ14" s="75"/>
      <c r="KK14" s="75"/>
      <c r="KL14" s="75"/>
      <c r="KM14" s="75"/>
      <c r="KN14" s="75"/>
      <c r="KO14" s="75"/>
      <c r="KP14" s="75"/>
      <c r="KQ14" s="75"/>
      <c r="KR14" s="75"/>
      <c r="KS14" s="75"/>
      <c r="KT14" s="75"/>
      <c r="KU14" s="75"/>
      <c r="KV14" s="75"/>
      <c r="KW14" s="75"/>
      <c r="KX14" s="75"/>
      <c r="KY14" s="75">
        <v>10</v>
      </c>
      <c r="KZ14" s="75"/>
      <c r="LA14" s="75">
        <v>10</v>
      </c>
      <c r="LB14" s="75">
        <v>10</v>
      </c>
      <c r="LC14" s="75">
        <v>10</v>
      </c>
      <c r="LD14" s="75">
        <v>10</v>
      </c>
      <c r="LE14" s="75">
        <v>10</v>
      </c>
      <c r="LF14" s="75">
        <v>10</v>
      </c>
      <c r="LG14" s="75"/>
      <c r="LH14" s="75">
        <v>10</v>
      </c>
      <c r="LI14" s="75">
        <v>10</v>
      </c>
      <c r="LJ14" s="75">
        <v>10</v>
      </c>
      <c r="LK14" s="75"/>
      <c r="LL14" s="75"/>
      <c r="LM14" s="75"/>
      <c r="LN14" s="75"/>
      <c r="LO14" s="75"/>
      <c r="LP14" s="75"/>
      <c r="LQ14" s="75"/>
      <c r="LR14" s="75"/>
      <c r="LS14" s="75"/>
      <c r="LT14" s="75"/>
      <c r="LU14" s="75"/>
      <c r="LV14" s="75"/>
      <c r="LW14" s="75"/>
      <c r="LX14" s="75"/>
      <c r="LY14" s="75"/>
      <c r="LZ14" s="75"/>
      <c r="MA14" s="75"/>
      <c r="MB14" s="75"/>
      <c r="MC14" s="75"/>
      <c r="MD14" s="75"/>
      <c r="ME14" s="75"/>
      <c r="MF14" s="75"/>
      <c r="MG14" s="75"/>
      <c r="MH14" s="75"/>
      <c r="MI14" s="75"/>
      <c r="MJ14" s="75"/>
      <c r="MK14" s="75"/>
      <c r="ML14" s="75"/>
      <c r="MM14" s="75"/>
      <c r="MN14" s="75"/>
      <c r="MO14" s="75"/>
      <c r="MP14" s="75"/>
      <c r="MQ14" s="75"/>
      <c r="MR14" s="75"/>
      <c r="MS14" s="75"/>
      <c r="MT14" s="75"/>
      <c r="MU14" s="75"/>
      <c r="MV14" s="75"/>
      <c r="MW14" s="75"/>
      <c r="MX14" s="75"/>
      <c r="MY14" s="75"/>
      <c r="MZ14" s="75"/>
      <c r="NA14" s="75"/>
      <c r="NB14" s="75"/>
      <c r="NC14" s="75"/>
      <c r="ND14" s="75"/>
      <c r="NE14" s="75"/>
      <c r="NF14" s="75"/>
      <c r="NG14" s="75"/>
      <c r="NH14" s="75"/>
      <c r="NI14" s="75"/>
      <c r="NJ14" s="75"/>
      <c r="NK14" s="75"/>
      <c r="NL14" s="75"/>
      <c r="NM14" s="75"/>
      <c r="NN14" s="75"/>
      <c r="NO14" s="75"/>
      <c r="NP14" s="75"/>
      <c r="NQ14" s="75"/>
      <c r="NR14" s="75"/>
      <c r="NS14" s="75"/>
      <c r="NT14" s="75"/>
      <c r="NU14" s="75"/>
      <c r="NV14" s="75"/>
      <c r="NW14" s="75"/>
      <c r="NX14" s="75"/>
      <c r="NY14" s="75"/>
      <c r="NZ14" s="75"/>
      <c r="OA14" s="75"/>
      <c r="OB14" s="75"/>
      <c r="OC14" s="75"/>
      <c r="OD14" s="75"/>
      <c r="OE14" s="75"/>
      <c r="OF14" s="75"/>
      <c r="OG14" s="75"/>
      <c r="OH14" s="75"/>
      <c r="OI14" s="75"/>
      <c r="OJ14" s="75"/>
      <c r="OK14" s="75"/>
      <c r="OL14" s="75"/>
      <c r="OM14" s="75"/>
      <c r="ON14" s="75"/>
      <c r="OO14" s="75"/>
      <c r="OP14" s="75"/>
      <c r="OQ14" s="75"/>
      <c r="OR14" s="75"/>
      <c r="OS14" s="75"/>
      <c r="OT14" s="75"/>
      <c r="OU14" s="75"/>
      <c r="OV14" s="75"/>
      <c r="OW14" s="75"/>
      <c r="OX14" s="75"/>
      <c r="OY14" s="75"/>
      <c r="OZ14" s="75"/>
      <c r="PA14" s="75"/>
      <c r="PB14" s="75"/>
      <c r="PC14" s="75"/>
      <c r="PD14" s="75"/>
      <c r="PE14" s="75"/>
      <c r="PF14" s="75"/>
      <c r="PG14" s="75"/>
      <c r="PH14" s="75"/>
      <c r="PI14" s="75"/>
      <c r="PJ14" s="75"/>
      <c r="PK14" s="75"/>
      <c r="PL14" s="75"/>
      <c r="PM14" s="75"/>
      <c r="PN14" s="75"/>
      <c r="PO14" s="75"/>
      <c r="PP14" s="75"/>
      <c r="PQ14" s="75"/>
      <c r="PR14" s="75"/>
      <c r="PS14" s="75"/>
      <c r="PT14" s="75"/>
      <c r="PU14" s="75"/>
      <c r="PV14" s="75"/>
      <c r="PW14" s="75"/>
      <c r="PX14" s="75"/>
      <c r="PY14" s="75"/>
      <c r="PZ14" s="75"/>
      <c r="QA14" s="75"/>
      <c r="QB14" s="75"/>
      <c r="QC14" s="75"/>
      <c r="QD14" s="75"/>
      <c r="QE14" s="75"/>
      <c r="QF14" s="75"/>
      <c r="QG14" s="75"/>
      <c r="QH14" s="75"/>
      <c r="QI14" s="75"/>
      <c r="QJ14" s="75"/>
      <c r="QK14" s="75"/>
      <c r="QL14" s="75"/>
      <c r="QM14" s="75"/>
      <c r="QN14" s="75"/>
      <c r="QO14" s="75"/>
      <c r="QP14" s="75"/>
      <c r="QQ14" s="75"/>
      <c r="QR14" s="75"/>
      <c r="QS14" s="75"/>
      <c r="QT14" s="75"/>
      <c r="QU14" s="75"/>
      <c r="QV14" s="75"/>
      <c r="QW14" s="75"/>
      <c r="QX14" s="75"/>
      <c r="QY14" s="75"/>
      <c r="QZ14" s="75"/>
      <c r="RA14" s="75"/>
      <c r="RB14" s="75"/>
      <c r="RC14" s="75"/>
      <c r="RD14" s="75"/>
      <c r="RE14" s="75"/>
      <c r="RF14" s="75"/>
      <c r="RG14" s="75"/>
      <c r="RH14" s="75"/>
      <c r="RI14" s="75"/>
      <c r="RJ14" s="75"/>
      <c r="RK14" s="75"/>
      <c r="RL14" s="75"/>
      <c r="RM14" s="75"/>
      <c r="RN14" s="75"/>
      <c r="RO14" s="75"/>
      <c r="RP14" s="75"/>
      <c r="RQ14" s="75"/>
      <c r="RR14" s="75"/>
      <c r="RS14" s="75"/>
      <c r="RT14" s="75"/>
      <c r="RU14" s="75"/>
      <c r="RV14" s="75"/>
      <c r="RW14" s="75"/>
      <c r="RX14" s="75"/>
      <c r="RY14" s="75"/>
      <c r="RZ14" s="75"/>
      <c r="SA14" s="75"/>
      <c r="SB14" s="75"/>
      <c r="SC14" s="75"/>
      <c r="SD14" s="75"/>
      <c r="SE14" s="75"/>
      <c r="SF14" s="75"/>
      <c r="SG14" s="75"/>
      <c r="SH14" s="75"/>
      <c r="SI14" s="75"/>
      <c r="SJ14" s="75"/>
      <c r="SK14" s="75"/>
      <c r="SL14" s="75"/>
      <c r="SM14" s="75"/>
      <c r="SN14" s="75"/>
      <c r="SO14" s="75"/>
      <c r="SP14" s="75"/>
      <c r="SQ14" s="75"/>
      <c r="SR14" s="75"/>
      <c r="SS14" s="75"/>
      <c r="ST14" s="75"/>
      <c r="SU14" s="75"/>
      <c r="SV14" s="75"/>
      <c r="SW14" s="75"/>
      <c r="SX14" s="75"/>
      <c r="SY14" s="75"/>
      <c r="SZ14" s="75"/>
      <c r="TA14" s="75"/>
      <c r="TB14" s="75"/>
      <c r="TC14" s="75"/>
      <c r="TD14" s="75"/>
      <c r="TE14" s="75"/>
      <c r="TF14" s="75"/>
      <c r="TG14" s="75"/>
      <c r="TH14" s="75"/>
      <c r="TI14" s="75"/>
      <c r="TJ14" s="75"/>
      <c r="TK14" s="75"/>
      <c r="TL14" s="75"/>
      <c r="TM14" s="75"/>
      <c r="TN14" s="75"/>
      <c r="TO14" s="75"/>
      <c r="TP14" s="75"/>
      <c r="TQ14" s="75"/>
      <c r="TR14" s="75"/>
      <c r="TS14" s="75"/>
      <c r="TT14" s="75"/>
      <c r="TU14" s="75"/>
      <c r="TV14" s="75"/>
      <c r="TW14" s="75"/>
      <c r="TX14" s="75"/>
      <c r="TY14" s="75"/>
      <c r="TZ14" s="75"/>
      <c r="UA14" s="75"/>
      <c r="UB14" s="75"/>
      <c r="UC14" s="75"/>
      <c r="UD14" s="75"/>
      <c r="UE14" s="75"/>
      <c r="UF14" s="75"/>
      <c r="UG14" s="75"/>
      <c r="UH14" s="75"/>
      <c r="UI14" s="75"/>
      <c r="UJ14" s="75"/>
      <c r="UK14" s="75"/>
      <c r="UL14" s="75"/>
      <c r="UM14" s="75"/>
      <c r="UN14" s="75"/>
      <c r="UO14" s="75"/>
      <c r="UP14" s="75"/>
      <c r="UQ14" s="75"/>
      <c r="UR14" s="75"/>
      <c r="US14" s="75"/>
      <c r="UT14" s="75"/>
      <c r="UU14" s="75"/>
      <c r="UV14" s="75"/>
      <c r="UW14" s="75"/>
      <c r="UX14" s="75"/>
      <c r="UY14" s="75"/>
      <c r="UZ14" s="75"/>
      <c r="VA14" s="75"/>
      <c r="VB14" s="75"/>
      <c r="VC14" s="75"/>
      <c r="VD14" s="75"/>
      <c r="VE14" s="75"/>
      <c r="VF14" s="75"/>
      <c r="VG14" s="75"/>
      <c r="VH14" s="75"/>
      <c r="VI14" s="75"/>
      <c r="VJ14" s="75"/>
      <c r="VK14" s="75"/>
      <c r="VL14" s="75"/>
      <c r="VM14" s="75"/>
      <c r="VN14" s="75"/>
      <c r="VO14" s="75"/>
      <c r="VP14" s="75"/>
      <c r="VQ14" s="75"/>
      <c r="VR14" s="75"/>
      <c r="VS14" s="75"/>
      <c r="VT14" s="75"/>
      <c r="VU14" s="75"/>
      <c r="VV14" s="75"/>
      <c r="VW14" s="75"/>
      <c r="VX14" s="75"/>
      <c r="VY14" s="75"/>
      <c r="VZ14" s="75"/>
      <c r="WA14" s="75"/>
      <c r="WB14" s="75"/>
      <c r="WC14" s="75"/>
      <c r="WD14" s="75"/>
      <c r="WE14" s="75"/>
      <c r="WF14" s="75"/>
      <c r="WG14" s="75"/>
      <c r="WH14" s="75"/>
      <c r="WI14" s="75"/>
      <c r="WJ14" s="75"/>
      <c r="WK14" s="75"/>
      <c r="WL14" s="75"/>
      <c r="WM14" s="75"/>
      <c r="WN14" s="75"/>
      <c r="WO14" s="75"/>
      <c r="WP14" s="75"/>
      <c r="WQ14" s="75"/>
      <c r="WR14" s="75"/>
      <c r="WS14" s="75"/>
      <c r="WT14" s="75"/>
      <c r="WU14" s="75"/>
      <c r="WV14" s="75"/>
      <c r="WW14" s="75"/>
      <c r="WX14" s="75"/>
      <c r="WY14" s="75"/>
      <c r="WZ14" s="75"/>
      <c r="XA14" s="75"/>
      <c r="XB14" s="75"/>
      <c r="XC14" s="75"/>
      <c r="XD14" s="75"/>
      <c r="XE14" s="75"/>
      <c r="XF14" s="75"/>
      <c r="XG14" s="75"/>
      <c r="XH14" s="75"/>
      <c r="XI14" s="75"/>
      <c r="XJ14" s="75"/>
      <c r="XK14" s="75"/>
      <c r="XL14" s="75"/>
      <c r="XM14" s="75"/>
      <c r="XN14" s="75"/>
      <c r="XO14" s="75"/>
      <c r="XP14" s="75"/>
      <c r="XQ14" s="75"/>
      <c r="XR14" s="75"/>
      <c r="XS14" s="75"/>
      <c r="XT14" s="75"/>
      <c r="XU14" s="75"/>
      <c r="XV14" s="75"/>
      <c r="XW14" s="75"/>
      <c r="XX14" s="75"/>
      <c r="XY14" s="75"/>
      <c r="XZ14" s="75"/>
      <c r="YA14" s="75"/>
      <c r="YB14" s="75"/>
      <c r="YC14" s="75"/>
      <c r="YD14" s="75"/>
      <c r="YE14" s="75"/>
      <c r="YF14" s="75"/>
      <c r="YG14" s="75"/>
      <c r="YH14" s="75"/>
      <c r="YI14" s="75"/>
      <c r="YJ14" s="75"/>
      <c r="YK14" s="75"/>
      <c r="YL14" s="75"/>
      <c r="YM14" s="75"/>
      <c r="YN14" s="75"/>
      <c r="YO14" s="75"/>
      <c r="YP14" s="75"/>
      <c r="YQ14" s="75"/>
      <c r="YR14" s="75"/>
      <c r="YS14" s="75"/>
      <c r="YT14" s="75"/>
      <c r="YU14" s="75"/>
      <c r="YV14" s="75"/>
      <c r="YW14" s="75"/>
      <c r="YX14" s="75"/>
      <c r="YY14" s="75"/>
      <c r="YZ14" s="75"/>
      <c r="ZA14" s="75"/>
      <c r="ZB14" s="75"/>
      <c r="ZC14" s="75"/>
      <c r="ZD14" s="75"/>
      <c r="ZE14" s="75"/>
      <c r="ZF14" s="75"/>
      <c r="ZG14" s="75"/>
      <c r="ZH14" s="75"/>
      <c r="ZI14" s="75"/>
      <c r="ZJ14" s="75"/>
      <c r="ZK14" s="75"/>
      <c r="ZL14" s="75"/>
      <c r="ZM14" s="75"/>
      <c r="ZN14" s="75"/>
      <c r="ZO14" s="75"/>
      <c r="ZP14" s="75"/>
      <c r="ZQ14" s="75"/>
      <c r="ZR14" s="75"/>
      <c r="ZS14" s="75"/>
      <c r="ZT14" s="75"/>
      <c r="ZU14" s="75"/>
      <c r="ZV14" s="75"/>
      <c r="ZW14" s="75"/>
      <c r="ZX14" s="75"/>
      <c r="ZY14" s="75"/>
      <c r="ZZ14" s="75"/>
      <c r="AAA14" s="75"/>
      <c r="AAB14" s="75"/>
      <c r="AAC14" s="75"/>
      <c r="AAD14" s="75"/>
      <c r="AAE14" s="75"/>
      <c r="AAF14" s="75"/>
      <c r="AAG14" s="75"/>
      <c r="AAH14" s="75"/>
      <c r="AAI14" s="75"/>
      <c r="AAJ14" s="75"/>
      <c r="AAK14" s="75"/>
      <c r="AAL14" s="75"/>
      <c r="AAM14" s="75"/>
      <c r="AAN14" s="75"/>
      <c r="AAO14" s="75"/>
      <c r="AAP14" s="75"/>
      <c r="AAQ14" s="75"/>
      <c r="AAR14" s="75"/>
      <c r="AAS14" s="75"/>
      <c r="AAT14" s="75"/>
      <c r="AAU14" s="75"/>
      <c r="AAV14" s="75"/>
      <c r="AAW14" s="75"/>
      <c r="AAX14" s="75"/>
      <c r="AAY14" s="75"/>
      <c r="AAZ14" s="75"/>
      <c r="ABA14" s="75"/>
      <c r="ABB14" s="75"/>
      <c r="ABC14" s="75"/>
    </row>
    <row r="15" spans="1:731">
      <c r="A15" s="75" t="s">
        <v>52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5"/>
      <c r="BF15" s="75"/>
      <c r="BG15" s="75"/>
      <c r="BH15" s="75"/>
      <c r="BI15" s="75"/>
      <c r="BJ15" s="75"/>
      <c r="BK15" s="75"/>
      <c r="BL15" s="75"/>
      <c r="BM15" s="75"/>
      <c r="BN15" s="75"/>
      <c r="BO15" s="75"/>
      <c r="BP15" s="75"/>
      <c r="BQ15" s="75"/>
      <c r="BR15" s="75"/>
      <c r="BS15" s="75"/>
      <c r="BT15" s="75"/>
      <c r="BU15" s="75"/>
      <c r="BV15" s="75"/>
      <c r="BW15" s="75"/>
      <c r="BX15" s="75"/>
      <c r="BY15" s="75"/>
      <c r="BZ15" s="75"/>
      <c r="CA15" s="75"/>
      <c r="CB15" s="75"/>
      <c r="CC15" s="75"/>
      <c r="CD15" s="75"/>
      <c r="CE15" s="75"/>
      <c r="CF15" s="75"/>
      <c r="CG15" s="75"/>
      <c r="CH15" s="75"/>
      <c r="CI15" s="75"/>
      <c r="CJ15" s="75"/>
      <c r="CK15" s="75"/>
      <c r="CL15" s="75"/>
      <c r="CM15" s="75"/>
      <c r="CN15" s="75"/>
      <c r="CO15" s="75"/>
      <c r="CP15" s="75"/>
      <c r="CQ15" s="75"/>
      <c r="CR15" s="75"/>
      <c r="CS15" s="75"/>
      <c r="CT15" s="75"/>
      <c r="CU15" s="75"/>
      <c r="CV15" s="75"/>
      <c r="CW15" s="75"/>
      <c r="CX15" s="75"/>
      <c r="CY15" s="75"/>
      <c r="CZ15" s="75"/>
      <c r="DA15" s="75"/>
      <c r="DB15" s="75"/>
      <c r="DC15" s="75"/>
      <c r="DD15" s="75"/>
      <c r="DE15" s="75"/>
      <c r="DF15" s="75"/>
      <c r="DG15" s="75"/>
      <c r="DH15" s="75"/>
      <c r="DI15" s="75"/>
      <c r="DJ15" s="75"/>
      <c r="DK15" s="75"/>
      <c r="DL15" s="75"/>
      <c r="DM15" s="75"/>
      <c r="DN15" s="75"/>
      <c r="DO15" s="75"/>
      <c r="DP15" s="75"/>
      <c r="DQ15" s="75"/>
      <c r="DR15" s="75"/>
      <c r="DS15" s="75"/>
      <c r="DT15" s="75"/>
      <c r="DU15" s="75"/>
      <c r="DV15" s="75"/>
      <c r="DW15" s="75"/>
      <c r="DX15" s="75"/>
      <c r="DY15" s="75"/>
      <c r="DZ15" s="75"/>
      <c r="EA15" s="75"/>
      <c r="EB15" s="75"/>
      <c r="EC15" s="75"/>
      <c r="ED15" s="75"/>
      <c r="EE15" s="75"/>
      <c r="EF15" s="75"/>
      <c r="EG15" s="75"/>
      <c r="EH15" s="75"/>
      <c r="EI15" s="75"/>
      <c r="EJ15" s="75"/>
      <c r="EK15" s="75"/>
      <c r="EL15" s="75"/>
      <c r="EM15" s="75"/>
      <c r="EN15" s="75"/>
      <c r="EO15" s="75"/>
      <c r="EP15" s="75"/>
      <c r="EQ15" s="75"/>
      <c r="ER15" s="75"/>
      <c r="ES15" s="75"/>
      <c r="ET15" s="75"/>
      <c r="EU15" s="75"/>
      <c r="EV15" s="75"/>
      <c r="EW15" s="75"/>
      <c r="EX15" s="75"/>
      <c r="EY15" s="75"/>
      <c r="EZ15" s="75"/>
      <c r="FA15" s="75"/>
      <c r="FB15" s="75"/>
      <c r="FC15" s="75"/>
      <c r="FD15" s="75"/>
      <c r="FE15" s="75"/>
      <c r="FF15" s="75"/>
      <c r="FG15" s="75"/>
      <c r="FH15" s="75"/>
      <c r="FI15" s="75"/>
      <c r="FJ15" s="75"/>
      <c r="FK15" s="75"/>
      <c r="FL15" s="75"/>
      <c r="FM15" s="75"/>
      <c r="FN15" s="75"/>
      <c r="FO15" s="75"/>
      <c r="FP15" s="75"/>
      <c r="FQ15" s="75"/>
      <c r="FR15" s="75"/>
      <c r="FS15" s="75"/>
      <c r="FT15" s="75"/>
      <c r="FU15" s="75"/>
      <c r="FV15" s="75"/>
      <c r="FW15" s="75"/>
      <c r="FX15" s="75"/>
      <c r="FY15" s="75"/>
      <c r="FZ15" s="75"/>
      <c r="GA15" s="75"/>
      <c r="GB15" s="75"/>
      <c r="GC15" s="75"/>
      <c r="GD15" s="75"/>
      <c r="GE15" s="75"/>
      <c r="GF15" s="75"/>
      <c r="GG15" s="75"/>
      <c r="GH15" s="75"/>
      <c r="GI15" s="75"/>
      <c r="GJ15" s="75"/>
      <c r="GK15" s="75"/>
      <c r="GL15" s="75"/>
      <c r="GM15" s="75"/>
      <c r="GN15" s="75"/>
      <c r="GO15" s="75"/>
      <c r="GP15" s="75"/>
      <c r="GQ15" s="75"/>
      <c r="GR15" s="75"/>
      <c r="GS15" s="75"/>
      <c r="GT15" s="75"/>
      <c r="GU15" s="75"/>
      <c r="GV15" s="75"/>
      <c r="GW15" s="75"/>
      <c r="GX15" s="75"/>
      <c r="GY15" s="75"/>
      <c r="GZ15" s="75"/>
      <c r="HA15" s="75"/>
      <c r="HB15" s="75"/>
      <c r="HC15" s="75"/>
      <c r="HD15" s="75"/>
      <c r="HE15" s="75"/>
      <c r="HF15" s="75"/>
      <c r="HG15" s="75"/>
      <c r="HH15" s="75"/>
      <c r="HI15" s="75"/>
      <c r="HJ15" s="75"/>
      <c r="HK15" s="75"/>
      <c r="HL15" s="75"/>
      <c r="HM15" s="75"/>
      <c r="HN15" s="75"/>
      <c r="HO15" s="75"/>
      <c r="HP15" s="75"/>
      <c r="HQ15" s="75"/>
      <c r="HR15" s="75"/>
      <c r="HS15" s="75"/>
      <c r="HT15" s="75"/>
      <c r="HU15" s="75"/>
      <c r="HV15" s="75"/>
      <c r="HW15" s="75"/>
      <c r="HX15" s="75"/>
      <c r="HY15" s="75"/>
      <c r="HZ15" s="75"/>
      <c r="IA15" s="75"/>
      <c r="IB15" s="75"/>
      <c r="IC15" s="75"/>
      <c r="ID15" s="75"/>
      <c r="IE15" s="75"/>
      <c r="IF15" s="75"/>
      <c r="IG15" s="75"/>
      <c r="IH15" s="75"/>
      <c r="II15" s="75"/>
      <c r="IJ15" s="75"/>
      <c r="IK15" s="75"/>
      <c r="IL15" s="75"/>
      <c r="IM15" s="75"/>
      <c r="IN15" s="75"/>
      <c r="IO15" s="75"/>
      <c r="IP15" s="75"/>
      <c r="IQ15" s="75"/>
      <c r="IR15" s="75"/>
      <c r="IS15" s="75"/>
      <c r="IT15" s="75"/>
      <c r="IU15" s="75"/>
      <c r="IV15" s="75"/>
      <c r="IW15" s="75"/>
      <c r="IX15" s="75"/>
      <c r="IY15" s="75"/>
      <c r="IZ15" s="75"/>
      <c r="JA15" s="75"/>
      <c r="JB15" s="75"/>
      <c r="JC15" s="75"/>
      <c r="JD15" s="75"/>
      <c r="JE15" s="75"/>
      <c r="JF15" s="75"/>
      <c r="JG15" s="75"/>
      <c r="JH15" s="75"/>
      <c r="JI15" s="75"/>
      <c r="JJ15" s="75"/>
      <c r="JK15" s="75"/>
      <c r="JL15" s="75"/>
      <c r="JM15" s="75"/>
      <c r="JN15" s="75"/>
      <c r="JO15" s="75"/>
      <c r="JP15" s="75"/>
      <c r="JQ15" s="75"/>
      <c r="JR15" s="75"/>
      <c r="JS15" s="75"/>
      <c r="JT15" s="75"/>
      <c r="JU15" s="75"/>
      <c r="JV15" s="75"/>
      <c r="JW15" s="75"/>
      <c r="JX15" s="75"/>
      <c r="JY15" s="75"/>
      <c r="JZ15" s="75"/>
      <c r="KA15" s="75"/>
      <c r="KB15" s="75"/>
      <c r="KC15" s="75"/>
      <c r="KD15" s="75"/>
      <c r="KE15" s="75"/>
      <c r="KF15" s="75"/>
      <c r="KG15" s="75"/>
      <c r="KH15" s="75"/>
      <c r="KI15" s="75"/>
      <c r="KJ15" s="75"/>
      <c r="KK15" s="75"/>
      <c r="KL15" s="75"/>
      <c r="KM15" s="75"/>
      <c r="KN15" s="75"/>
      <c r="KO15" s="75"/>
      <c r="KP15" s="75"/>
      <c r="KQ15" s="75"/>
      <c r="KR15" s="75"/>
      <c r="KS15" s="75"/>
      <c r="KT15" s="75"/>
      <c r="KU15" s="75"/>
      <c r="KV15" s="75"/>
      <c r="KW15" s="75"/>
      <c r="KX15" s="75"/>
      <c r="KY15" s="75"/>
      <c r="KZ15" s="75"/>
      <c r="LA15" s="75"/>
      <c r="LB15" s="75"/>
      <c r="LC15" s="75"/>
      <c r="LD15" s="75"/>
      <c r="LE15" s="75"/>
      <c r="LF15" s="75"/>
      <c r="LG15" s="75"/>
      <c r="LH15" s="75"/>
      <c r="LI15" s="75"/>
      <c r="LJ15" s="75"/>
      <c r="LK15" s="75"/>
      <c r="LL15" s="75"/>
      <c r="LM15" s="75"/>
      <c r="LN15" s="75"/>
      <c r="LO15" s="75"/>
      <c r="LP15" s="75"/>
      <c r="LQ15" s="75"/>
      <c r="LR15" s="75"/>
      <c r="LS15" s="75"/>
      <c r="LT15" s="75"/>
      <c r="LU15" s="75"/>
      <c r="LV15" s="75"/>
      <c r="LW15" s="75"/>
      <c r="LX15" s="75"/>
      <c r="LY15" s="75"/>
      <c r="LZ15" s="75"/>
      <c r="MA15" s="75"/>
      <c r="MB15" s="75"/>
      <c r="MC15" s="75"/>
      <c r="MD15" s="75"/>
      <c r="ME15" s="75"/>
      <c r="MF15" s="75"/>
      <c r="MG15" s="75"/>
      <c r="MH15" s="75"/>
      <c r="MI15" s="75"/>
      <c r="MJ15" s="75"/>
      <c r="MK15" s="75"/>
      <c r="ML15" s="75"/>
      <c r="MM15" s="75"/>
      <c r="MN15" s="75"/>
      <c r="MO15" s="75"/>
      <c r="MP15" s="75"/>
      <c r="MQ15" s="75"/>
      <c r="MR15" s="75"/>
      <c r="MS15" s="75"/>
      <c r="MT15" s="75"/>
      <c r="MU15" s="75"/>
      <c r="MV15" s="75"/>
      <c r="MW15" s="75"/>
      <c r="MX15" s="75"/>
      <c r="MY15" s="75"/>
      <c r="MZ15" s="75"/>
      <c r="NA15" s="75"/>
      <c r="NB15" s="75"/>
      <c r="NC15" s="75"/>
      <c r="ND15" s="75"/>
      <c r="NE15" s="75"/>
      <c r="NF15" s="75"/>
      <c r="NG15" s="75"/>
      <c r="NH15" s="75"/>
      <c r="NI15" s="75"/>
      <c r="NJ15" s="75"/>
      <c r="NK15" s="75"/>
      <c r="NL15" s="75"/>
      <c r="NM15" s="75"/>
      <c r="NN15" s="75"/>
      <c r="NO15" s="75"/>
      <c r="NP15" s="75"/>
      <c r="NQ15" s="75"/>
      <c r="NR15" s="75"/>
      <c r="NS15" s="75"/>
      <c r="NT15" s="75"/>
      <c r="NU15" s="75"/>
      <c r="NV15" s="75"/>
      <c r="NW15" s="75"/>
      <c r="NX15" s="75"/>
      <c r="NY15" s="75"/>
      <c r="NZ15" s="75"/>
      <c r="OA15" s="75"/>
      <c r="OB15" s="75"/>
      <c r="OC15" s="75"/>
      <c r="OD15" s="75"/>
      <c r="OE15" s="75"/>
      <c r="OF15" s="75"/>
      <c r="OG15" s="75"/>
      <c r="OH15" s="75"/>
      <c r="OI15" s="75"/>
      <c r="OJ15" s="75"/>
      <c r="OK15" s="75"/>
      <c r="OL15" s="75"/>
      <c r="OM15" s="75"/>
      <c r="ON15" s="75"/>
      <c r="OO15" s="75"/>
      <c r="OP15" s="75"/>
      <c r="OQ15" s="75"/>
      <c r="OR15" s="75"/>
      <c r="OS15" s="75"/>
      <c r="OT15" s="75"/>
      <c r="OU15" s="75"/>
      <c r="OV15" s="75"/>
      <c r="OW15" s="75"/>
      <c r="OX15" s="75"/>
      <c r="OY15" s="75"/>
      <c r="OZ15" s="75"/>
      <c r="PA15" s="75"/>
      <c r="PB15" s="75"/>
      <c r="PC15" s="75"/>
      <c r="PD15" s="75"/>
      <c r="PE15" s="75"/>
      <c r="PF15" s="75"/>
      <c r="PG15" s="75"/>
      <c r="PH15" s="75"/>
      <c r="PI15" s="75"/>
      <c r="PJ15" s="75"/>
      <c r="PK15" s="75"/>
      <c r="PL15" s="75"/>
      <c r="PM15" s="75"/>
      <c r="PN15" s="75"/>
      <c r="PO15" s="75"/>
      <c r="PP15" s="75"/>
      <c r="PQ15" s="75"/>
      <c r="PR15" s="75"/>
      <c r="PS15" s="75"/>
      <c r="PT15" s="75"/>
      <c r="PU15" s="75"/>
      <c r="PV15" s="75"/>
      <c r="PW15" s="75"/>
      <c r="PX15" s="75"/>
      <c r="PY15" s="75"/>
      <c r="PZ15" s="75"/>
      <c r="QA15" s="75"/>
      <c r="QB15" s="75"/>
      <c r="QC15" s="75"/>
      <c r="QD15" s="75"/>
      <c r="QE15" s="75"/>
      <c r="QF15" s="75"/>
      <c r="QG15" s="75"/>
      <c r="QH15" s="75">
        <v>20</v>
      </c>
      <c r="QI15" s="75">
        <v>20</v>
      </c>
      <c r="QJ15" s="75"/>
      <c r="QK15" s="75">
        <v>20</v>
      </c>
      <c r="QL15" s="75">
        <v>20</v>
      </c>
      <c r="QM15" s="75">
        <v>24</v>
      </c>
      <c r="QN15" s="75">
        <v>50</v>
      </c>
      <c r="QO15" s="75">
        <v>60</v>
      </c>
      <c r="QP15" s="75">
        <v>60</v>
      </c>
      <c r="QQ15" s="75"/>
      <c r="QR15" s="75">
        <v>60</v>
      </c>
      <c r="QS15" s="75">
        <v>60</v>
      </c>
      <c r="QT15" s="75">
        <v>60</v>
      </c>
      <c r="QU15" s="75">
        <v>60</v>
      </c>
      <c r="QV15" s="75">
        <v>60</v>
      </c>
      <c r="QW15" s="75">
        <v>60</v>
      </c>
      <c r="QX15" s="75"/>
      <c r="QY15" s="75">
        <v>60</v>
      </c>
      <c r="QZ15" s="75">
        <v>60</v>
      </c>
      <c r="RA15" s="75">
        <v>60</v>
      </c>
      <c r="RB15" s="75">
        <v>66</v>
      </c>
      <c r="RC15" s="75">
        <v>66</v>
      </c>
      <c r="RD15" s="75">
        <v>66</v>
      </c>
      <c r="RE15" s="75"/>
      <c r="RF15" s="75">
        <v>66</v>
      </c>
      <c r="RG15" s="75">
        <v>67</v>
      </c>
      <c r="RH15" s="75">
        <v>72</v>
      </c>
      <c r="RI15" s="75">
        <v>72</v>
      </c>
      <c r="RJ15" s="75">
        <v>75</v>
      </c>
      <c r="RK15" s="75">
        <v>78</v>
      </c>
      <c r="RL15" s="75"/>
      <c r="RM15" s="75">
        <v>78</v>
      </c>
      <c r="RN15" s="75">
        <v>52</v>
      </c>
      <c r="RO15" s="75">
        <v>52</v>
      </c>
      <c r="RP15" s="75">
        <v>52</v>
      </c>
      <c r="RQ15" s="75">
        <v>52</v>
      </c>
      <c r="RR15" s="75">
        <v>47</v>
      </c>
      <c r="RS15" s="75"/>
      <c r="RT15" s="75">
        <v>16</v>
      </c>
      <c r="RU15" s="75">
        <v>6</v>
      </c>
      <c r="RV15" s="75">
        <v>3</v>
      </c>
      <c r="RW15" s="75"/>
      <c r="RX15" s="75"/>
      <c r="RY15" s="75"/>
      <c r="RZ15" s="75"/>
      <c r="SA15" s="75"/>
      <c r="SB15" s="75">
        <v>4</v>
      </c>
      <c r="SC15" s="75">
        <v>20</v>
      </c>
      <c r="SD15" s="75">
        <v>20</v>
      </c>
      <c r="SE15" s="75">
        <v>20</v>
      </c>
      <c r="SF15" s="75">
        <v>20</v>
      </c>
      <c r="SG15" s="75"/>
      <c r="SH15" s="75">
        <v>20</v>
      </c>
      <c r="SI15" s="75">
        <v>20</v>
      </c>
      <c r="SJ15" s="75">
        <v>20</v>
      </c>
      <c r="SK15" s="75">
        <v>20</v>
      </c>
      <c r="SL15" s="75">
        <v>20</v>
      </c>
      <c r="SM15" s="75">
        <v>20</v>
      </c>
      <c r="SN15" s="75"/>
      <c r="SO15" s="75">
        <v>24</v>
      </c>
      <c r="SP15" s="75">
        <v>40</v>
      </c>
      <c r="SQ15" s="75">
        <v>40</v>
      </c>
      <c r="SR15" s="75">
        <v>40</v>
      </c>
      <c r="SS15" s="75">
        <v>40</v>
      </c>
      <c r="ST15" s="75">
        <v>40</v>
      </c>
      <c r="SU15" s="75"/>
      <c r="SV15" s="75">
        <v>40</v>
      </c>
      <c r="SW15" s="75">
        <v>40</v>
      </c>
      <c r="SX15" s="75">
        <v>40</v>
      </c>
      <c r="SY15" s="75">
        <v>40</v>
      </c>
      <c r="SZ15" s="75">
        <v>40</v>
      </c>
      <c r="TA15" s="75">
        <v>44</v>
      </c>
      <c r="TB15" s="75"/>
      <c r="TC15" s="75">
        <v>60</v>
      </c>
      <c r="TD15" s="75">
        <v>60</v>
      </c>
      <c r="TE15" s="75">
        <v>60</v>
      </c>
      <c r="TF15" s="75">
        <v>62</v>
      </c>
      <c r="TG15" s="75">
        <v>58</v>
      </c>
      <c r="TH15" s="75">
        <v>42</v>
      </c>
      <c r="TI15" s="75"/>
      <c r="TJ15" s="75">
        <v>42</v>
      </c>
      <c r="TK15" s="75">
        <v>42</v>
      </c>
      <c r="TL15" s="75">
        <v>42</v>
      </c>
      <c r="TM15" s="75">
        <v>42</v>
      </c>
      <c r="TN15" s="75">
        <v>42</v>
      </c>
      <c r="TO15" s="75">
        <v>42</v>
      </c>
      <c r="TP15" s="75"/>
      <c r="TQ15" s="75">
        <v>42</v>
      </c>
      <c r="TR15" s="75">
        <v>54</v>
      </c>
      <c r="TS15" s="75">
        <v>82</v>
      </c>
      <c r="TT15" s="75">
        <v>81</v>
      </c>
      <c r="TU15" s="75">
        <v>81</v>
      </c>
      <c r="TV15" s="75">
        <v>98</v>
      </c>
      <c r="TW15" s="75"/>
      <c r="TX15" s="75">
        <v>112</v>
      </c>
      <c r="TY15" s="75">
        <v>112</v>
      </c>
      <c r="TZ15" s="75">
        <v>112</v>
      </c>
      <c r="UA15" s="75">
        <v>112</v>
      </c>
      <c r="UB15" s="75">
        <v>112</v>
      </c>
      <c r="UC15" s="75">
        <v>112</v>
      </c>
      <c r="UD15" s="75"/>
      <c r="UE15" s="75">
        <v>112</v>
      </c>
      <c r="UF15" s="75">
        <v>112</v>
      </c>
      <c r="UG15" s="75">
        <v>116</v>
      </c>
      <c r="UH15" s="75">
        <v>114</v>
      </c>
      <c r="UI15" s="75">
        <v>118</v>
      </c>
      <c r="UJ15" s="75">
        <v>130</v>
      </c>
      <c r="UK15" s="75"/>
      <c r="UL15" s="75">
        <v>117</v>
      </c>
      <c r="UM15" s="75">
        <v>109</v>
      </c>
      <c r="UN15" s="75">
        <v>96</v>
      </c>
      <c r="UO15" s="75">
        <v>96</v>
      </c>
      <c r="UP15" s="75">
        <v>96</v>
      </c>
      <c r="UQ15" s="75">
        <v>104</v>
      </c>
      <c r="UR15" s="75"/>
      <c r="US15" s="75">
        <v>116</v>
      </c>
      <c r="UT15" s="75">
        <v>137</v>
      </c>
      <c r="UU15" s="75">
        <v>144</v>
      </c>
      <c r="UV15" s="75">
        <v>168</v>
      </c>
      <c r="UW15" s="75">
        <v>170</v>
      </c>
      <c r="UX15" s="75">
        <v>134</v>
      </c>
      <c r="UY15" s="75"/>
      <c r="UZ15" s="75">
        <v>122</v>
      </c>
      <c r="VA15" s="75">
        <v>124</v>
      </c>
      <c r="VB15" s="75">
        <v>124</v>
      </c>
      <c r="VC15" s="75">
        <v>117</v>
      </c>
      <c r="VD15" s="75">
        <v>104</v>
      </c>
      <c r="VE15" s="75">
        <v>100</v>
      </c>
      <c r="VF15" s="75"/>
      <c r="VG15" s="75">
        <v>100</v>
      </c>
      <c r="VH15" s="75">
        <v>92</v>
      </c>
      <c r="VI15" s="75">
        <v>80</v>
      </c>
      <c r="VJ15" s="75">
        <v>80</v>
      </c>
      <c r="VK15" s="75">
        <v>80</v>
      </c>
      <c r="VL15" s="75">
        <v>80</v>
      </c>
      <c r="VM15" s="75"/>
      <c r="VN15" s="75">
        <v>100</v>
      </c>
      <c r="VO15" s="75">
        <v>105</v>
      </c>
      <c r="VP15" s="75">
        <v>124</v>
      </c>
      <c r="VQ15" s="75">
        <v>124</v>
      </c>
      <c r="VR15" s="75">
        <v>121</v>
      </c>
      <c r="VS15" s="75">
        <v>102</v>
      </c>
      <c r="VT15" s="75"/>
      <c r="VU15" s="75">
        <v>102</v>
      </c>
      <c r="VV15" s="75">
        <v>100</v>
      </c>
      <c r="VW15" s="75">
        <v>100</v>
      </c>
      <c r="VX15" s="75">
        <v>100</v>
      </c>
      <c r="VY15" s="75">
        <v>60</v>
      </c>
      <c r="VZ15" s="75">
        <v>52</v>
      </c>
      <c r="WA15" s="75"/>
      <c r="WB15" s="75">
        <v>20</v>
      </c>
      <c r="WC15" s="75">
        <v>20</v>
      </c>
      <c r="WD15" s="75">
        <v>20</v>
      </c>
      <c r="WE15" s="75">
        <v>20</v>
      </c>
      <c r="WF15" s="75">
        <v>20</v>
      </c>
      <c r="WG15" s="75">
        <v>20</v>
      </c>
      <c r="WH15" s="75"/>
      <c r="WI15" s="75">
        <v>20</v>
      </c>
      <c r="WJ15" s="75">
        <v>20</v>
      </c>
      <c r="WK15" s="75">
        <v>20</v>
      </c>
      <c r="WL15" s="75">
        <v>20</v>
      </c>
      <c r="WM15" s="75">
        <v>20</v>
      </c>
      <c r="WN15" s="75">
        <v>14</v>
      </c>
      <c r="WO15" s="75"/>
      <c r="WP15" s="75"/>
      <c r="WQ15" s="75"/>
      <c r="WR15" s="75"/>
      <c r="WS15" s="75"/>
      <c r="WT15" s="75"/>
      <c r="WU15" s="75"/>
      <c r="WV15" s="75"/>
      <c r="WW15" s="75"/>
      <c r="WX15" s="75"/>
      <c r="WY15" s="75"/>
      <c r="WZ15" s="75"/>
      <c r="XA15" s="75"/>
      <c r="XB15" s="75"/>
      <c r="XC15" s="75"/>
      <c r="XD15" s="75"/>
      <c r="XE15" s="75"/>
      <c r="XF15" s="75"/>
      <c r="XG15" s="75"/>
      <c r="XH15" s="75"/>
      <c r="XI15" s="75"/>
      <c r="XJ15" s="75"/>
      <c r="XK15" s="75"/>
      <c r="XL15" s="75"/>
      <c r="XM15" s="75"/>
      <c r="XN15" s="75"/>
      <c r="XO15" s="75"/>
      <c r="XP15" s="75"/>
      <c r="XQ15" s="75"/>
      <c r="XR15" s="75"/>
      <c r="XS15" s="75"/>
      <c r="XT15" s="75"/>
      <c r="XU15" s="75"/>
      <c r="XV15" s="75"/>
      <c r="XW15" s="75"/>
      <c r="XX15" s="75"/>
      <c r="XY15" s="75"/>
      <c r="XZ15" s="75"/>
      <c r="YA15" s="75"/>
      <c r="YB15" s="75"/>
      <c r="YC15" s="75"/>
      <c r="YD15" s="75"/>
      <c r="YE15" s="75"/>
      <c r="YF15" s="75"/>
      <c r="YG15" s="75"/>
      <c r="YH15" s="75"/>
      <c r="YI15" s="75"/>
      <c r="YJ15" s="75"/>
      <c r="YK15" s="75"/>
      <c r="YL15" s="75"/>
      <c r="YM15" s="75"/>
      <c r="YN15" s="75"/>
      <c r="YO15" s="75"/>
      <c r="YP15" s="75"/>
      <c r="YQ15" s="75"/>
      <c r="YR15" s="75"/>
      <c r="YS15" s="75"/>
      <c r="YT15" s="75"/>
      <c r="YU15" s="75"/>
      <c r="YV15" s="75"/>
      <c r="YW15" s="75"/>
      <c r="YX15" s="75"/>
      <c r="YY15" s="75"/>
      <c r="YZ15" s="75"/>
      <c r="ZA15" s="75"/>
      <c r="ZB15" s="75"/>
      <c r="ZC15" s="75"/>
      <c r="ZD15" s="75"/>
      <c r="ZE15" s="75"/>
      <c r="ZF15" s="75"/>
      <c r="ZG15" s="75"/>
      <c r="ZH15" s="75"/>
      <c r="ZI15" s="75"/>
      <c r="ZJ15" s="75"/>
      <c r="ZK15" s="75"/>
      <c r="ZL15" s="75"/>
      <c r="ZM15" s="75"/>
      <c r="ZN15" s="75"/>
      <c r="ZO15" s="75"/>
      <c r="ZP15" s="75"/>
      <c r="ZQ15" s="75"/>
      <c r="ZR15" s="75"/>
      <c r="ZS15" s="75"/>
      <c r="ZT15" s="75"/>
      <c r="ZU15" s="75"/>
      <c r="ZV15" s="75"/>
      <c r="ZW15" s="75"/>
      <c r="ZX15" s="75"/>
      <c r="ZY15" s="75"/>
      <c r="ZZ15" s="75"/>
      <c r="AAA15" s="75"/>
      <c r="AAB15" s="75"/>
      <c r="AAC15" s="75"/>
      <c r="AAD15" s="75"/>
      <c r="AAE15" s="75"/>
      <c r="AAF15" s="75"/>
      <c r="AAG15" s="75"/>
      <c r="AAH15" s="75"/>
      <c r="AAI15" s="75"/>
      <c r="AAJ15" s="75"/>
      <c r="AAK15" s="75"/>
      <c r="AAL15" s="75"/>
      <c r="AAM15" s="75"/>
      <c r="AAN15" s="75"/>
      <c r="AAO15" s="75"/>
      <c r="AAP15" s="75"/>
      <c r="AAQ15" s="75"/>
      <c r="AAR15" s="75"/>
      <c r="AAS15" s="75"/>
      <c r="AAT15" s="75"/>
      <c r="AAU15" s="75"/>
      <c r="AAV15" s="75"/>
      <c r="AAW15" s="75"/>
      <c r="AAX15" s="75"/>
      <c r="AAY15" s="75"/>
      <c r="AAZ15" s="75"/>
      <c r="ABA15" s="75"/>
      <c r="ABB15" s="75"/>
      <c r="ABC15" s="75"/>
    </row>
    <row r="16" spans="1:731">
      <c r="A16" s="75" t="s">
        <v>53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5"/>
      <c r="BF16" s="75"/>
      <c r="BG16" s="75"/>
      <c r="BH16" s="75"/>
      <c r="BI16" s="75"/>
      <c r="BJ16" s="75"/>
      <c r="BK16" s="75"/>
      <c r="BL16" s="75"/>
      <c r="BM16" s="75"/>
      <c r="BN16" s="75"/>
      <c r="BO16" s="75"/>
      <c r="BP16" s="75"/>
      <c r="BQ16" s="75"/>
      <c r="BR16" s="75"/>
      <c r="BS16" s="75"/>
      <c r="BT16" s="75"/>
      <c r="BU16" s="75"/>
      <c r="BV16" s="75"/>
      <c r="BW16" s="75"/>
      <c r="BX16" s="75"/>
      <c r="BY16" s="75"/>
      <c r="BZ16" s="75"/>
      <c r="CA16" s="75"/>
      <c r="CB16" s="75"/>
      <c r="CC16" s="75"/>
      <c r="CD16" s="75"/>
      <c r="CE16" s="75"/>
      <c r="CF16" s="75"/>
      <c r="CG16" s="75"/>
      <c r="CH16" s="75"/>
      <c r="CI16" s="75"/>
      <c r="CJ16" s="75"/>
      <c r="CK16" s="75"/>
      <c r="CL16" s="75"/>
      <c r="CM16" s="75"/>
      <c r="CN16" s="75"/>
      <c r="CO16" s="75"/>
      <c r="CP16" s="75"/>
      <c r="CQ16" s="75"/>
      <c r="CR16" s="75"/>
      <c r="CS16" s="75"/>
      <c r="CT16" s="75"/>
      <c r="CU16" s="75"/>
      <c r="CV16" s="75"/>
      <c r="CW16" s="75"/>
      <c r="CX16" s="75"/>
      <c r="CY16" s="75"/>
      <c r="CZ16" s="75"/>
      <c r="DA16" s="75"/>
      <c r="DB16" s="75"/>
      <c r="DC16" s="75"/>
      <c r="DD16" s="75"/>
      <c r="DE16" s="75"/>
      <c r="DF16" s="75"/>
      <c r="DG16" s="75"/>
      <c r="DH16" s="75"/>
      <c r="DI16" s="75"/>
      <c r="DJ16" s="75"/>
      <c r="DK16" s="75"/>
      <c r="DL16" s="75"/>
      <c r="DM16" s="75"/>
      <c r="DN16" s="75"/>
      <c r="DO16" s="75"/>
      <c r="DP16" s="75"/>
      <c r="DQ16" s="75"/>
      <c r="DR16" s="75"/>
      <c r="DS16" s="75"/>
      <c r="DT16" s="75"/>
      <c r="DU16" s="75"/>
      <c r="DV16" s="75"/>
      <c r="DW16" s="75"/>
      <c r="DX16" s="75"/>
      <c r="DY16" s="75"/>
      <c r="DZ16" s="75"/>
      <c r="EA16" s="75"/>
      <c r="EB16" s="75"/>
      <c r="EC16" s="75"/>
      <c r="ED16" s="75"/>
      <c r="EE16" s="75"/>
      <c r="EF16" s="75"/>
      <c r="EG16" s="75"/>
      <c r="EH16" s="75"/>
      <c r="EI16" s="75"/>
      <c r="EJ16" s="75"/>
      <c r="EK16" s="75"/>
      <c r="EL16" s="75"/>
      <c r="EM16" s="75"/>
      <c r="EN16" s="75"/>
      <c r="EO16" s="75"/>
      <c r="EP16" s="75"/>
      <c r="EQ16" s="75"/>
      <c r="ER16" s="75"/>
      <c r="ES16" s="75"/>
      <c r="ET16" s="75"/>
      <c r="EU16" s="75"/>
      <c r="EV16" s="75"/>
      <c r="EW16" s="75"/>
      <c r="EX16" s="75"/>
      <c r="EY16" s="75"/>
      <c r="EZ16" s="75"/>
      <c r="FA16" s="75"/>
      <c r="FB16" s="75"/>
      <c r="FC16" s="75"/>
      <c r="FD16" s="75"/>
      <c r="FE16" s="75"/>
      <c r="FF16" s="75"/>
      <c r="FG16" s="75"/>
      <c r="FH16" s="75"/>
      <c r="FI16" s="75"/>
      <c r="FJ16" s="75"/>
      <c r="FK16" s="75"/>
      <c r="FL16" s="75"/>
      <c r="FM16" s="75"/>
      <c r="FN16" s="75"/>
      <c r="FO16" s="75"/>
      <c r="FP16" s="75"/>
      <c r="FQ16" s="75"/>
      <c r="FR16" s="75"/>
      <c r="FS16" s="75"/>
      <c r="FT16" s="75"/>
      <c r="FU16" s="75"/>
      <c r="FV16" s="75"/>
      <c r="FW16" s="75"/>
      <c r="FX16" s="75"/>
      <c r="FY16" s="75"/>
      <c r="FZ16" s="75"/>
      <c r="GA16" s="75"/>
      <c r="GB16" s="75"/>
      <c r="GC16" s="75"/>
      <c r="GD16" s="75"/>
      <c r="GE16" s="75"/>
      <c r="GF16" s="75"/>
      <c r="GG16" s="75"/>
      <c r="GH16" s="75"/>
      <c r="GI16" s="75"/>
      <c r="GJ16" s="75"/>
      <c r="GK16" s="75"/>
      <c r="GL16" s="75"/>
      <c r="GM16" s="75"/>
      <c r="GN16" s="75"/>
      <c r="GO16" s="75"/>
      <c r="GP16" s="75"/>
      <c r="GQ16" s="75"/>
      <c r="GR16" s="75"/>
      <c r="GS16" s="75"/>
      <c r="GT16" s="75"/>
      <c r="GU16" s="75"/>
      <c r="GV16" s="75"/>
      <c r="GW16" s="75"/>
      <c r="GX16" s="75"/>
      <c r="GY16" s="75"/>
      <c r="GZ16" s="75"/>
      <c r="HA16" s="75"/>
      <c r="HB16" s="75"/>
      <c r="HC16" s="75"/>
      <c r="HD16" s="75"/>
      <c r="HE16" s="75"/>
      <c r="HF16" s="75"/>
      <c r="HG16" s="75"/>
      <c r="HH16" s="75"/>
      <c r="HI16" s="75"/>
      <c r="HJ16" s="75"/>
      <c r="HK16" s="75"/>
      <c r="HL16" s="75"/>
      <c r="HM16" s="75"/>
      <c r="HN16" s="75"/>
      <c r="HO16" s="75"/>
      <c r="HP16" s="75"/>
      <c r="HQ16" s="75"/>
      <c r="HR16" s="75"/>
      <c r="HS16" s="75"/>
      <c r="HT16" s="75"/>
      <c r="HU16" s="75"/>
      <c r="HV16" s="75"/>
      <c r="HW16" s="75"/>
      <c r="HX16" s="75"/>
      <c r="HY16" s="75"/>
      <c r="HZ16" s="75"/>
      <c r="IA16" s="75"/>
      <c r="IB16" s="75"/>
      <c r="IC16" s="75"/>
      <c r="ID16" s="75"/>
      <c r="IE16" s="75"/>
      <c r="IF16" s="75"/>
      <c r="IG16" s="75"/>
      <c r="IH16" s="75"/>
      <c r="II16" s="75"/>
      <c r="IJ16" s="75"/>
      <c r="IK16" s="75"/>
      <c r="IL16" s="75"/>
      <c r="IM16" s="75"/>
      <c r="IN16" s="75"/>
      <c r="IO16" s="75"/>
      <c r="IP16" s="75"/>
      <c r="IQ16" s="75"/>
      <c r="IR16" s="75"/>
      <c r="IS16" s="75"/>
      <c r="IT16" s="75"/>
      <c r="IU16" s="75"/>
      <c r="IV16" s="75"/>
      <c r="IW16" s="75"/>
      <c r="IX16" s="75"/>
      <c r="IY16" s="75"/>
      <c r="IZ16" s="75"/>
      <c r="JA16" s="75"/>
      <c r="JB16" s="75"/>
      <c r="JC16" s="75"/>
      <c r="JD16" s="75"/>
      <c r="JE16" s="75"/>
      <c r="JF16" s="75"/>
      <c r="JG16" s="75"/>
      <c r="JH16" s="75"/>
      <c r="JI16" s="75"/>
      <c r="JJ16" s="75"/>
      <c r="JK16" s="75"/>
      <c r="JL16" s="75"/>
      <c r="JM16" s="75"/>
      <c r="JN16" s="75"/>
      <c r="JO16" s="75"/>
      <c r="JP16" s="75"/>
      <c r="JQ16" s="75"/>
      <c r="JR16" s="75"/>
      <c r="JS16" s="75"/>
      <c r="JT16" s="75"/>
      <c r="JU16" s="75"/>
      <c r="JV16" s="75"/>
      <c r="JW16" s="75"/>
      <c r="JX16" s="75"/>
      <c r="JY16" s="75"/>
      <c r="JZ16" s="75"/>
      <c r="KA16" s="75"/>
      <c r="KB16" s="75"/>
      <c r="KC16" s="75"/>
      <c r="KD16" s="75"/>
      <c r="KE16" s="75"/>
      <c r="KF16" s="75"/>
      <c r="KG16" s="75"/>
      <c r="KH16" s="75"/>
      <c r="KI16" s="75"/>
      <c r="KJ16" s="75"/>
      <c r="KK16" s="75"/>
      <c r="KL16" s="75"/>
      <c r="KM16" s="75"/>
      <c r="KN16" s="75"/>
      <c r="KO16" s="75"/>
      <c r="KP16" s="75"/>
      <c r="KQ16" s="75"/>
      <c r="KR16" s="75"/>
      <c r="KS16" s="75"/>
      <c r="KT16" s="75"/>
      <c r="KU16" s="75"/>
      <c r="KV16" s="75"/>
      <c r="KW16" s="75"/>
      <c r="KX16" s="75"/>
      <c r="KY16" s="75"/>
      <c r="KZ16" s="75"/>
      <c r="LA16" s="75"/>
      <c r="LB16" s="75"/>
      <c r="LC16" s="75"/>
      <c r="LD16" s="75"/>
      <c r="LE16" s="75"/>
      <c r="LF16" s="75"/>
      <c r="LG16" s="75"/>
      <c r="LH16" s="75"/>
      <c r="LI16" s="75"/>
      <c r="LJ16" s="75"/>
      <c r="LK16" s="75"/>
      <c r="LL16" s="75"/>
      <c r="LM16" s="75"/>
      <c r="LN16" s="75"/>
      <c r="LO16" s="75"/>
      <c r="LP16" s="75"/>
      <c r="LQ16" s="75"/>
      <c r="LR16" s="75"/>
      <c r="LS16" s="75"/>
      <c r="LT16" s="75"/>
      <c r="LU16" s="75"/>
      <c r="LV16" s="75"/>
      <c r="LW16" s="75"/>
      <c r="LX16" s="75"/>
      <c r="LY16" s="75"/>
      <c r="LZ16" s="75"/>
      <c r="MA16" s="75"/>
      <c r="MB16" s="75"/>
      <c r="MC16" s="75"/>
      <c r="MD16" s="75"/>
      <c r="ME16" s="75"/>
      <c r="MF16" s="75"/>
      <c r="MG16" s="75"/>
      <c r="MH16" s="75"/>
      <c r="MI16" s="75"/>
      <c r="MJ16" s="75"/>
      <c r="MK16" s="75"/>
      <c r="ML16" s="75"/>
      <c r="MM16" s="75"/>
      <c r="MN16" s="75"/>
      <c r="MO16" s="75"/>
      <c r="MP16" s="75"/>
      <c r="MQ16" s="75"/>
      <c r="MR16" s="75"/>
      <c r="MS16" s="75"/>
      <c r="MT16" s="75"/>
      <c r="MU16" s="75"/>
      <c r="MV16" s="75"/>
      <c r="MW16" s="75"/>
      <c r="MX16" s="75"/>
      <c r="MY16" s="75"/>
      <c r="MZ16" s="75"/>
      <c r="NA16" s="75"/>
      <c r="NB16" s="75"/>
      <c r="NC16" s="75"/>
      <c r="ND16" s="75"/>
      <c r="NE16" s="75"/>
      <c r="NF16" s="75"/>
      <c r="NG16" s="75"/>
      <c r="NH16" s="75"/>
      <c r="NI16" s="75"/>
      <c r="NJ16" s="75"/>
      <c r="NK16" s="75"/>
      <c r="NL16" s="75"/>
      <c r="NM16" s="75"/>
      <c r="NN16" s="75"/>
      <c r="NO16" s="75"/>
      <c r="NP16" s="75"/>
      <c r="NQ16" s="75"/>
      <c r="NR16" s="75"/>
      <c r="NS16" s="75"/>
      <c r="NT16" s="75"/>
      <c r="NU16" s="75"/>
      <c r="NV16" s="75"/>
      <c r="NW16" s="75"/>
      <c r="NX16" s="75"/>
      <c r="NY16" s="75"/>
      <c r="NZ16" s="75"/>
      <c r="OA16" s="75"/>
      <c r="OB16" s="75"/>
      <c r="OC16" s="75"/>
      <c r="OD16" s="75"/>
      <c r="OE16" s="75"/>
      <c r="OF16" s="75"/>
      <c r="OG16" s="75"/>
      <c r="OH16" s="75"/>
      <c r="OI16" s="75"/>
      <c r="OJ16" s="75"/>
      <c r="OK16" s="75"/>
      <c r="OL16" s="75"/>
      <c r="OM16" s="75"/>
      <c r="ON16" s="75"/>
      <c r="OO16" s="75"/>
      <c r="OP16" s="75"/>
      <c r="OQ16" s="75"/>
      <c r="OR16" s="75"/>
      <c r="OS16" s="75"/>
      <c r="OT16" s="75"/>
      <c r="OU16" s="75">
        <v>16</v>
      </c>
      <c r="OV16" s="75">
        <v>16</v>
      </c>
      <c r="OW16" s="75">
        <v>16</v>
      </c>
      <c r="OX16" s="75">
        <v>16</v>
      </c>
      <c r="OY16" s="75">
        <v>16</v>
      </c>
      <c r="OZ16" s="75">
        <v>16</v>
      </c>
      <c r="PA16" s="75"/>
      <c r="PB16" s="75">
        <v>16</v>
      </c>
      <c r="PC16" s="75">
        <v>16</v>
      </c>
      <c r="PD16" s="75">
        <v>16</v>
      </c>
      <c r="PE16" s="75">
        <v>16</v>
      </c>
      <c r="PF16" s="75">
        <v>8</v>
      </c>
      <c r="PG16" s="75">
        <v>8</v>
      </c>
      <c r="PH16" s="75"/>
      <c r="PI16" s="75">
        <v>8</v>
      </c>
      <c r="PJ16" s="75">
        <v>8</v>
      </c>
      <c r="PK16" s="75">
        <v>8</v>
      </c>
      <c r="PL16" s="75">
        <v>8</v>
      </c>
      <c r="PM16" s="75">
        <v>8</v>
      </c>
      <c r="PN16" s="75">
        <v>8</v>
      </c>
      <c r="PO16" s="75"/>
      <c r="PP16" s="75">
        <v>8</v>
      </c>
      <c r="PQ16" s="75">
        <v>8</v>
      </c>
      <c r="PR16" s="75"/>
      <c r="PS16" s="75"/>
      <c r="PT16" s="75"/>
      <c r="PU16" s="75">
        <v>11</v>
      </c>
      <c r="PV16" s="75"/>
      <c r="PW16" s="75">
        <v>16</v>
      </c>
      <c r="PX16" s="75">
        <v>16</v>
      </c>
      <c r="PY16" s="75">
        <v>16</v>
      </c>
      <c r="PZ16" s="75">
        <v>16</v>
      </c>
      <c r="QA16" s="75">
        <v>16</v>
      </c>
      <c r="QB16" s="75">
        <v>16</v>
      </c>
      <c r="QC16" s="75"/>
      <c r="QD16" s="75">
        <v>39</v>
      </c>
      <c r="QE16" s="75">
        <v>52</v>
      </c>
      <c r="QF16" s="75">
        <v>52</v>
      </c>
      <c r="QG16" s="75">
        <v>46</v>
      </c>
      <c r="QH16" s="75">
        <v>44</v>
      </c>
      <c r="QI16" s="75">
        <v>44</v>
      </c>
      <c r="QJ16" s="75"/>
      <c r="QK16" s="75">
        <v>44</v>
      </c>
      <c r="QL16" s="75">
        <v>44</v>
      </c>
      <c r="QM16" s="75">
        <v>44</v>
      </c>
      <c r="QN16" s="75">
        <v>44</v>
      </c>
      <c r="QO16" s="75">
        <v>42</v>
      </c>
      <c r="QP16" s="75">
        <v>36</v>
      </c>
      <c r="QQ16" s="75"/>
      <c r="QR16" s="75">
        <v>16</v>
      </c>
      <c r="QS16" s="75">
        <v>10</v>
      </c>
      <c r="QT16" s="75">
        <v>8</v>
      </c>
      <c r="QU16" s="75">
        <v>8</v>
      </c>
      <c r="QV16" s="75">
        <v>8</v>
      </c>
      <c r="QW16" s="75">
        <v>8</v>
      </c>
      <c r="QX16" s="75"/>
      <c r="QY16" s="75">
        <v>8</v>
      </c>
      <c r="QZ16" s="75">
        <v>22</v>
      </c>
      <c r="RA16" s="75">
        <v>26</v>
      </c>
      <c r="RB16" s="75">
        <v>20</v>
      </c>
      <c r="RC16" s="75">
        <v>23</v>
      </c>
      <c r="RD16" s="75">
        <v>36</v>
      </c>
      <c r="RE16" s="75"/>
      <c r="RF16" s="75">
        <v>36</v>
      </c>
      <c r="RG16" s="75">
        <v>36</v>
      </c>
      <c r="RH16" s="75">
        <v>40</v>
      </c>
      <c r="RI16" s="75">
        <v>56</v>
      </c>
      <c r="RJ16" s="75">
        <v>56</v>
      </c>
      <c r="RK16" s="75">
        <v>56</v>
      </c>
      <c r="RL16" s="75"/>
      <c r="RM16" s="75">
        <v>56</v>
      </c>
      <c r="RN16" s="75">
        <v>42</v>
      </c>
      <c r="RO16" s="75">
        <v>36</v>
      </c>
      <c r="RP16" s="75">
        <v>36</v>
      </c>
      <c r="RQ16" s="75">
        <v>36</v>
      </c>
      <c r="RR16" s="75">
        <v>36</v>
      </c>
      <c r="RS16" s="75"/>
      <c r="RT16" s="75">
        <v>36</v>
      </c>
      <c r="RU16" s="75">
        <v>36</v>
      </c>
      <c r="RV16" s="75">
        <v>32</v>
      </c>
      <c r="RW16" s="75">
        <v>16</v>
      </c>
      <c r="RX16" s="75">
        <v>16</v>
      </c>
      <c r="RY16" s="75">
        <v>19</v>
      </c>
      <c r="RZ16" s="75"/>
      <c r="SA16" s="75">
        <v>29</v>
      </c>
      <c r="SB16" s="75">
        <v>16</v>
      </c>
      <c r="SC16" s="75">
        <v>16</v>
      </c>
      <c r="SD16" s="75">
        <v>18</v>
      </c>
      <c r="SE16" s="75">
        <v>24</v>
      </c>
      <c r="SF16" s="75">
        <v>24</v>
      </c>
      <c r="SG16" s="75"/>
      <c r="SH16" s="75">
        <v>24</v>
      </c>
      <c r="SI16" s="75">
        <v>24</v>
      </c>
      <c r="SJ16" s="75">
        <v>24</v>
      </c>
      <c r="SK16" s="75">
        <v>24</v>
      </c>
      <c r="SL16" s="75">
        <v>28</v>
      </c>
      <c r="SM16" s="75">
        <v>46</v>
      </c>
      <c r="SN16" s="75"/>
      <c r="SO16" s="75">
        <v>52</v>
      </c>
      <c r="SP16" s="75">
        <v>55</v>
      </c>
      <c r="SQ16" s="75">
        <v>68</v>
      </c>
      <c r="SR16" s="75">
        <v>68</v>
      </c>
      <c r="SS16" s="75">
        <v>68</v>
      </c>
      <c r="ST16" s="75">
        <v>71</v>
      </c>
      <c r="SU16" s="75"/>
      <c r="SV16" s="75">
        <v>76</v>
      </c>
      <c r="SW16" s="75">
        <v>73</v>
      </c>
      <c r="SX16" s="75">
        <v>58</v>
      </c>
      <c r="SY16" s="75">
        <v>50</v>
      </c>
      <c r="SZ16" s="75">
        <v>56</v>
      </c>
      <c r="TA16" s="75">
        <v>68</v>
      </c>
      <c r="TB16" s="75"/>
      <c r="TC16" s="75">
        <v>68</v>
      </c>
      <c r="TD16" s="75">
        <v>68</v>
      </c>
      <c r="TE16" s="75">
        <v>68</v>
      </c>
      <c r="TF16" s="75">
        <v>68</v>
      </c>
      <c r="TG16" s="75">
        <v>68</v>
      </c>
      <c r="TH16" s="75">
        <v>72</v>
      </c>
      <c r="TI16" s="75"/>
      <c r="TJ16" s="75">
        <v>88</v>
      </c>
      <c r="TK16" s="75">
        <v>88</v>
      </c>
      <c r="TL16" s="75">
        <v>88</v>
      </c>
      <c r="TM16" s="75">
        <v>91</v>
      </c>
      <c r="TN16" s="75">
        <v>74</v>
      </c>
      <c r="TO16" s="75">
        <v>80</v>
      </c>
      <c r="TP16" s="75"/>
      <c r="TQ16" s="75">
        <v>80</v>
      </c>
      <c r="TR16" s="75">
        <v>80</v>
      </c>
      <c r="TS16" s="75">
        <v>80</v>
      </c>
      <c r="TT16" s="75">
        <v>76</v>
      </c>
      <c r="TU16" s="75">
        <v>60</v>
      </c>
      <c r="TV16" s="75">
        <v>64</v>
      </c>
      <c r="TW16" s="75"/>
      <c r="TX16" s="75">
        <v>80</v>
      </c>
      <c r="TY16" s="75">
        <v>80</v>
      </c>
      <c r="TZ16" s="75">
        <v>80</v>
      </c>
      <c r="UA16" s="75">
        <v>82</v>
      </c>
      <c r="UB16" s="75">
        <v>88</v>
      </c>
      <c r="UC16" s="75">
        <v>85</v>
      </c>
      <c r="UD16" s="75"/>
      <c r="UE16" s="75">
        <v>80</v>
      </c>
      <c r="UF16" s="75">
        <v>81</v>
      </c>
      <c r="UG16" s="75">
        <v>88</v>
      </c>
      <c r="UH16" s="75">
        <v>76</v>
      </c>
      <c r="UI16" s="75">
        <v>54</v>
      </c>
      <c r="UJ16" s="75">
        <v>42</v>
      </c>
      <c r="UK16" s="75"/>
      <c r="UL16" s="75">
        <v>42</v>
      </c>
      <c r="UM16" s="75">
        <v>43</v>
      </c>
      <c r="UN16" s="75">
        <v>50</v>
      </c>
      <c r="UO16" s="75">
        <v>44</v>
      </c>
      <c r="UP16" s="75">
        <v>44</v>
      </c>
      <c r="UQ16" s="75">
        <v>47</v>
      </c>
      <c r="UR16" s="75"/>
      <c r="US16" s="75">
        <v>52</v>
      </c>
      <c r="UT16" s="75">
        <v>54</v>
      </c>
      <c r="UU16" s="75">
        <v>57</v>
      </c>
      <c r="UV16" s="75">
        <v>76</v>
      </c>
      <c r="UW16" s="75">
        <v>73</v>
      </c>
      <c r="UX16" s="75">
        <v>58</v>
      </c>
      <c r="UY16" s="75"/>
      <c r="UZ16" s="75">
        <v>70</v>
      </c>
      <c r="VA16" s="75">
        <v>79</v>
      </c>
      <c r="VB16" s="75">
        <v>92</v>
      </c>
      <c r="VC16" s="75">
        <v>92</v>
      </c>
      <c r="VD16" s="75">
        <v>91</v>
      </c>
      <c r="VE16" s="75">
        <v>82</v>
      </c>
      <c r="VF16" s="75"/>
      <c r="VG16" s="75">
        <v>92</v>
      </c>
      <c r="VH16" s="75">
        <v>92</v>
      </c>
      <c r="VI16" s="75">
        <v>89</v>
      </c>
      <c r="VJ16" s="75">
        <v>82</v>
      </c>
      <c r="VK16" s="75">
        <v>74</v>
      </c>
      <c r="VL16" s="75">
        <v>71</v>
      </c>
      <c r="VM16" s="75"/>
      <c r="VN16" s="75">
        <v>44</v>
      </c>
      <c r="VO16" s="75">
        <v>48</v>
      </c>
      <c r="VP16" s="75">
        <v>64</v>
      </c>
      <c r="VQ16" s="75">
        <v>52</v>
      </c>
      <c r="VR16" s="75">
        <v>43</v>
      </c>
      <c r="VS16" s="75">
        <v>31</v>
      </c>
      <c r="VT16" s="75"/>
      <c r="VU16" s="75">
        <v>40</v>
      </c>
      <c r="VV16" s="75">
        <v>40</v>
      </c>
      <c r="VW16" s="75">
        <v>40</v>
      </c>
      <c r="VX16" s="75">
        <v>30</v>
      </c>
      <c r="VY16" s="75">
        <v>30</v>
      </c>
      <c r="VZ16" s="75">
        <v>32</v>
      </c>
      <c r="WA16" s="75"/>
      <c r="WB16" s="75">
        <v>32</v>
      </c>
      <c r="WC16" s="75">
        <v>32</v>
      </c>
      <c r="WD16" s="75">
        <v>32</v>
      </c>
      <c r="WE16" s="75">
        <v>32</v>
      </c>
      <c r="WF16" s="75">
        <v>28</v>
      </c>
      <c r="WG16" s="75">
        <v>12</v>
      </c>
      <c r="WH16" s="75"/>
      <c r="WI16" s="75">
        <v>12</v>
      </c>
      <c r="WJ16" s="75">
        <v>12</v>
      </c>
      <c r="WK16" s="75">
        <v>11</v>
      </c>
      <c r="WL16" s="75">
        <v>2</v>
      </c>
      <c r="WM16" s="75">
        <v>12</v>
      </c>
      <c r="WN16" s="75">
        <v>12</v>
      </c>
      <c r="WO16" s="75"/>
      <c r="WP16" s="75">
        <v>14</v>
      </c>
      <c r="WQ16" s="75">
        <v>14</v>
      </c>
      <c r="WR16" s="75">
        <v>12</v>
      </c>
      <c r="WS16" s="75">
        <v>12</v>
      </c>
      <c r="WT16" s="75">
        <v>12</v>
      </c>
      <c r="WU16" s="75">
        <v>12</v>
      </c>
      <c r="WV16" s="75"/>
      <c r="WW16" s="75">
        <v>12</v>
      </c>
      <c r="WX16" s="75">
        <v>12</v>
      </c>
      <c r="WY16" s="75">
        <v>12</v>
      </c>
      <c r="WZ16" s="75">
        <v>12</v>
      </c>
      <c r="XA16" s="75">
        <v>12</v>
      </c>
      <c r="XB16" s="75">
        <v>12</v>
      </c>
      <c r="XC16" s="75"/>
      <c r="XD16" s="75">
        <v>12</v>
      </c>
      <c r="XE16" s="75">
        <v>2</v>
      </c>
      <c r="XF16" s="75">
        <v>2</v>
      </c>
      <c r="XG16" s="75"/>
      <c r="XH16" s="75"/>
      <c r="XI16" s="75"/>
      <c r="XJ16" s="75"/>
      <c r="XK16" s="75"/>
      <c r="XL16" s="75"/>
      <c r="XM16" s="75"/>
      <c r="XN16" s="75"/>
      <c r="XO16" s="75"/>
      <c r="XP16" s="75"/>
      <c r="XQ16" s="75"/>
      <c r="XR16" s="75"/>
      <c r="XS16" s="75"/>
      <c r="XT16" s="75"/>
      <c r="XU16" s="75"/>
      <c r="XV16" s="75"/>
      <c r="XW16" s="75"/>
      <c r="XX16" s="75"/>
      <c r="XY16" s="75"/>
      <c r="XZ16" s="75"/>
      <c r="YA16" s="75"/>
      <c r="YB16" s="75"/>
      <c r="YC16" s="75"/>
      <c r="YD16" s="75"/>
      <c r="YE16" s="75"/>
      <c r="YF16" s="75"/>
      <c r="YG16" s="75"/>
      <c r="YH16" s="75"/>
      <c r="YI16" s="75"/>
      <c r="YJ16" s="75"/>
      <c r="YK16" s="75"/>
      <c r="YL16" s="75"/>
      <c r="YM16" s="75"/>
      <c r="YN16" s="75"/>
      <c r="YO16" s="75"/>
      <c r="YP16" s="75"/>
      <c r="YQ16" s="75"/>
      <c r="YR16" s="75"/>
      <c r="YS16" s="75"/>
      <c r="YT16" s="75"/>
      <c r="YU16" s="75"/>
      <c r="YV16" s="75"/>
      <c r="YW16" s="75"/>
      <c r="YX16" s="75"/>
      <c r="YY16" s="75"/>
      <c r="YZ16" s="75"/>
      <c r="ZA16" s="75"/>
      <c r="ZB16" s="75"/>
      <c r="ZC16" s="75"/>
      <c r="ZD16" s="75"/>
      <c r="ZE16" s="75"/>
      <c r="ZF16" s="75"/>
      <c r="ZG16" s="75"/>
      <c r="ZH16" s="75"/>
      <c r="ZI16" s="75"/>
      <c r="ZJ16" s="75"/>
      <c r="ZK16" s="75"/>
      <c r="ZL16" s="75"/>
      <c r="ZM16" s="75"/>
      <c r="ZN16" s="75"/>
      <c r="ZO16" s="75"/>
      <c r="ZP16" s="75"/>
      <c r="ZQ16" s="75"/>
      <c r="ZR16" s="75"/>
      <c r="ZS16" s="75"/>
      <c r="ZT16" s="75"/>
      <c r="ZU16" s="75"/>
      <c r="ZV16" s="75"/>
      <c r="ZW16" s="75"/>
      <c r="ZX16" s="75"/>
      <c r="ZY16" s="75"/>
      <c r="ZZ16" s="75"/>
      <c r="AAA16" s="75"/>
      <c r="AAB16" s="75"/>
      <c r="AAC16" s="75"/>
      <c r="AAD16" s="75"/>
      <c r="AAE16" s="75"/>
      <c r="AAF16" s="75"/>
      <c r="AAG16" s="75"/>
      <c r="AAH16" s="75"/>
      <c r="AAI16" s="75"/>
      <c r="AAJ16" s="75"/>
      <c r="AAK16" s="75"/>
      <c r="AAL16" s="75"/>
      <c r="AAM16" s="75"/>
      <c r="AAN16" s="75"/>
      <c r="AAO16" s="75"/>
      <c r="AAP16" s="75"/>
      <c r="AAQ16" s="75"/>
      <c r="AAR16" s="75"/>
      <c r="AAS16" s="75"/>
      <c r="AAT16" s="75"/>
      <c r="AAU16" s="75"/>
      <c r="AAV16" s="75"/>
      <c r="AAW16" s="75"/>
      <c r="AAX16" s="75"/>
      <c r="AAY16" s="75"/>
      <c r="AAZ16" s="75"/>
      <c r="ABA16" s="75"/>
      <c r="ABB16" s="75"/>
      <c r="ABC16" s="75"/>
    </row>
    <row r="17" spans="1:731">
      <c r="A17" s="75" t="s">
        <v>54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5"/>
      <c r="BK17" s="75"/>
      <c r="BL17" s="75"/>
      <c r="BM17" s="75"/>
      <c r="BN17" s="75"/>
      <c r="BO17" s="75"/>
      <c r="BP17" s="75"/>
      <c r="BQ17" s="75"/>
      <c r="BR17" s="75"/>
      <c r="BS17" s="75"/>
      <c r="BT17" s="75"/>
      <c r="BU17" s="75"/>
      <c r="BV17" s="75"/>
      <c r="BW17" s="75"/>
      <c r="BX17" s="75"/>
      <c r="BY17" s="75"/>
      <c r="BZ17" s="75"/>
      <c r="CA17" s="75"/>
      <c r="CB17" s="75"/>
      <c r="CC17" s="75"/>
      <c r="CD17" s="75"/>
      <c r="CE17" s="75"/>
      <c r="CF17" s="75"/>
      <c r="CG17" s="75"/>
      <c r="CH17" s="75"/>
      <c r="CI17" s="75"/>
      <c r="CJ17" s="75"/>
      <c r="CK17" s="75"/>
      <c r="CL17" s="75"/>
      <c r="CM17" s="75"/>
      <c r="CN17" s="75"/>
      <c r="CO17" s="75"/>
      <c r="CP17" s="75"/>
      <c r="CQ17" s="75"/>
      <c r="CR17" s="75"/>
      <c r="CS17" s="75"/>
      <c r="CT17" s="75"/>
      <c r="CU17" s="75"/>
      <c r="CV17" s="75"/>
      <c r="CW17" s="75"/>
      <c r="CX17" s="75"/>
      <c r="CY17" s="75"/>
      <c r="CZ17" s="75"/>
      <c r="DA17" s="75"/>
      <c r="DB17" s="75"/>
      <c r="DC17" s="75"/>
      <c r="DD17" s="75"/>
      <c r="DE17" s="75"/>
      <c r="DF17" s="75"/>
      <c r="DG17" s="75"/>
      <c r="DH17" s="75"/>
      <c r="DI17" s="75"/>
      <c r="DJ17" s="75"/>
      <c r="DK17" s="75"/>
      <c r="DL17" s="75"/>
      <c r="DM17" s="75"/>
      <c r="DN17" s="75"/>
      <c r="DO17" s="75"/>
      <c r="DP17" s="75"/>
      <c r="DQ17" s="75"/>
      <c r="DR17" s="75"/>
      <c r="DS17" s="75"/>
      <c r="DT17" s="75"/>
      <c r="DU17" s="75"/>
      <c r="DV17" s="75"/>
      <c r="DW17" s="75"/>
      <c r="DX17" s="75"/>
      <c r="DY17" s="75"/>
      <c r="DZ17" s="75"/>
      <c r="EA17" s="75"/>
      <c r="EB17" s="75"/>
      <c r="EC17" s="75"/>
      <c r="ED17" s="75"/>
      <c r="EE17" s="75"/>
      <c r="EF17" s="75"/>
      <c r="EG17" s="75"/>
      <c r="EH17" s="75"/>
      <c r="EI17" s="75"/>
      <c r="EJ17" s="75"/>
      <c r="EK17" s="75"/>
      <c r="EL17" s="75"/>
      <c r="EM17" s="75"/>
      <c r="EN17" s="75"/>
      <c r="EO17" s="75"/>
      <c r="EP17" s="75"/>
      <c r="EQ17" s="75"/>
      <c r="ER17" s="75"/>
      <c r="ES17" s="75"/>
      <c r="ET17" s="75"/>
      <c r="EU17" s="75"/>
      <c r="EV17" s="75"/>
      <c r="EW17" s="75"/>
      <c r="EX17" s="75"/>
      <c r="EY17" s="75"/>
      <c r="EZ17" s="75"/>
      <c r="FA17" s="75"/>
      <c r="FB17" s="75"/>
      <c r="FC17" s="75"/>
      <c r="FD17" s="75"/>
      <c r="FE17" s="75"/>
      <c r="FF17" s="75"/>
      <c r="FG17" s="75"/>
      <c r="FH17" s="75"/>
      <c r="FI17" s="75"/>
      <c r="FJ17" s="75"/>
      <c r="FK17" s="75"/>
      <c r="FL17" s="75"/>
      <c r="FM17" s="75"/>
      <c r="FN17" s="75"/>
      <c r="FO17" s="75"/>
      <c r="FP17" s="75"/>
      <c r="FQ17" s="75"/>
      <c r="FR17" s="75"/>
      <c r="FS17" s="75"/>
      <c r="FT17" s="75"/>
      <c r="FU17" s="75"/>
      <c r="FV17" s="75"/>
      <c r="FW17" s="75"/>
      <c r="FX17" s="75"/>
      <c r="FY17" s="75"/>
      <c r="FZ17" s="75"/>
      <c r="GA17" s="75"/>
      <c r="GB17" s="75"/>
      <c r="GC17" s="75"/>
      <c r="GD17" s="75"/>
      <c r="GE17" s="75"/>
      <c r="GF17" s="75"/>
      <c r="GG17" s="75"/>
      <c r="GH17" s="75"/>
      <c r="GI17" s="75"/>
      <c r="GJ17" s="75"/>
      <c r="GK17" s="75"/>
      <c r="GL17" s="75"/>
      <c r="GM17" s="75"/>
      <c r="GN17" s="75"/>
      <c r="GO17" s="75"/>
      <c r="GP17" s="75"/>
      <c r="GQ17" s="75"/>
      <c r="GR17" s="75"/>
      <c r="GS17" s="75"/>
      <c r="GT17" s="75"/>
      <c r="GU17" s="75"/>
      <c r="GV17" s="75"/>
      <c r="GW17" s="75"/>
      <c r="GX17" s="75"/>
      <c r="GY17" s="75"/>
      <c r="GZ17" s="75"/>
      <c r="HA17" s="75"/>
      <c r="HB17" s="75"/>
      <c r="HC17" s="75"/>
      <c r="HD17" s="75"/>
      <c r="HE17" s="75"/>
      <c r="HF17" s="75"/>
      <c r="HG17" s="75"/>
      <c r="HH17" s="75"/>
      <c r="HI17" s="75"/>
      <c r="HJ17" s="75"/>
      <c r="HK17" s="75"/>
      <c r="HL17" s="75"/>
      <c r="HM17" s="75"/>
      <c r="HN17" s="75"/>
      <c r="HO17" s="75"/>
      <c r="HP17" s="75"/>
      <c r="HQ17" s="75"/>
      <c r="HR17" s="75"/>
      <c r="HS17" s="75"/>
      <c r="HT17" s="75"/>
      <c r="HU17" s="75"/>
      <c r="HV17" s="75"/>
      <c r="HW17" s="75"/>
      <c r="HX17" s="75"/>
      <c r="HY17" s="75"/>
      <c r="HZ17" s="75"/>
      <c r="IA17" s="75"/>
      <c r="IB17" s="75"/>
      <c r="IC17" s="75"/>
      <c r="ID17" s="75"/>
      <c r="IE17" s="75"/>
      <c r="IF17" s="75"/>
      <c r="IG17" s="75"/>
      <c r="IH17" s="75"/>
      <c r="II17" s="75"/>
      <c r="IJ17" s="75"/>
      <c r="IK17" s="75"/>
      <c r="IL17" s="75"/>
      <c r="IM17" s="75"/>
      <c r="IN17" s="75"/>
      <c r="IO17" s="75"/>
      <c r="IP17" s="75"/>
      <c r="IQ17" s="75"/>
      <c r="IR17" s="75"/>
      <c r="IS17" s="75"/>
      <c r="IT17" s="75"/>
      <c r="IU17" s="75"/>
      <c r="IV17" s="75"/>
      <c r="IW17" s="75"/>
      <c r="IX17" s="75"/>
      <c r="IY17" s="75"/>
      <c r="IZ17" s="75"/>
      <c r="JA17" s="75"/>
      <c r="JB17" s="75"/>
      <c r="JC17" s="75"/>
      <c r="JD17" s="75"/>
      <c r="JE17" s="75"/>
      <c r="JF17" s="75"/>
      <c r="JG17" s="75"/>
      <c r="JH17" s="75"/>
      <c r="JI17" s="75"/>
      <c r="JJ17" s="75"/>
      <c r="JK17" s="75"/>
      <c r="JL17" s="75"/>
      <c r="JM17" s="75"/>
      <c r="JN17" s="75"/>
      <c r="JO17" s="75"/>
      <c r="JP17" s="75"/>
      <c r="JQ17" s="75"/>
      <c r="JR17" s="75"/>
      <c r="JS17" s="75"/>
      <c r="JT17" s="75"/>
      <c r="JU17" s="75"/>
      <c r="JV17" s="75"/>
      <c r="JW17" s="75"/>
      <c r="JX17" s="75"/>
      <c r="JY17" s="75"/>
      <c r="JZ17" s="75"/>
      <c r="KA17" s="75"/>
      <c r="KB17" s="75"/>
      <c r="KC17" s="75"/>
      <c r="KD17" s="75"/>
      <c r="KE17" s="75"/>
      <c r="KF17" s="75"/>
      <c r="KG17" s="75"/>
      <c r="KH17" s="75"/>
      <c r="KI17" s="75"/>
      <c r="KJ17" s="75"/>
      <c r="KK17" s="75"/>
      <c r="KL17" s="75"/>
      <c r="KM17" s="75"/>
      <c r="KN17" s="75"/>
      <c r="KO17" s="75"/>
      <c r="KP17" s="75"/>
      <c r="KQ17" s="75"/>
      <c r="KR17" s="75"/>
      <c r="KS17" s="75"/>
      <c r="KT17" s="75"/>
      <c r="KU17" s="75"/>
      <c r="KV17" s="75"/>
      <c r="KW17" s="75"/>
      <c r="KX17" s="75"/>
      <c r="KY17" s="75"/>
      <c r="KZ17" s="75"/>
      <c r="LA17" s="75"/>
      <c r="LB17" s="75"/>
      <c r="LC17" s="75"/>
      <c r="LD17" s="75"/>
      <c r="LE17" s="75"/>
      <c r="LF17" s="75"/>
      <c r="LG17" s="75"/>
      <c r="LH17" s="75"/>
      <c r="LI17" s="75"/>
      <c r="LJ17" s="75"/>
      <c r="LK17" s="75"/>
      <c r="LL17" s="75"/>
      <c r="LM17" s="75"/>
      <c r="LN17" s="75"/>
      <c r="LO17" s="75"/>
      <c r="LP17" s="75"/>
      <c r="LQ17" s="75"/>
      <c r="LR17" s="75"/>
      <c r="LS17" s="75"/>
      <c r="LT17" s="75"/>
      <c r="LU17" s="75"/>
      <c r="LV17" s="75"/>
      <c r="LW17" s="75"/>
      <c r="LX17" s="75"/>
      <c r="LY17" s="75"/>
      <c r="LZ17" s="75"/>
      <c r="MA17" s="75"/>
      <c r="MB17" s="75"/>
      <c r="MC17" s="75"/>
      <c r="MD17" s="75"/>
      <c r="ME17" s="75"/>
      <c r="MF17" s="75"/>
      <c r="MG17" s="75"/>
      <c r="MH17" s="75"/>
      <c r="MI17" s="75"/>
      <c r="MJ17" s="75"/>
      <c r="MK17" s="75"/>
      <c r="ML17" s="75"/>
      <c r="MM17" s="75"/>
      <c r="MN17" s="75"/>
      <c r="MO17" s="75"/>
      <c r="MP17" s="75"/>
      <c r="MQ17" s="75"/>
      <c r="MR17" s="75"/>
      <c r="MS17" s="75"/>
      <c r="MT17" s="75"/>
      <c r="MU17" s="75"/>
      <c r="MV17" s="75"/>
      <c r="MW17" s="75"/>
      <c r="MX17" s="75"/>
      <c r="MY17" s="75"/>
      <c r="MZ17" s="75"/>
      <c r="NA17" s="75"/>
      <c r="NB17" s="75"/>
      <c r="NC17" s="75"/>
      <c r="ND17" s="75"/>
      <c r="NE17" s="75"/>
      <c r="NF17" s="75"/>
      <c r="NG17" s="75"/>
      <c r="NH17" s="75"/>
      <c r="NI17" s="75"/>
      <c r="NJ17" s="75"/>
      <c r="NK17" s="75"/>
      <c r="NL17" s="75"/>
      <c r="NM17" s="75"/>
      <c r="NN17" s="75"/>
      <c r="NO17" s="75"/>
      <c r="NP17" s="75"/>
      <c r="NQ17" s="75"/>
      <c r="NR17" s="75"/>
      <c r="NS17" s="75"/>
      <c r="NT17" s="75"/>
      <c r="NU17" s="75"/>
      <c r="NV17" s="75"/>
      <c r="NW17" s="75"/>
      <c r="NX17" s="75"/>
      <c r="NY17" s="75"/>
      <c r="NZ17" s="75"/>
      <c r="OA17" s="75"/>
      <c r="OB17" s="75"/>
      <c r="OC17" s="75"/>
      <c r="OD17" s="75"/>
      <c r="OE17" s="75"/>
      <c r="OF17" s="75"/>
      <c r="OG17" s="75"/>
      <c r="OH17" s="75"/>
      <c r="OI17" s="75"/>
      <c r="OJ17" s="75"/>
      <c r="OK17" s="75">
        <v>2</v>
      </c>
      <c r="OL17" s="75">
        <v>4</v>
      </c>
      <c r="OM17" s="75"/>
      <c r="ON17" s="75">
        <v>4</v>
      </c>
      <c r="OO17" s="75">
        <v>4</v>
      </c>
      <c r="OP17" s="75">
        <v>4</v>
      </c>
      <c r="OQ17" s="75">
        <v>2</v>
      </c>
      <c r="OR17" s="75"/>
      <c r="OS17" s="75"/>
      <c r="OT17" s="75"/>
      <c r="OU17" s="75"/>
      <c r="OV17" s="75"/>
      <c r="OW17" s="75"/>
      <c r="OX17" s="75"/>
      <c r="OY17" s="75"/>
      <c r="OZ17" s="75"/>
      <c r="PA17" s="75"/>
      <c r="PB17" s="75"/>
      <c r="PC17" s="75"/>
      <c r="PD17" s="75"/>
      <c r="PE17" s="75"/>
      <c r="PF17" s="75"/>
      <c r="PG17" s="75"/>
      <c r="PH17" s="75"/>
      <c r="PI17" s="75"/>
      <c r="PJ17" s="75"/>
      <c r="PK17" s="75"/>
      <c r="PL17" s="75">
        <v>3</v>
      </c>
      <c r="PM17" s="75">
        <v>4</v>
      </c>
      <c r="PN17" s="75">
        <v>4</v>
      </c>
      <c r="PO17" s="75"/>
      <c r="PP17" s="75">
        <v>4</v>
      </c>
      <c r="PQ17" s="75">
        <v>4</v>
      </c>
      <c r="PR17" s="75">
        <v>1</v>
      </c>
      <c r="PS17" s="75"/>
      <c r="PT17" s="75">
        <v>1</v>
      </c>
      <c r="PU17" s="75">
        <v>4</v>
      </c>
      <c r="PV17" s="75"/>
      <c r="PW17" s="75">
        <v>4</v>
      </c>
      <c r="PX17" s="75">
        <v>4</v>
      </c>
      <c r="PY17" s="75">
        <v>4</v>
      </c>
      <c r="PZ17" s="75">
        <v>3</v>
      </c>
      <c r="QA17" s="75"/>
      <c r="QB17" s="75"/>
      <c r="QC17" s="75"/>
      <c r="QD17" s="75"/>
      <c r="QE17" s="75"/>
      <c r="QF17" s="75"/>
      <c r="QG17" s="75"/>
      <c r="QH17" s="75"/>
      <c r="QI17" s="75"/>
      <c r="QJ17" s="75"/>
      <c r="QK17" s="75"/>
      <c r="QL17" s="75"/>
      <c r="QM17" s="75"/>
      <c r="QN17" s="75"/>
      <c r="QO17" s="75">
        <v>1</v>
      </c>
      <c r="QP17" s="75">
        <v>2</v>
      </c>
      <c r="QQ17" s="75"/>
      <c r="QR17" s="75">
        <v>2</v>
      </c>
      <c r="QS17" s="75">
        <v>2</v>
      </c>
      <c r="QT17" s="75">
        <v>2</v>
      </c>
      <c r="QU17" s="75">
        <v>2</v>
      </c>
      <c r="QV17" s="75">
        <v>2</v>
      </c>
      <c r="QW17" s="75">
        <v>2</v>
      </c>
      <c r="QX17" s="75"/>
      <c r="QY17" s="75">
        <v>1</v>
      </c>
      <c r="QZ17" s="75"/>
      <c r="RA17" s="75"/>
      <c r="RB17" s="75"/>
      <c r="RC17" s="75"/>
      <c r="RD17" s="75"/>
      <c r="RE17" s="75"/>
      <c r="RF17" s="75"/>
      <c r="RG17" s="75"/>
      <c r="RH17" s="75"/>
      <c r="RI17" s="75"/>
      <c r="RJ17" s="75"/>
      <c r="RK17" s="75">
        <v>1</v>
      </c>
      <c r="RL17" s="75"/>
      <c r="RM17" s="75">
        <v>2</v>
      </c>
      <c r="RN17" s="75">
        <v>2</v>
      </c>
      <c r="RO17" s="75">
        <v>2</v>
      </c>
      <c r="RP17" s="75">
        <v>3</v>
      </c>
      <c r="RQ17" s="75">
        <v>4</v>
      </c>
      <c r="RR17" s="75">
        <v>4</v>
      </c>
      <c r="RS17" s="75"/>
      <c r="RT17" s="75">
        <v>4</v>
      </c>
      <c r="RU17" s="75">
        <v>3</v>
      </c>
      <c r="RV17" s="75">
        <v>2</v>
      </c>
      <c r="RW17" s="75">
        <v>2</v>
      </c>
      <c r="RX17" s="75">
        <v>4</v>
      </c>
      <c r="RY17" s="75">
        <v>5</v>
      </c>
      <c r="RZ17" s="75"/>
      <c r="SA17" s="75">
        <v>4</v>
      </c>
      <c r="SB17" s="75">
        <v>5</v>
      </c>
      <c r="SC17" s="75">
        <v>6</v>
      </c>
      <c r="SD17" s="75">
        <v>6</v>
      </c>
      <c r="SE17" s="75">
        <v>6</v>
      </c>
      <c r="SF17" s="75">
        <v>5</v>
      </c>
      <c r="SG17" s="75"/>
      <c r="SH17" s="75">
        <v>9</v>
      </c>
      <c r="SI17" s="75">
        <v>10</v>
      </c>
      <c r="SJ17" s="75">
        <v>10</v>
      </c>
      <c r="SK17" s="75">
        <v>9</v>
      </c>
      <c r="SL17" s="75">
        <v>8</v>
      </c>
      <c r="SM17" s="75">
        <v>10</v>
      </c>
      <c r="SN17" s="75"/>
      <c r="SO17" s="75">
        <v>12</v>
      </c>
      <c r="SP17" s="75">
        <v>11</v>
      </c>
      <c r="SQ17" s="75">
        <v>9</v>
      </c>
      <c r="SR17" s="75">
        <v>8</v>
      </c>
      <c r="SS17" s="75">
        <v>8</v>
      </c>
      <c r="ST17" s="75">
        <v>8</v>
      </c>
      <c r="SU17" s="75"/>
      <c r="SV17" s="75">
        <v>8</v>
      </c>
      <c r="SW17" s="75">
        <v>6</v>
      </c>
      <c r="SX17" s="75"/>
      <c r="SY17" s="75">
        <v>1</v>
      </c>
      <c r="SZ17" s="75">
        <v>4</v>
      </c>
      <c r="TA17" s="75">
        <v>5</v>
      </c>
      <c r="TB17" s="75"/>
      <c r="TC17" s="75">
        <v>8</v>
      </c>
      <c r="TD17" s="75">
        <v>8</v>
      </c>
      <c r="TE17" s="75">
        <v>8</v>
      </c>
      <c r="TF17" s="75">
        <v>8</v>
      </c>
      <c r="TG17" s="75">
        <v>8</v>
      </c>
      <c r="TH17" s="75">
        <v>9</v>
      </c>
      <c r="TI17" s="75"/>
      <c r="TJ17" s="75">
        <v>12</v>
      </c>
      <c r="TK17" s="75">
        <v>11</v>
      </c>
      <c r="TL17" s="75">
        <v>8</v>
      </c>
      <c r="TM17" s="75">
        <v>8</v>
      </c>
      <c r="TN17" s="75">
        <v>10</v>
      </c>
      <c r="TO17" s="75">
        <v>14</v>
      </c>
      <c r="TP17" s="75"/>
      <c r="TQ17" s="75">
        <v>8</v>
      </c>
      <c r="TR17" s="75">
        <v>8</v>
      </c>
      <c r="TS17" s="75">
        <v>8</v>
      </c>
      <c r="TT17" s="75">
        <v>8</v>
      </c>
      <c r="TU17" s="75">
        <v>8</v>
      </c>
      <c r="TV17" s="75">
        <v>8</v>
      </c>
      <c r="TW17" s="75"/>
      <c r="TX17" s="75">
        <v>6</v>
      </c>
      <c r="TY17" s="75">
        <v>2</v>
      </c>
      <c r="TZ17" s="75">
        <v>8</v>
      </c>
      <c r="UA17" s="75">
        <v>8</v>
      </c>
      <c r="UB17" s="75">
        <v>8</v>
      </c>
      <c r="UC17" s="75">
        <v>8</v>
      </c>
      <c r="UD17" s="75"/>
      <c r="UE17" s="75">
        <v>8</v>
      </c>
      <c r="UF17" s="75">
        <v>6</v>
      </c>
      <c r="UG17" s="75">
        <v>3</v>
      </c>
      <c r="UH17" s="75">
        <v>14</v>
      </c>
      <c r="UI17" s="75">
        <v>27</v>
      </c>
      <c r="UJ17" s="75">
        <v>27</v>
      </c>
      <c r="UK17" s="75"/>
      <c r="UL17" s="75">
        <v>27</v>
      </c>
      <c r="UM17" s="75">
        <v>27</v>
      </c>
      <c r="UN17" s="75">
        <v>27</v>
      </c>
      <c r="UO17" s="75">
        <v>26</v>
      </c>
      <c r="UP17" s="75">
        <v>20</v>
      </c>
      <c r="UQ17" s="75">
        <v>12</v>
      </c>
      <c r="UR17" s="75"/>
      <c r="US17" s="75">
        <v>6</v>
      </c>
      <c r="UT17" s="75">
        <v>6</v>
      </c>
      <c r="UU17" s="75">
        <v>6</v>
      </c>
      <c r="UV17" s="75">
        <v>6</v>
      </c>
      <c r="UW17" s="75">
        <v>6</v>
      </c>
      <c r="UX17" s="75">
        <v>5</v>
      </c>
      <c r="UY17" s="75"/>
      <c r="UZ17" s="75">
        <v>3</v>
      </c>
      <c r="VA17" s="75">
        <v>3</v>
      </c>
      <c r="VB17" s="75">
        <v>3</v>
      </c>
      <c r="VC17" s="75">
        <v>3</v>
      </c>
      <c r="VD17" s="75">
        <v>3</v>
      </c>
      <c r="VE17" s="75">
        <v>3</v>
      </c>
      <c r="VF17" s="75"/>
      <c r="VG17" s="75">
        <v>2</v>
      </c>
      <c r="VH17" s="75"/>
      <c r="VI17" s="75"/>
      <c r="VJ17" s="75"/>
      <c r="VK17" s="75"/>
      <c r="VL17" s="75"/>
      <c r="VM17" s="75"/>
      <c r="VN17" s="75"/>
      <c r="VO17" s="75"/>
      <c r="VP17" s="75"/>
      <c r="VQ17" s="75"/>
      <c r="VR17" s="75"/>
      <c r="VS17" s="75"/>
      <c r="VT17" s="75"/>
      <c r="VU17" s="75"/>
      <c r="VV17" s="75"/>
      <c r="VW17" s="75"/>
      <c r="VX17" s="75"/>
      <c r="VY17" s="75"/>
      <c r="VZ17" s="75"/>
      <c r="WA17" s="75"/>
      <c r="WB17" s="75"/>
      <c r="WC17" s="75"/>
      <c r="WD17" s="75"/>
      <c r="WE17" s="75"/>
      <c r="WF17" s="75"/>
      <c r="WG17" s="75"/>
      <c r="WH17" s="75"/>
      <c r="WI17" s="75"/>
      <c r="WJ17" s="75"/>
      <c r="WK17" s="75"/>
      <c r="WL17" s="75"/>
      <c r="WM17" s="75"/>
      <c r="WN17" s="75"/>
      <c r="WO17" s="75"/>
      <c r="WP17" s="75"/>
      <c r="WQ17" s="75"/>
      <c r="WR17" s="75"/>
      <c r="WS17" s="75"/>
      <c r="WT17" s="75"/>
      <c r="WU17" s="75"/>
      <c r="WV17" s="75"/>
      <c r="WW17" s="75"/>
      <c r="WX17" s="75"/>
      <c r="WY17" s="75"/>
      <c r="WZ17" s="75"/>
      <c r="XA17" s="75"/>
      <c r="XB17" s="75"/>
      <c r="XC17" s="75"/>
      <c r="XD17" s="75"/>
      <c r="XE17" s="75"/>
      <c r="XF17" s="75"/>
      <c r="XG17" s="75"/>
      <c r="XH17" s="75"/>
      <c r="XI17" s="75"/>
      <c r="XJ17" s="75"/>
      <c r="XK17" s="75"/>
      <c r="XL17" s="75"/>
      <c r="XM17" s="75"/>
      <c r="XN17" s="75"/>
      <c r="XO17" s="75"/>
      <c r="XP17" s="75"/>
      <c r="XQ17" s="75"/>
      <c r="XR17" s="75"/>
      <c r="XS17" s="75"/>
      <c r="XT17" s="75"/>
      <c r="XU17" s="75"/>
      <c r="XV17" s="75"/>
      <c r="XW17" s="75"/>
      <c r="XX17" s="75"/>
      <c r="XY17" s="75"/>
      <c r="XZ17" s="75"/>
      <c r="YA17" s="75"/>
      <c r="YB17" s="75"/>
      <c r="YC17" s="75"/>
      <c r="YD17" s="75"/>
      <c r="YE17" s="75"/>
      <c r="YF17" s="75"/>
      <c r="YG17" s="75"/>
      <c r="YH17" s="75"/>
      <c r="YI17" s="75"/>
      <c r="YJ17" s="75"/>
      <c r="YK17" s="75"/>
      <c r="YL17" s="75"/>
      <c r="YM17" s="75"/>
      <c r="YN17" s="75"/>
      <c r="YO17" s="75"/>
      <c r="YP17" s="75"/>
      <c r="YQ17" s="75"/>
      <c r="YR17" s="75"/>
      <c r="YS17" s="75"/>
      <c r="YT17" s="75"/>
      <c r="YU17" s="75"/>
      <c r="YV17" s="75"/>
      <c r="YW17" s="75"/>
      <c r="YX17" s="75"/>
      <c r="YY17" s="75"/>
      <c r="YZ17" s="75"/>
      <c r="ZA17" s="75"/>
      <c r="ZB17" s="75"/>
      <c r="ZC17" s="75"/>
      <c r="ZD17" s="75"/>
      <c r="ZE17" s="75"/>
      <c r="ZF17" s="75"/>
      <c r="ZG17" s="75"/>
      <c r="ZH17" s="75"/>
      <c r="ZI17" s="75"/>
      <c r="ZJ17" s="75"/>
      <c r="ZK17" s="75"/>
      <c r="ZL17" s="75"/>
      <c r="ZM17" s="75"/>
      <c r="ZN17" s="75"/>
      <c r="ZO17" s="75"/>
      <c r="ZP17" s="75"/>
      <c r="ZQ17" s="75"/>
      <c r="ZR17" s="75"/>
      <c r="ZS17" s="75"/>
      <c r="ZT17" s="75"/>
      <c r="ZU17" s="75"/>
      <c r="ZV17" s="75"/>
      <c r="ZW17" s="75"/>
      <c r="ZX17" s="75"/>
      <c r="ZY17" s="75"/>
      <c r="ZZ17" s="75"/>
      <c r="AAA17" s="75"/>
      <c r="AAB17" s="75"/>
      <c r="AAC17" s="75"/>
      <c r="AAD17" s="75"/>
      <c r="AAE17" s="75"/>
      <c r="AAF17" s="75"/>
      <c r="AAG17" s="75"/>
      <c r="AAH17" s="75"/>
      <c r="AAI17" s="75"/>
      <c r="AAJ17" s="75"/>
      <c r="AAK17" s="75"/>
      <c r="AAL17" s="75"/>
      <c r="AAM17" s="75"/>
      <c r="AAN17" s="75"/>
      <c r="AAO17" s="75"/>
      <c r="AAP17" s="75"/>
      <c r="AAQ17" s="75"/>
      <c r="AAR17" s="75"/>
      <c r="AAS17" s="75"/>
      <c r="AAT17" s="75"/>
      <c r="AAU17" s="75"/>
      <c r="AAV17" s="75"/>
      <c r="AAW17" s="75"/>
      <c r="AAX17" s="75"/>
      <c r="AAY17" s="75"/>
      <c r="AAZ17" s="75"/>
      <c r="ABA17" s="75"/>
      <c r="ABB17" s="75"/>
      <c r="ABC17" s="75"/>
    </row>
    <row r="18" spans="1:731">
      <c r="A18" s="75" t="s">
        <v>55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5"/>
      <c r="BF18" s="75"/>
      <c r="BG18" s="75"/>
      <c r="BH18" s="75"/>
      <c r="BI18" s="75"/>
      <c r="BJ18" s="75"/>
      <c r="BK18" s="75"/>
      <c r="BL18" s="75"/>
      <c r="BM18" s="75"/>
      <c r="BN18" s="75"/>
      <c r="BO18" s="75"/>
      <c r="BP18" s="75"/>
      <c r="BQ18" s="75"/>
      <c r="BR18" s="75"/>
      <c r="BS18" s="75"/>
      <c r="BT18" s="75"/>
      <c r="BU18" s="75"/>
      <c r="BV18" s="75"/>
      <c r="BW18" s="75"/>
      <c r="BX18" s="75"/>
      <c r="BY18" s="75"/>
      <c r="BZ18" s="75"/>
      <c r="CA18" s="75"/>
      <c r="CB18" s="75"/>
      <c r="CC18" s="75"/>
      <c r="CD18" s="75"/>
      <c r="CE18" s="75"/>
      <c r="CF18" s="75"/>
      <c r="CG18" s="75"/>
      <c r="CH18" s="75"/>
      <c r="CI18" s="75"/>
      <c r="CJ18" s="75"/>
      <c r="CK18" s="75"/>
      <c r="CL18" s="75"/>
      <c r="CM18" s="75"/>
      <c r="CN18" s="75"/>
      <c r="CO18" s="75"/>
      <c r="CP18" s="75"/>
      <c r="CQ18" s="75"/>
      <c r="CR18" s="75"/>
      <c r="CS18" s="75"/>
      <c r="CT18" s="75"/>
      <c r="CU18" s="75"/>
      <c r="CV18" s="75"/>
      <c r="CW18" s="75"/>
      <c r="CX18" s="75"/>
      <c r="CY18" s="75"/>
      <c r="CZ18" s="75"/>
      <c r="DA18" s="75"/>
      <c r="DB18" s="75"/>
      <c r="DC18" s="75"/>
      <c r="DD18" s="75"/>
      <c r="DE18" s="75"/>
      <c r="DF18" s="75"/>
      <c r="DG18" s="75"/>
      <c r="DH18" s="75"/>
      <c r="DI18" s="75"/>
      <c r="DJ18" s="75"/>
      <c r="DK18" s="75"/>
      <c r="DL18" s="75"/>
      <c r="DM18" s="75"/>
      <c r="DN18" s="75"/>
      <c r="DO18" s="75"/>
      <c r="DP18" s="75"/>
      <c r="DQ18" s="75"/>
      <c r="DR18" s="75"/>
      <c r="DS18" s="75"/>
      <c r="DT18" s="75"/>
      <c r="DU18" s="75"/>
      <c r="DV18" s="75"/>
      <c r="DW18" s="75"/>
      <c r="DX18" s="75"/>
      <c r="DY18" s="75"/>
      <c r="DZ18" s="75"/>
      <c r="EA18" s="75"/>
      <c r="EB18" s="75"/>
      <c r="EC18" s="75"/>
      <c r="ED18" s="75"/>
      <c r="EE18" s="75"/>
      <c r="EF18" s="75"/>
      <c r="EG18" s="75"/>
      <c r="EH18" s="75"/>
      <c r="EI18" s="75"/>
      <c r="EJ18" s="75"/>
      <c r="EK18" s="75"/>
      <c r="EL18" s="75"/>
      <c r="EM18" s="75"/>
      <c r="EN18" s="75"/>
      <c r="EO18" s="75"/>
      <c r="EP18" s="75"/>
      <c r="EQ18" s="75"/>
      <c r="ER18" s="75"/>
      <c r="ES18" s="75"/>
      <c r="ET18" s="75"/>
      <c r="EU18" s="75"/>
      <c r="EV18" s="75"/>
      <c r="EW18" s="75"/>
      <c r="EX18" s="75"/>
      <c r="EY18" s="75"/>
      <c r="EZ18" s="75"/>
      <c r="FA18" s="75"/>
      <c r="FB18" s="75"/>
      <c r="FC18" s="75"/>
      <c r="FD18" s="75"/>
      <c r="FE18" s="75"/>
      <c r="FF18" s="75"/>
      <c r="FG18" s="75"/>
      <c r="FH18" s="75"/>
      <c r="FI18" s="75"/>
      <c r="FJ18" s="75"/>
      <c r="FK18" s="75"/>
      <c r="FL18" s="75"/>
      <c r="FM18" s="75"/>
      <c r="FN18" s="75"/>
      <c r="FO18" s="75"/>
      <c r="FP18" s="75"/>
      <c r="FQ18" s="75"/>
      <c r="FR18" s="75"/>
      <c r="FS18" s="75"/>
      <c r="FT18" s="75"/>
      <c r="FU18" s="75"/>
      <c r="FV18" s="75"/>
      <c r="FW18" s="75"/>
      <c r="FX18" s="75"/>
      <c r="FY18" s="75"/>
      <c r="FZ18" s="75"/>
      <c r="GA18" s="75"/>
      <c r="GB18" s="75"/>
      <c r="GC18" s="75"/>
      <c r="GD18" s="75"/>
      <c r="GE18" s="75"/>
      <c r="GF18" s="75"/>
      <c r="GG18" s="75"/>
      <c r="GH18" s="75"/>
      <c r="GI18" s="75"/>
      <c r="GJ18" s="75"/>
      <c r="GK18" s="75"/>
      <c r="GL18" s="75"/>
      <c r="GM18" s="75"/>
      <c r="GN18" s="75"/>
      <c r="GO18" s="75"/>
      <c r="GP18" s="75"/>
      <c r="GQ18" s="75"/>
      <c r="GR18" s="75"/>
      <c r="GS18" s="75"/>
      <c r="GT18" s="75"/>
      <c r="GU18" s="75"/>
      <c r="GV18" s="75"/>
      <c r="GW18" s="75"/>
      <c r="GX18" s="75"/>
      <c r="GY18" s="75"/>
      <c r="GZ18" s="75"/>
      <c r="HA18" s="75"/>
      <c r="HB18" s="75"/>
      <c r="HC18" s="75"/>
      <c r="HD18" s="75"/>
      <c r="HE18" s="75"/>
      <c r="HF18" s="75"/>
      <c r="HG18" s="75"/>
      <c r="HH18" s="75"/>
      <c r="HI18" s="75"/>
      <c r="HJ18" s="75"/>
      <c r="HK18" s="75"/>
      <c r="HL18" s="75"/>
      <c r="HM18" s="75"/>
      <c r="HN18" s="75"/>
      <c r="HO18" s="75"/>
      <c r="HP18" s="75"/>
      <c r="HQ18" s="75"/>
      <c r="HR18" s="75"/>
      <c r="HS18" s="75"/>
      <c r="HT18" s="75"/>
      <c r="HU18" s="75"/>
      <c r="HV18" s="75"/>
      <c r="HW18" s="75"/>
      <c r="HX18" s="75"/>
      <c r="HY18" s="75"/>
      <c r="HZ18" s="75"/>
      <c r="IA18" s="75"/>
      <c r="IB18" s="75"/>
      <c r="IC18" s="75"/>
      <c r="ID18" s="75"/>
      <c r="IE18" s="75"/>
      <c r="IF18" s="75"/>
      <c r="IG18" s="75"/>
      <c r="IH18" s="75"/>
      <c r="II18" s="75"/>
      <c r="IJ18" s="75"/>
      <c r="IK18" s="75"/>
      <c r="IL18" s="75"/>
      <c r="IM18" s="75"/>
      <c r="IN18" s="75"/>
      <c r="IO18" s="75"/>
      <c r="IP18" s="75"/>
      <c r="IQ18" s="75"/>
      <c r="IR18" s="75"/>
      <c r="IS18" s="75"/>
      <c r="IT18" s="75"/>
      <c r="IU18" s="75"/>
      <c r="IV18" s="75"/>
      <c r="IW18" s="75"/>
      <c r="IX18" s="75"/>
      <c r="IY18" s="75"/>
      <c r="IZ18" s="75"/>
      <c r="JA18" s="75"/>
      <c r="JB18" s="75"/>
      <c r="JC18" s="75"/>
      <c r="JD18" s="75"/>
      <c r="JE18" s="75"/>
      <c r="JF18" s="75"/>
      <c r="JG18" s="75"/>
      <c r="JH18" s="75"/>
      <c r="JI18" s="75"/>
      <c r="JJ18" s="75"/>
      <c r="JK18" s="75"/>
      <c r="JL18" s="75"/>
      <c r="JM18" s="75"/>
      <c r="JN18" s="75"/>
      <c r="JO18" s="75"/>
      <c r="JP18" s="75"/>
      <c r="JQ18" s="75"/>
      <c r="JR18" s="75"/>
      <c r="JS18" s="75"/>
      <c r="JT18" s="75"/>
      <c r="JU18" s="75"/>
      <c r="JV18" s="75"/>
      <c r="JW18" s="75"/>
      <c r="JX18" s="75"/>
      <c r="JY18" s="75"/>
      <c r="JZ18" s="75"/>
      <c r="KA18" s="75"/>
      <c r="KB18" s="75"/>
      <c r="KC18" s="75"/>
      <c r="KD18" s="75"/>
      <c r="KE18" s="75"/>
      <c r="KF18" s="75"/>
      <c r="KG18" s="75"/>
      <c r="KH18" s="75"/>
      <c r="KI18" s="75"/>
      <c r="KJ18" s="75"/>
      <c r="KK18" s="75"/>
      <c r="KL18" s="75"/>
      <c r="KM18" s="75"/>
      <c r="KN18" s="75"/>
      <c r="KO18" s="75"/>
      <c r="KP18" s="75"/>
      <c r="KQ18" s="75"/>
      <c r="KR18" s="75"/>
      <c r="KS18" s="75"/>
      <c r="KT18" s="75"/>
      <c r="KU18" s="75"/>
      <c r="KV18" s="75"/>
      <c r="KW18" s="75"/>
      <c r="KX18" s="75"/>
      <c r="KY18" s="75"/>
      <c r="KZ18" s="75"/>
      <c r="LA18" s="75"/>
      <c r="LB18" s="75"/>
      <c r="LC18" s="75"/>
      <c r="LD18" s="75"/>
      <c r="LE18" s="75"/>
      <c r="LF18" s="75"/>
      <c r="LG18" s="75"/>
      <c r="LH18" s="75"/>
      <c r="LI18" s="75"/>
      <c r="LJ18" s="75"/>
      <c r="LK18" s="75"/>
      <c r="LL18" s="75"/>
      <c r="LM18" s="75"/>
      <c r="LN18" s="75"/>
      <c r="LO18" s="75"/>
      <c r="LP18" s="75"/>
      <c r="LQ18" s="75"/>
      <c r="LR18" s="75"/>
      <c r="LS18" s="75"/>
      <c r="LT18" s="75"/>
      <c r="LU18" s="75"/>
      <c r="LV18" s="75"/>
      <c r="LW18" s="75"/>
      <c r="LX18" s="75"/>
      <c r="LY18" s="75"/>
      <c r="LZ18" s="75"/>
      <c r="MA18" s="75"/>
      <c r="MB18" s="75"/>
      <c r="MC18" s="75"/>
      <c r="MD18" s="75"/>
      <c r="ME18" s="75"/>
      <c r="MF18" s="75"/>
      <c r="MG18" s="75"/>
      <c r="MH18" s="75"/>
      <c r="MI18" s="75"/>
      <c r="MJ18" s="75"/>
      <c r="MK18" s="75"/>
      <c r="ML18" s="75"/>
      <c r="MM18" s="75"/>
      <c r="MN18" s="75"/>
      <c r="MO18" s="75"/>
      <c r="MP18" s="75"/>
      <c r="MQ18" s="75"/>
      <c r="MR18" s="75"/>
      <c r="MS18" s="75"/>
      <c r="MT18" s="75"/>
      <c r="MU18" s="75"/>
      <c r="MV18" s="75"/>
      <c r="MW18" s="75"/>
      <c r="MX18" s="75"/>
      <c r="MY18" s="75"/>
      <c r="MZ18" s="75"/>
      <c r="NA18" s="75"/>
      <c r="NB18" s="75"/>
      <c r="NC18" s="75"/>
      <c r="ND18" s="75"/>
      <c r="NE18" s="75"/>
      <c r="NF18" s="75"/>
      <c r="NG18" s="75"/>
      <c r="NH18" s="75"/>
      <c r="NI18" s="75"/>
      <c r="NJ18" s="75"/>
      <c r="NK18" s="75"/>
      <c r="NL18" s="75"/>
      <c r="NM18" s="75"/>
      <c r="NN18" s="75"/>
      <c r="NO18" s="75"/>
      <c r="NP18" s="75"/>
      <c r="NQ18" s="75"/>
      <c r="NR18" s="75"/>
      <c r="NS18" s="75"/>
      <c r="NT18" s="75"/>
      <c r="NU18" s="75"/>
      <c r="NV18" s="75"/>
      <c r="NW18" s="75"/>
      <c r="NX18" s="75"/>
      <c r="NY18" s="75"/>
      <c r="NZ18" s="75"/>
      <c r="OA18" s="75"/>
      <c r="OB18" s="75"/>
      <c r="OC18" s="75"/>
      <c r="OD18" s="75"/>
      <c r="OE18" s="75"/>
      <c r="OF18" s="75"/>
      <c r="OG18" s="75"/>
      <c r="OH18" s="75"/>
      <c r="OI18" s="75"/>
      <c r="OJ18" s="75"/>
      <c r="OK18" s="75"/>
      <c r="OL18" s="75"/>
      <c r="OM18" s="75"/>
      <c r="ON18" s="75"/>
      <c r="OO18" s="75"/>
      <c r="OP18" s="75"/>
      <c r="OQ18" s="75"/>
      <c r="OR18" s="75"/>
      <c r="OS18" s="75"/>
      <c r="OT18" s="75"/>
      <c r="OU18" s="75"/>
      <c r="OV18" s="75"/>
      <c r="OW18" s="75"/>
      <c r="OX18" s="75"/>
      <c r="OY18" s="75"/>
      <c r="OZ18" s="75"/>
      <c r="PA18" s="75"/>
      <c r="PB18" s="75"/>
      <c r="PC18" s="75"/>
      <c r="PD18" s="75"/>
      <c r="PE18" s="75"/>
      <c r="PF18" s="75"/>
      <c r="PG18" s="75"/>
      <c r="PH18" s="75"/>
      <c r="PI18" s="75"/>
      <c r="PJ18" s="75"/>
      <c r="PK18" s="75"/>
      <c r="PL18" s="75"/>
      <c r="PM18" s="75"/>
      <c r="PN18" s="75"/>
      <c r="PO18" s="75"/>
      <c r="PP18" s="75"/>
      <c r="PQ18" s="75"/>
      <c r="PR18" s="75"/>
      <c r="PS18" s="75"/>
      <c r="PT18" s="75"/>
      <c r="PU18" s="75"/>
      <c r="PV18" s="75"/>
      <c r="PW18" s="75"/>
      <c r="PX18" s="75"/>
      <c r="PY18" s="75"/>
      <c r="PZ18" s="75"/>
      <c r="QA18" s="75"/>
      <c r="QB18" s="75"/>
      <c r="QC18" s="75"/>
      <c r="QD18" s="75">
        <v>12</v>
      </c>
      <c r="QE18" s="75">
        <v>12</v>
      </c>
      <c r="QF18" s="75">
        <v>12</v>
      </c>
      <c r="QG18" s="75">
        <v>12</v>
      </c>
      <c r="QH18" s="75">
        <v>12</v>
      </c>
      <c r="QI18" s="75">
        <v>12</v>
      </c>
      <c r="QJ18" s="75"/>
      <c r="QK18" s="75">
        <v>12</v>
      </c>
      <c r="QL18" s="75">
        <v>12</v>
      </c>
      <c r="QM18" s="75"/>
      <c r="QN18" s="75"/>
      <c r="QO18" s="75"/>
      <c r="QP18" s="75"/>
      <c r="QQ18" s="75"/>
      <c r="QR18" s="75"/>
      <c r="QS18" s="75"/>
      <c r="QT18" s="75"/>
      <c r="QU18" s="75"/>
      <c r="QV18" s="75"/>
      <c r="QW18" s="75"/>
      <c r="QX18" s="75"/>
      <c r="QY18" s="75"/>
      <c r="QZ18" s="75"/>
      <c r="RA18" s="75"/>
      <c r="RB18" s="75"/>
      <c r="RC18" s="75"/>
      <c r="RD18" s="75">
        <v>8</v>
      </c>
      <c r="RE18" s="75"/>
      <c r="RF18" s="75">
        <v>12</v>
      </c>
      <c r="RG18" s="75">
        <v>12</v>
      </c>
      <c r="RH18" s="75">
        <v>12</v>
      </c>
      <c r="RI18" s="75">
        <v>12</v>
      </c>
      <c r="RJ18" s="75">
        <v>12</v>
      </c>
      <c r="RK18" s="75">
        <v>12</v>
      </c>
      <c r="RL18" s="75"/>
      <c r="RM18" s="75">
        <v>14</v>
      </c>
      <c r="RN18" s="75">
        <v>16</v>
      </c>
      <c r="RO18" s="75">
        <v>12</v>
      </c>
      <c r="RP18" s="75">
        <v>12</v>
      </c>
      <c r="RQ18" s="75">
        <v>12</v>
      </c>
      <c r="RR18" s="75">
        <v>12</v>
      </c>
      <c r="RS18" s="75"/>
      <c r="RT18" s="75">
        <v>12</v>
      </c>
      <c r="RU18" s="75">
        <v>12</v>
      </c>
      <c r="RV18" s="75">
        <v>10</v>
      </c>
      <c r="RW18" s="75"/>
      <c r="RX18" s="75"/>
      <c r="RY18" s="75"/>
      <c r="RZ18" s="75"/>
      <c r="SA18" s="75"/>
      <c r="SB18" s="75"/>
      <c r="SC18" s="75"/>
      <c r="SD18" s="75"/>
      <c r="SE18" s="75"/>
      <c r="SF18" s="75"/>
      <c r="SG18" s="75"/>
      <c r="SH18" s="75"/>
      <c r="SI18" s="75"/>
      <c r="SJ18" s="75"/>
      <c r="SK18" s="75"/>
      <c r="SL18" s="75">
        <v>2</v>
      </c>
      <c r="SM18" s="75">
        <v>10</v>
      </c>
      <c r="SN18" s="75"/>
      <c r="SO18" s="75">
        <v>10</v>
      </c>
      <c r="SP18" s="75">
        <v>10</v>
      </c>
      <c r="SQ18" s="75">
        <v>10</v>
      </c>
      <c r="SR18" s="75">
        <v>10</v>
      </c>
      <c r="SS18" s="75">
        <v>10</v>
      </c>
      <c r="ST18" s="75">
        <v>10</v>
      </c>
      <c r="SU18" s="75"/>
      <c r="SV18" s="75">
        <v>8</v>
      </c>
      <c r="SW18" s="75"/>
      <c r="SX18" s="75"/>
      <c r="SY18" s="75"/>
      <c r="SZ18" s="75"/>
      <c r="TA18" s="75"/>
      <c r="TB18" s="75"/>
      <c r="TC18" s="75"/>
      <c r="TD18" s="75"/>
      <c r="TE18" s="75"/>
      <c r="TF18" s="75"/>
      <c r="TG18" s="75"/>
      <c r="TH18" s="75">
        <v>2</v>
      </c>
      <c r="TI18" s="75"/>
      <c r="TJ18" s="75">
        <v>10</v>
      </c>
      <c r="TK18" s="75">
        <v>10</v>
      </c>
      <c r="TL18" s="75">
        <v>10</v>
      </c>
      <c r="TM18" s="75">
        <v>10</v>
      </c>
      <c r="TN18" s="75">
        <v>10</v>
      </c>
      <c r="TO18" s="75">
        <v>10</v>
      </c>
      <c r="TP18" s="75"/>
      <c r="TQ18" s="75">
        <v>10</v>
      </c>
      <c r="TR18" s="75">
        <v>8</v>
      </c>
      <c r="TS18" s="75"/>
      <c r="TT18" s="75"/>
      <c r="TU18" s="75"/>
      <c r="TV18" s="75"/>
      <c r="TW18" s="75"/>
      <c r="TX18" s="75"/>
      <c r="TY18" s="75">
        <v>2</v>
      </c>
      <c r="TZ18" s="75">
        <v>10</v>
      </c>
      <c r="UA18" s="75">
        <v>10</v>
      </c>
      <c r="UB18" s="75">
        <v>10</v>
      </c>
      <c r="UC18" s="75">
        <v>10</v>
      </c>
      <c r="UD18" s="75"/>
      <c r="UE18" s="75">
        <v>10</v>
      </c>
      <c r="UF18" s="75">
        <v>10</v>
      </c>
      <c r="UG18" s="75">
        <v>10</v>
      </c>
      <c r="UH18" s="75">
        <v>8</v>
      </c>
      <c r="UI18" s="75"/>
      <c r="UJ18" s="75"/>
      <c r="UK18" s="75"/>
      <c r="UL18" s="75"/>
      <c r="UM18" s="75"/>
      <c r="UN18" s="75"/>
      <c r="UO18" s="75"/>
      <c r="UP18" s="75"/>
      <c r="UQ18" s="75"/>
      <c r="UR18" s="75"/>
      <c r="US18" s="75"/>
      <c r="UT18" s="75"/>
      <c r="UU18" s="75"/>
      <c r="UV18" s="75"/>
      <c r="UW18" s="75"/>
      <c r="UX18" s="75"/>
      <c r="UY18" s="75"/>
      <c r="UZ18" s="75"/>
      <c r="VA18" s="75"/>
      <c r="VB18" s="75"/>
      <c r="VC18" s="75"/>
      <c r="VD18" s="75"/>
      <c r="VE18" s="75"/>
      <c r="VF18" s="75"/>
      <c r="VG18" s="75"/>
      <c r="VH18" s="75"/>
      <c r="VI18" s="75"/>
      <c r="VJ18" s="75"/>
      <c r="VK18" s="75"/>
      <c r="VL18" s="75"/>
      <c r="VM18" s="75"/>
      <c r="VN18" s="75"/>
      <c r="VO18" s="75"/>
      <c r="VP18" s="75"/>
      <c r="VQ18" s="75"/>
      <c r="VR18" s="75"/>
      <c r="VS18" s="75"/>
      <c r="VT18" s="75"/>
      <c r="VU18" s="75"/>
      <c r="VV18" s="75"/>
      <c r="VW18" s="75"/>
      <c r="VX18" s="75"/>
      <c r="VY18" s="75"/>
      <c r="VZ18" s="75"/>
      <c r="WA18" s="75"/>
      <c r="WB18" s="75"/>
      <c r="WC18" s="75"/>
      <c r="WD18" s="75"/>
      <c r="WE18" s="75"/>
      <c r="WF18" s="75"/>
      <c r="WG18" s="75"/>
      <c r="WH18" s="75"/>
      <c r="WI18" s="75"/>
      <c r="WJ18" s="75"/>
      <c r="WK18" s="75"/>
      <c r="WL18" s="75"/>
      <c r="WM18" s="75"/>
      <c r="WN18" s="75"/>
      <c r="WO18" s="75"/>
      <c r="WP18" s="75"/>
      <c r="WQ18" s="75"/>
      <c r="WR18" s="75"/>
      <c r="WS18" s="75"/>
      <c r="WT18" s="75"/>
      <c r="WU18" s="75"/>
      <c r="WV18" s="75"/>
      <c r="WW18" s="75"/>
      <c r="WX18" s="75"/>
      <c r="WY18" s="75"/>
      <c r="WZ18" s="75"/>
      <c r="XA18" s="75"/>
      <c r="XB18" s="75"/>
      <c r="XC18" s="75"/>
      <c r="XD18" s="75"/>
      <c r="XE18" s="75"/>
      <c r="XF18" s="75"/>
      <c r="XG18" s="75"/>
      <c r="XH18" s="75"/>
      <c r="XI18" s="75"/>
      <c r="XJ18" s="75"/>
      <c r="XK18" s="75"/>
      <c r="XL18" s="75"/>
      <c r="XM18" s="75"/>
      <c r="XN18" s="75"/>
      <c r="XO18" s="75"/>
      <c r="XP18" s="75"/>
      <c r="XQ18" s="75"/>
      <c r="XR18" s="75"/>
      <c r="XS18" s="75"/>
      <c r="XT18" s="75"/>
      <c r="XU18" s="75"/>
      <c r="XV18" s="75"/>
      <c r="XW18" s="75"/>
      <c r="XX18" s="75"/>
      <c r="XY18" s="75"/>
      <c r="XZ18" s="75"/>
      <c r="YA18" s="75"/>
      <c r="YB18" s="75"/>
      <c r="YC18" s="75"/>
      <c r="YD18" s="75"/>
      <c r="YE18" s="75"/>
      <c r="YF18" s="75"/>
      <c r="YG18" s="75"/>
      <c r="YH18" s="75"/>
      <c r="YI18" s="75"/>
      <c r="YJ18" s="75"/>
      <c r="YK18" s="75"/>
      <c r="YL18" s="75"/>
      <c r="YM18" s="75"/>
      <c r="YN18" s="75"/>
      <c r="YO18" s="75"/>
      <c r="YP18" s="75"/>
      <c r="YQ18" s="75"/>
      <c r="YR18" s="75"/>
      <c r="YS18" s="75"/>
      <c r="YT18" s="75"/>
      <c r="YU18" s="75"/>
      <c r="YV18" s="75"/>
      <c r="YW18" s="75"/>
      <c r="YX18" s="75"/>
      <c r="YY18" s="75"/>
      <c r="YZ18" s="75"/>
      <c r="ZA18" s="75"/>
      <c r="ZB18" s="75"/>
      <c r="ZC18" s="75"/>
      <c r="ZD18" s="75"/>
      <c r="ZE18" s="75"/>
      <c r="ZF18" s="75"/>
      <c r="ZG18" s="75"/>
      <c r="ZH18" s="75"/>
      <c r="ZI18" s="75"/>
      <c r="ZJ18" s="75"/>
      <c r="ZK18" s="75"/>
      <c r="ZL18" s="75"/>
      <c r="ZM18" s="75"/>
      <c r="ZN18" s="75"/>
      <c r="ZO18" s="75"/>
      <c r="ZP18" s="75"/>
      <c r="ZQ18" s="75"/>
      <c r="ZR18" s="75"/>
      <c r="ZS18" s="75"/>
      <c r="ZT18" s="75"/>
      <c r="ZU18" s="75"/>
      <c r="ZV18" s="75"/>
      <c r="ZW18" s="75"/>
      <c r="ZX18" s="75"/>
      <c r="ZY18" s="75"/>
      <c r="ZZ18" s="75"/>
      <c r="AAA18" s="75"/>
      <c r="AAB18" s="75"/>
      <c r="AAC18" s="75"/>
      <c r="AAD18" s="75"/>
      <c r="AAE18" s="75"/>
      <c r="AAF18" s="75"/>
      <c r="AAG18" s="75"/>
      <c r="AAH18" s="75"/>
      <c r="AAI18" s="75"/>
      <c r="AAJ18" s="75"/>
      <c r="AAK18" s="75"/>
      <c r="AAL18" s="75"/>
      <c r="AAM18" s="75"/>
      <c r="AAN18" s="75"/>
      <c r="AAO18" s="75"/>
      <c r="AAP18" s="75"/>
      <c r="AAQ18" s="75"/>
      <c r="AAR18" s="75"/>
      <c r="AAS18" s="75"/>
      <c r="AAT18" s="75"/>
      <c r="AAU18" s="75"/>
      <c r="AAV18" s="75"/>
      <c r="AAW18" s="75"/>
      <c r="AAX18" s="75"/>
      <c r="AAY18" s="75"/>
      <c r="AAZ18" s="75"/>
      <c r="ABA18" s="75"/>
      <c r="ABB18" s="75"/>
      <c r="ABC18" s="75"/>
    </row>
    <row r="19" spans="1:731">
      <c r="A19" s="75" t="s">
        <v>56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5"/>
      <c r="BF19" s="75"/>
      <c r="BG19" s="75"/>
      <c r="BH19" s="75"/>
      <c r="BI19" s="75"/>
      <c r="BJ19" s="75"/>
      <c r="BK19" s="75"/>
      <c r="BL19" s="75"/>
      <c r="BM19" s="75"/>
      <c r="BN19" s="75"/>
      <c r="BO19" s="75"/>
      <c r="BP19" s="75"/>
      <c r="BQ19" s="75"/>
      <c r="BR19" s="75"/>
      <c r="BS19" s="75"/>
      <c r="BT19" s="75"/>
      <c r="BU19" s="75"/>
      <c r="BV19" s="75"/>
      <c r="BW19" s="75"/>
      <c r="BX19" s="75"/>
      <c r="BY19" s="75"/>
      <c r="BZ19" s="75"/>
      <c r="CA19" s="75"/>
      <c r="CB19" s="75"/>
      <c r="CC19" s="75"/>
      <c r="CD19" s="75"/>
      <c r="CE19" s="75"/>
      <c r="CF19" s="75"/>
      <c r="CG19" s="75"/>
      <c r="CH19" s="75"/>
      <c r="CI19" s="75"/>
      <c r="CJ19" s="75"/>
      <c r="CK19" s="75"/>
      <c r="CL19" s="75"/>
      <c r="CM19" s="75"/>
      <c r="CN19" s="75"/>
      <c r="CO19" s="75"/>
      <c r="CP19" s="75"/>
      <c r="CQ19" s="75"/>
      <c r="CR19" s="75"/>
      <c r="CS19" s="75"/>
      <c r="CT19" s="75"/>
      <c r="CU19" s="75"/>
      <c r="CV19" s="75"/>
      <c r="CW19" s="75"/>
      <c r="CX19" s="75"/>
      <c r="CY19" s="75"/>
      <c r="CZ19" s="75"/>
      <c r="DA19" s="75"/>
      <c r="DB19" s="75"/>
      <c r="DC19" s="75"/>
      <c r="DD19" s="75"/>
      <c r="DE19" s="75"/>
      <c r="DF19" s="75"/>
      <c r="DG19" s="75"/>
      <c r="DH19" s="75"/>
      <c r="DI19" s="75"/>
      <c r="DJ19" s="75"/>
      <c r="DK19" s="75"/>
      <c r="DL19" s="75"/>
      <c r="DM19" s="75"/>
      <c r="DN19" s="75"/>
      <c r="DO19" s="75"/>
      <c r="DP19" s="75"/>
      <c r="DQ19" s="75"/>
      <c r="DR19" s="75"/>
      <c r="DS19" s="75"/>
      <c r="DT19" s="75"/>
      <c r="DU19" s="75"/>
      <c r="DV19" s="75"/>
      <c r="DW19" s="75"/>
      <c r="DX19" s="75"/>
      <c r="DY19" s="75"/>
      <c r="DZ19" s="75"/>
      <c r="EA19" s="75"/>
      <c r="EB19" s="75"/>
      <c r="EC19" s="75"/>
      <c r="ED19" s="75"/>
      <c r="EE19" s="75"/>
      <c r="EF19" s="75"/>
      <c r="EG19" s="75"/>
      <c r="EH19" s="75"/>
      <c r="EI19" s="75"/>
      <c r="EJ19" s="75"/>
      <c r="EK19" s="75"/>
      <c r="EL19" s="75"/>
      <c r="EM19" s="75"/>
      <c r="EN19" s="75"/>
      <c r="EO19" s="75"/>
      <c r="EP19" s="75"/>
      <c r="EQ19" s="75"/>
      <c r="ER19" s="75"/>
      <c r="ES19" s="75"/>
      <c r="ET19" s="75"/>
      <c r="EU19" s="75"/>
      <c r="EV19" s="75"/>
      <c r="EW19" s="75"/>
      <c r="EX19" s="75"/>
      <c r="EY19" s="75"/>
      <c r="EZ19" s="75"/>
      <c r="FA19" s="75"/>
      <c r="FB19" s="75"/>
      <c r="FC19" s="75"/>
      <c r="FD19" s="75"/>
      <c r="FE19" s="75"/>
      <c r="FF19" s="75"/>
      <c r="FG19" s="75"/>
      <c r="FH19" s="75"/>
      <c r="FI19" s="75"/>
      <c r="FJ19" s="75"/>
      <c r="FK19" s="75"/>
      <c r="FL19" s="75"/>
      <c r="FM19" s="75"/>
      <c r="FN19" s="75"/>
      <c r="FO19" s="75"/>
      <c r="FP19" s="75"/>
      <c r="FQ19" s="75"/>
      <c r="FR19" s="75"/>
      <c r="FS19" s="75"/>
      <c r="FT19" s="75"/>
      <c r="FU19" s="75"/>
      <c r="FV19" s="75"/>
      <c r="FW19" s="75"/>
      <c r="FX19" s="75"/>
      <c r="FY19" s="75"/>
      <c r="FZ19" s="75"/>
      <c r="GA19" s="75"/>
      <c r="GB19" s="75"/>
      <c r="GC19" s="75"/>
      <c r="GD19" s="75"/>
      <c r="GE19" s="75"/>
      <c r="GF19" s="75"/>
      <c r="GG19" s="75"/>
      <c r="GH19" s="75"/>
      <c r="GI19" s="75"/>
      <c r="GJ19" s="75"/>
      <c r="GK19" s="75"/>
      <c r="GL19" s="75"/>
      <c r="GM19" s="75"/>
      <c r="GN19" s="75"/>
      <c r="GO19" s="75"/>
      <c r="GP19" s="75"/>
      <c r="GQ19" s="75"/>
      <c r="GR19" s="75"/>
      <c r="GS19" s="75"/>
      <c r="GT19" s="75"/>
      <c r="GU19" s="75"/>
      <c r="GV19" s="75"/>
      <c r="GW19" s="75"/>
      <c r="GX19" s="75"/>
      <c r="GY19" s="75"/>
      <c r="GZ19" s="75"/>
      <c r="HA19" s="75"/>
      <c r="HB19" s="75"/>
      <c r="HC19" s="75"/>
      <c r="HD19" s="75"/>
      <c r="HE19" s="75"/>
      <c r="HF19" s="75"/>
      <c r="HG19" s="75"/>
      <c r="HH19" s="75"/>
      <c r="HI19" s="75"/>
      <c r="HJ19" s="75"/>
      <c r="HK19" s="75"/>
      <c r="HL19" s="75"/>
      <c r="HM19" s="75"/>
      <c r="HN19" s="75"/>
      <c r="HO19" s="75"/>
      <c r="HP19" s="75"/>
      <c r="HQ19" s="75"/>
      <c r="HR19" s="75"/>
      <c r="HS19" s="75"/>
      <c r="HT19" s="75"/>
      <c r="HU19" s="75"/>
      <c r="HV19" s="75"/>
      <c r="HW19" s="75"/>
      <c r="HX19" s="75"/>
      <c r="HY19" s="75"/>
      <c r="HZ19" s="75"/>
      <c r="IA19" s="75"/>
      <c r="IB19" s="75"/>
      <c r="IC19" s="75"/>
      <c r="ID19" s="75"/>
      <c r="IE19" s="75"/>
      <c r="IF19" s="75"/>
      <c r="IG19" s="75"/>
      <c r="IH19" s="75"/>
      <c r="II19" s="75"/>
      <c r="IJ19" s="75"/>
      <c r="IK19" s="75"/>
      <c r="IL19" s="75"/>
      <c r="IM19" s="75"/>
      <c r="IN19" s="75"/>
      <c r="IO19" s="75"/>
      <c r="IP19" s="75"/>
      <c r="IQ19" s="75"/>
      <c r="IR19" s="75"/>
      <c r="IS19" s="75"/>
      <c r="IT19" s="75"/>
      <c r="IU19" s="75"/>
      <c r="IV19" s="75"/>
      <c r="IW19" s="75"/>
      <c r="IX19" s="75"/>
      <c r="IY19" s="75"/>
      <c r="IZ19" s="75"/>
      <c r="JA19" s="75"/>
      <c r="JB19" s="75"/>
      <c r="JC19" s="75"/>
      <c r="JD19" s="75"/>
      <c r="JE19" s="75"/>
      <c r="JF19" s="75"/>
      <c r="JG19" s="75"/>
      <c r="JH19" s="75"/>
      <c r="JI19" s="75"/>
      <c r="JJ19" s="75"/>
      <c r="JK19" s="75"/>
      <c r="JL19" s="75"/>
      <c r="JM19" s="75"/>
      <c r="JN19" s="75"/>
      <c r="JO19" s="75"/>
      <c r="JP19" s="75"/>
      <c r="JQ19" s="75"/>
      <c r="JR19" s="75"/>
      <c r="JS19" s="75"/>
      <c r="JT19" s="75"/>
      <c r="JU19" s="75"/>
      <c r="JV19" s="75"/>
      <c r="JW19" s="75"/>
      <c r="JX19" s="75"/>
      <c r="JY19" s="75"/>
      <c r="JZ19" s="75"/>
      <c r="KA19" s="75"/>
      <c r="KB19" s="75"/>
      <c r="KC19" s="75"/>
      <c r="KD19" s="75"/>
      <c r="KE19" s="75"/>
      <c r="KF19" s="75"/>
      <c r="KG19" s="75"/>
      <c r="KH19" s="75"/>
      <c r="KI19" s="75"/>
      <c r="KJ19" s="75"/>
      <c r="KK19" s="75"/>
      <c r="KL19" s="75"/>
      <c r="KM19" s="75"/>
      <c r="KN19" s="75"/>
      <c r="KO19" s="75"/>
      <c r="KP19" s="75"/>
      <c r="KQ19" s="75"/>
      <c r="KR19" s="75"/>
      <c r="KS19" s="75"/>
      <c r="KT19" s="75"/>
      <c r="KU19" s="75"/>
      <c r="KV19" s="75"/>
      <c r="KW19" s="75"/>
      <c r="KX19" s="75"/>
      <c r="KY19" s="75"/>
      <c r="KZ19" s="75"/>
      <c r="LA19" s="75"/>
      <c r="LB19" s="75"/>
      <c r="LC19" s="75"/>
      <c r="LD19" s="75"/>
      <c r="LE19" s="75"/>
      <c r="LF19" s="75"/>
      <c r="LG19" s="75"/>
      <c r="LH19" s="75"/>
      <c r="LI19" s="75"/>
      <c r="LJ19" s="75"/>
      <c r="LK19" s="75"/>
      <c r="LL19" s="75"/>
      <c r="LM19" s="75"/>
      <c r="LN19" s="75"/>
      <c r="LO19" s="75"/>
      <c r="LP19" s="75"/>
      <c r="LQ19" s="75"/>
      <c r="LR19" s="75"/>
      <c r="LS19" s="75"/>
      <c r="LT19" s="75"/>
      <c r="LU19" s="75"/>
      <c r="LV19" s="75"/>
      <c r="LW19" s="75"/>
      <c r="LX19" s="75"/>
      <c r="LY19" s="75"/>
      <c r="LZ19" s="75"/>
      <c r="MA19" s="75"/>
      <c r="MB19" s="75"/>
      <c r="MC19" s="75"/>
      <c r="MD19" s="75"/>
      <c r="ME19" s="75"/>
      <c r="MF19" s="75"/>
      <c r="MG19" s="75"/>
      <c r="MH19" s="75"/>
      <c r="MI19" s="75"/>
      <c r="MJ19" s="75"/>
      <c r="MK19" s="75"/>
      <c r="ML19" s="75"/>
      <c r="MM19" s="75"/>
      <c r="MN19" s="75"/>
      <c r="MO19" s="75"/>
      <c r="MP19" s="75"/>
      <c r="MQ19" s="75"/>
      <c r="MR19" s="75"/>
      <c r="MS19" s="75"/>
      <c r="MT19" s="75"/>
      <c r="MU19" s="75"/>
      <c r="MV19" s="75"/>
      <c r="MW19" s="75"/>
      <c r="MX19" s="75"/>
      <c r="MY19" s="75"/>
      <c r="MZ19" s="75"/>
      <c r="NA19" s="75"/>
      <c r="NB19" s="75"/>
      <c r="NC19" s="75"/>
      <c r="ND19" s="75"/>
      <c r="NE19" s="75"/>
      <c r="NF19" s="75"/>
      <c r="NG19" s="75"/>
      <c r="NH19" s="75"/>
      <c r="NI19" s="75"/>
      <c r="NJ19" s="75"/>
      <c r="NK19" s="75"/>
      <c r="NL19" s="75"/>
      <c r="NM19" s="75"/>
      <c r="NN19" s="75"/>
      <c r="NO19" s="75"/>
      <c r="NP19" s="75"/>
      <c r="NQ19" s="75"/>
      <c r="NR19" s="75"/>
      <c r="NS19" s="75"/>
      <c r="NT19" s="75"/>
      <c r="NU19" s="75"/>
      <c r="NV19" s="75"/>
      <c r="NW19" s="75"/>
      <c r="NX19" s="75"/>
      <c r="NY19" s="75"/>
      <c r="NZ19" s="75"/>
      <c r="OA19" s="75"/>
      <c r="OB19" s="75"/>
      <c r="OC19" s="75"/>
      <c r="OD19" s="75"/>
      <c r="OE19" s="75"/>
      <c r="OF19" s="75"/>
      <c r="OG19" s="75"/>
      <c r="OH19" s="75"/>
      <c r="OI19" s="75"/>
      <c r="OJ19" s="75"/>
      <c r="OK19" s="75"/>
      <c r="OL19" s="75"/>
      <c r="OM19" s="75"/>
      <c r="ON19" s="75"/>
      <c r="OO19" s="75"/>
      <c r="OP19" s="75"/>
      <c r="OQ19" s="75"/>
      <c r="OR19" s="75"/>
      <c r="OS19" s="75"/>
      <c r="OT19" s="75"/>
      <c r="OU19" s="75"/>
      <c r="OV19" s="75"/>
      <c r="OW19" s="75"/>
      <c r="OX19" s="75"/>
      <c r="OY19" s="75"/>
      <c r="OZ19" s="75"/>
      <c r="PA19" s="75"/>
      <c r="PB19" s="75"/>
      <c r="PC19" s="75"/>
      <c r="PD19" s="75"/>
      <c r="PE19" s="75"/>
      <c r="PF19" s="75"/>
      <c r="PG19" s="75"/>
      <c r="PH19" s="75"/>
      <c r="PI19" s="75"/>
      <c r="PJ19" s="75"/>
      <c r="PK19" s="75"/>
      <c r="PL19" s="75"/>
      <c r="PM19" s="75"/>
      <c r="PN19" s="75"/>
      <c r="PO19" s="75"/>
      <c r="PP19" s="75"/>
      <c r="PQ19" s="75"/>
      <c r="PR19" s="75">
        <v>10</v>
      </c>
      <c r="PS19" s="75">
        <v>10</v>
      </c>
      <c r="PT19" s="75">
        <v>10</v>
      </c>
      <c r="PU19" s="75">
        <v>10</v>
      </c>
      <c r="PV19" s="75"/>
      <c r="PW19" s="75">
        <v>10</v>
      </c>
      <c r="PX19" s="75">
        <v>10</v>
      </c>
      <c r="PY19" s="75">
        <v>10</v>
      </c>
      <c r="PZ19" s="75">
        <v>10</v>
      </c>
      <c r="QA19" s="75">
        <v>10</v>
      </c>
      <c r="QB19" s="75">
        <v>10</v>
      </c>
      <c r="QC19" s="75"/>
      <c r="QD19" s="75"/>
      <c r="QE19" s="75"/>
      <c r="QF19" s="75"/>
      <c r="QG19" s="75"/>
      <c r="QH19" s="75"/>
      <c r="QI19" s="75"/>
      <c r="QJ19" s="75"/>
      <c r="QK19" s="75"/>
      <c r="QL19" s="75"/>
      <c r="QM19" s="75"/>
      <c r="QN19" s="75"/>
      <c r="QO19" s="75"/>
      <c r="QP19" s="75"/>
      <c r="QQ19" s="75"/>
      <c r="QR19" s="75"/>
      <c r="QS19" s="75">
        <v>7</v>
      </c>
      <c r="QT19" s="75">
        <v>10</v>
      </c>
      <c r="QU19" s="75">
        <v>10</v>
      </c>
      <c r="QV19" s="75">
        <v>10</v>
      </c>
      <c r="QW19" s="75">
        <v>10</v>
      </c>
      <c r="QX19" s="75"/>
      <c r="QY19" s="75">
        <v>10</v>
      </c>
      <c r="QZ19" s="75">
        <v>10</v>
      </c>
      <c r="RA19" s="75">
        <v>12</v>
      </c>
      <c r="RB19" s="75">
        <v>20</v>
      </c>
      <c r="RC19" s="75">
        <v>20</v>
      </c>
      <c r="RD19" s="75">
        <v>13</v>
      </c>
      <c r="RE19" s="75"/>
      <c r="RF19" s="75">
        <v>10</v>
      </c>
      <c r="RG19" s="75">
        <v>10</v>
      </c>
      <c r="RH19" s="75">
        <v>10</v>
      </c>
      <c r="RI19" s="75">
        <v>10</v>
      </c>
      <c r="RJ19" s="75">
        <v>10</v>
      </c>
      <c r="RK19" s="75">
        <v>10</v>
      </c>
      <c r="RL19" s="75"/>
      <c r="RM19" s="75">
        <v>8</v>
      </c>
      <c r="RN19" s="75"/>
      <c r="RO19" s="75"/>
      <c r="RP19" s="75"/>
      <c r="RQ19" s="75"/>
      <c r="RR19" s="75"/>
      <c r="RS19" s="75"/>
      <c r="RT19" s="75"/>
      <c r="RU19" s="75"/>
      <c r="RV19" s="75"/>
      <c r="RW19" s="75"/>
      <c r="RX19" s="75"/>
      <c r="RY19" s="75"/>
      <c r="RZ19" s="75"/>
      <c r="SA19" s="75">
        <v>4</v>
      </c>
      <c r="SB19" s="75">
        <v>20</v>
      </c>
      <c r="SC19" s="75">
        <v>20</v>
      </c>
      <c r="SD19" s="75">
        <v>20</v>
      </c>
      <c r="SE19" s="75">
        <v>20</v>
      </c>
      <c r="SF19" s="75">
        <v>20</v>
      </c>
      <c r="SG19" s="75"/>
      <c r="SH19" s="75">
        <v>20</v>
      </c>
      <c r="SI19" s="75">
        <v>20</v>
      </c>
      <c r="SJ19" s="75">
        <v>20</v>
      </c>
      <c r="SK19" s="75">
        <v>20</v>
      </c>
      <c r="SL19" s="75">
        <v>16</v>
      </c>
      <c r="SM19" s="75"/>
      <c r="SN19" s="75"/>
      <c r="SO19" s="75"/>
      <c r="SP19" s="75"/>
      <c r="SQ19" s="75"/>
      <c r="SR19" s="75"/>
      <c r="SS19" s="75"/>
      <c r="ST19" s="75"/>
      <c r="SU19" s="75"/>
      <c r="SV19" s="75"/>
      <c r="SW19" s="75">
        <v>4</v>
      </c>
      <c r="SX19" s="75">
        <v>20</v>
      </c>
      <c r="SY19" s="75">
        <v>20</v>
      </c>
      <c r="SZ19" s="75">
        <v>20</v>
      </c>
      <c r="TA19" s="75">
        <v>20</v>
      </c>
      <c r="TB19" s="75"/>
      <c r="TC19" s="75">
        <v>20</v>
      </c>
      <c r="TD19" s="75">
        <v>20</v>
      </c>
      <c r="TE19" s="75">
        <v>20</v>
      </c>
      <c r="TF19" s="75">
        <v>20</v>
      </c>
      <c r="TG19" s="75">
        <v>20</v>
      </c>
      <c r="TH19" s="75">
        <v>16</v>
      </c>
      <c r="TI19" s="75"/>
      <c r="TJ19" s="75"/>
      <c r="TK19" s="75"/>
      <c r="TL19" s="75"/>
      <c r="TM19" s="75">
        <v>6</v>
      </c>
      <c r="TN19" s="75">
        <v>28</v>
      </c>
      <c r="TO19" s="75">
        <v>29</v>
      </c>
      <c r="TP19" s="75"/>
      <c r="TQ19" s="75">
        <v>32</v>
      </c>
      <c r="TR19" s="75">
        <v>32</v>
      </c>
      <c r="TS19" s="75">
        <v>32</v>
      </c>
      <c r="TT19" s="75">
        <v>32</v>
      </c>
      <c r="TU19" s="75">
        <v>32</v>
      </c>
      <c r="TV19" s="75">
        <v>36</v>
      </c>
      <c r="TW19" s="75"/>
      <c r="TX19" s="75">
        <v>50</v>
      </c>
      <c r="TY19" s="75">
        <v>50</v>
      </c>
      <c r="TZ19" s="75">
        <v>44</v>
      </c>
      <c r="UA19" s="75">
        <v>42</v>
      </c>
      <c r="UB19" s="75">
        <v>32</v>
      </c>
      <c r="UC19" s="75">
        <v>35</v>
      </c>
      <c r="UD19" s="75"/>
      <c r="UE19" s="75">
        <v>42</v>
      </c>
      <c r="UF19" s="75">
        <v>52</v>
      </c>
      <c r="UG19" s="75">
        <v>57</v>
      </c>
      <c r="UH19" s="75">
        <v>64</v>
      </c>
      <c r="UI19" s="75">
        <v>67</v>
      </c>
      <c r="UJ19" s="75">
        <v>70</v>
      </c>
      <c r="UK19" s="75"/>
      <c r="UL19" s="75">
        <v>60</v>
      </c>
      <c r="UM19" s="75">
        <v>60</v>
      </c>
      <c r="UN19" s="75">
        <v>58</v>
      </c>
      <c r="UO19" s="75">
        <v>52</v>
      </c>
      <c r="UP19" s="75">
        <v>51</v>
      </c>
      <c r="UQ19" s="75">
        <v>39</v>
      </c>
      <c r="UR19" s="75"/>
      <c r="US19" s="75">
        <v>30</v>
      </c>
      <c r="UT19" s="75">
        <v>22</v>
      </c>
      <c r="UU19" s="75">
        <v>19</v>
      </c>
      <c r="UV19" s="75">
        <v>20</v>
      </c>
      <c r="UW19" s="75">
        <v>22</v>
      </c>
      <c r="UX19" s="75">
        <v>30</v>
      </c>
      <c r="UY19" s="75"/>
      <c r="UZ19" s="75">
        <v>30</v>
      </c>
      <c r="VA19" s="75">
        <v>25</v>
      </c>
      <c r="VB19" s="75">
        <v>22</v>
      </c>
      <c r="VC19" s="75">
        <v>23</v>
      </c>
      <c r="VD19" s="75">
        <v>26</v>
      </c>
      <c r="VE19" s="75">
        <v>26</v>
      </c>
      <c r="VF19" s="75"/>
      <c r="VG19" s="75">
        <v>26</v>
      </c>
      <c r="VH19" s="75">
        <v>26</v>
      </c>
      <c r="VI19" s="75">
        <v>30</v>
      </c>
      <c r="VJ19" s="75">
        <v>30</v>
      </c>
      <c r="VK19" s="75">
        <v>30</v>
      </c>
      <c r="VL19" s="75">
        <v>30</v>
      </c>
      <c r="VM19" s="75"/>
      <c r="VN19" s="75">
        <v>18</v>
      </c>
      <c r="VO19" s="75">
        <v>15</v>
      </c>
      <c r="VP19" s="75">
        <v>4</v>
      </c>
      <c r="VQ19" s="75">
        <v>6</v>
      </c>
      <c r="VR19" s="75">
        <v>6</v>
      </c>
      <c r="VS19" s="75">
        <v>6</v>
      </c>
      <c r="VT19" s="75"/>
      <c r="VU19" s="75">
        <v>2</v>
      </c>
      <c r="VV19" s="75">
        <v>2</v>
      </c>
      <c r="VW19" s="75">
        <v>2</v>
      </c>
      <c r="VX19" s="75">
        <v>2</v>
      </c>
      <c r="VY19" s="75">
        <v>2</v>
      </c>
      <c r="VZ19" s="75">
        <v>2</v>
      </c>
      <c r="WA19" s="75"/>
      <c r="WB19" s="75">
        <v>6</v>
      </c>
      <c r="WC19" s="75">
        <v>6</v>
      </c>
      <c r="WD19" s="75">
        <v>6</v>
      </c>
      <c r="WE19" s="75">
        <v>6</v>
      </c>
      <c r="WF19" s="75">
        <v>6</v>
      </c>
      <c r="WG19" s="75">
        <v>6</v>
      </c>
      <c r="WH19" s="75"/>
      <c r="WI19" s="75">
        <v>4</v>
      </c>
      <c r="WJ19" s="75">
        <v>4</v>
      </c>
      <c r="WK19" s="75">
        <v>4</v>
      </c>
      <c r="WL19" s="75">
        <v>4</v>
      </c>
      <c r="WM19" s="75"/>
      <c r="WN19" s="75"/>
      <c r="WO19" s="75"/>
      <c r="WP19" s="75"/>
      <c r="WQ19" s="75"/>
      <c r="WR19" s="75"/>
      <c r="WS19" s="75"/>
      <c r="WT19" s="75"/>
      <c r="WU19" s="75"/>
      <c r="WV19" s="75"/>
      <c r="WW19" s="75"/>
      <c r="WX19" s="75"/>
      <c r="WY19" s="75"/>
      <c r="WZ19" s="75"/>
      <c r="XA19" s="75"/>
      <c r="XB19" s="75"/>
      <c r="XC19" s="75"/>
      <c r="XD19" s="75"/>
      <c r="XE19" s="75"/>
      <c r="XF19" s="75"/>
      <c r="XG19" s="75"/>
      <c r="XH19" s="75"/>
      <c r="XI19" s="75"/>
      <c r="XJ19" s="75"/>
      <c r="XK19" s="75"/>
      <c r="XL19" s="75"/>
      <c r="XM19" s="75"/>
      <c r="XN19" s="75"/>
      <c r="XO19" s="75"/>
      <c r="XP19" s="75"/>
      <c r="XQ19" s="75"/>
      <c r="XR19" s="75"/>
      <c r="XS19" s="75"/>
      <c r="XT19" s="75"/>
      <c r="XU19" s="75"/>
      <c r="XV19" s="75"/>
      <c r="XW19" s="75"/>
      <c r="XX19" s="75"/>
      <c r="XY19" s="75"/>
      <c r="XZ19" s="75"/>
      <c r="YA19" s="75"/>
      <c r="YB19" s="75"/>
      <c r="YC19" s="75"/>
      <c r="YD19" s="75"/>
      <c r="YE19" s="75"/>
      <c r="YF19" s="75"/>
      <c r="YG19" s="75"/>
      <c r="YH19" s="75"/>
      <c r="YI19" s="75"/>
      <c r="YJ19" s="75"/>
      <c r="YK19" s="75"/>
      <c r="YL19" s="75"/>
      <c r="YM19" s="75"/>
      <c r="YN19" s="75"/>
      <c r="YO19" s="75"/>
      <c r="YP19" s="75"/>
      <c r="YQ19" s="75"/>
      <c r="YR19" s="75"/>
      <c r="YS19" s="75"/>
      <c r="YT19" s="75"/>
      <c r="YU19" s="75"/>
      <c r="YV19" s="75"/>
      <c r="YW19" s="75"/>
      <c r="YX19" s="75"/>
      <c r="YY19" s="75"/>
      <c r="YZ19" s="75"/>
      <c r="ZA19" s="75"/>
      <c r="ZB19" s="75"/>
      <c r="ZC19" s="75"/>
      <c r="ZD19" s="75"/>
      <c r="ZE19" s="75"/>
      <c r="ZF19" s="75"/>
      <c r="ZG19" s="75"/>
      <c r="ZH19" s="75"/>
      <c r="ZI19" s="75"/>
      <c r="ZJ19" s="75"/>
      <c r="ZK19" s="75"/>
      <c r="ZL19" s="75"/>
      <c r="ZM19" s="75"/>
      <c r="ZN19" s="75"/>
      <c r="ZO19" s="75"/>
      <c r="ZP19" s="75"/>
      <c r="ZQ19" s="75"/>
      <c r="ZR19" s="75"/>
      <c r="ZS19" s="75"/>
      <c r="ZT19" s="75"/>
      <c r="ZU19" s="75"/>
      <c r="ZV19" s="75"/>
      <c r="ZW19" s="75"/>
      <c r="ZX19" s="75"/>
      <c r="ZY19" s="75"/>
      <c r="ZZ19" s="75"/>
      <c r="AAA19" s="75"/>
      <c r="AAB19" s="75"/>
      <c r="AAC19" s="75"/>
      <c r="AAD19" s="75"/>
      <c r="AAE19" s="75"/>
      <c r="AAF19" s="75"/>
      <c r="AAG19" s="75"/>
      <c r="AAH19" s="75"/>
      <c r="AAI19" s="75"/>
      <c r="AAJ19" s="75"/>
      <c r="AAK19" s="75"/>
      <c r="AAL19" s="75"/>
      <c r="AAM19" s="75"/>
      <c r="AAN19" s="75"/>
      <c r="AAO19" s="75"/>
      <c r="AAP19" s="75"/>
      <c r="AAQ19" s="75"/>
      <c r="AAR19" s="75"/>
      <c r="AAS19" s="75"/>
      <c r="AAT19" s="75"/>
      <c r="AAU19" s="75"/>
      <c r="AAV19" s="75"/>
      <c r="AAW19" s="75"/>
      <c r="AAX19" s="75"/>
      <c r="AAY19" s="75"/>
      <c r="AAZ19" s="75"/>
      <c r="ABA19" s="75"/>
      <c r="ABB19" s="75"/>
      <c r="ABC19" s="75"/>
    </row>
    <row r="20" spans="1:731">
      <c r="A20" s="75" t="s">
        <v>57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75"/>
      <c r="BF20" s="75"/>
      <c r="BG20" s="75"/>
      <c r="BH20" s="75"/>
      <c r="BI20" s="75"/>
      <c r="BJ20" s="75"/>
      <c r="BK20" s="75"/>
      <c r="BL20" s="75"/>
      <c r="BM20" s="75"/>
      <c r="BN20" s="75"/>
      <c r="BO20" s="75"/>
      <c r="BP20" s="75"/>
      <c r="BQ20" s="75"/>
      <c r="BR20" s="75"/>
      <c r="BS20" s="75"/>
      <c r="BT20" s="75"/>
      <c r="BU20" s="75"/>
      <c r="BV20" s="75"/>
      <c r="BW20" s="75"/>
      <c r="BX20" s="75"/>
      <c r="BY20" s="75"/>
      <c r="BZ20" s="75"/>
      <c r="CA20" s="75"/>
      <c r="CB20" s="75"/>
      <c r="CC20" s="75"/>
      <c r="CD20" s="75"/>
      <c r="CE20" s="75"/>
      <c r="CF20" s="75"/>
      <c r="CG20" s="75"/>
      <c r="CH20" s="75"/>
      <c r="CI20" s="75"/>
      <c r="CJ20" s="75"/>
      <c r="CK20" s="75"/>
      <c r="CL20" s="75"/>
      <c r="CM20" s="75"/>
      <c r="CN20" s="75"/>
      <c r="CO20" s="75"/>
      <c r="CP20" s="75"/>
      <c r="CQ20" s="75"/>
      <c r="CR20" s="75"/>
      <c r="CS20" s="75"/>
      <c r="CT20" s="75"/>
      <c r="CU20" s="75"/>
      <c r="CV20" s="75"/>
      <c r="CW20" s="75"/>
      <c r="CX20" s="75"/>
      <c r="CY20" s="75"/>
      <c r="CZ20" s="75"/>
      <c r="DA20" s="75"/>
      <c r="DB20" s="75"/>
      <c r="DC20" s="75"/>
      <c r="DD20" s="75"/>
      <c r="DE20" s="75"/>
      <c r="DF20" s="75"/>
      <c r="DG20" s="75"/>
      <c r="DH20" s="75"/>
      <c r="DI20" s="75"/>
      <c r="DJ20" s="75"/>
      <c r="DK20" s="75"/>
      <c r="DL20" s="75"/>
      <c r="DM20" s="75"/>
      <c r="DN20" s="75"/>
      <c r="DO20" s="75"/>
      <c r="DP20" s="75"/>
      <c r="DQ20" s="75"/>
      <c r="DR20" s="75"/>
      <c r="DS20" s="75"/>
      <c r="DT20" s="75"/>
      <c r="DU20" s="75"/>
      <c r="DV20" s="75"/>
      <c r="DW20" s="75"/>
      <c r="DX20" s="75"/>
      <c r="DY20" s="75"/>
      <c r="DZ20" s="75"/>
      <c r="EA20" s="75"/>
      <c r="EB20" s="75"/>
      <c r="EC20" s="75"/>
      <c r="ED20" s="75"/>
      <c r="EE20" s="75"/>
      <c r="EF20" s="75"/>
      <c r="EG20" s="75"/>
      <c r="EH20" s="75"/>
      <c r="EI20" s="75"/>
      <c r="EJ20" s="75"/>
      <c r="EK20" s="75"/>
      <c r="EL20" s="75"/>
      <c r="EM20" s="75"/>
      <c r="EN20" s="75"/>
      <c r="EO20" s="75"/>
      <c r="EP20" s="75"/>
      <c r="EQ20" s="75"/>
      <c r="ER20" s="75"/>
      <c r="ES20" s="75"/>
      <c r="ET20" s="75"/>
      <c r="EU20" s="75"/>
      <c r="EV20" s="75"/>
      <c r="EW20" s="75"/>
      <c r="EX20" s="75"/>
      <c r="EY20" s="75"/>
      <c r="EZ20" s="75"/>
      <c r="FA20" s="75"/>
      <c r="FB20" s="75"/>
      <c r="FC20" s="75"/>
      <c r="FD20" s="75"/>
      <c r="FE20" s="75"/>
      <c r="FF20" s="75"/>
      <c r="FG20" s="75"/>
      <c r="FH20" s="75"/>
      <c r="FI20" s="75"/>
      <c r="FJ20" s="75"/>
      <c r="FK20" s="75"/>
      <c r="FL20" s="75"/>
      <c r="FM20" s="75"/>
      <c r="FN20" s="75"/>
      <c r="FO20" s="75"/>
      <c r="FP20" s="75"/>
      <c r="FQ20" s="75"/>
      <c r="FR20" s="75"/>
      <c r="FS20" s="75"/>
      <c r="FT20" s="75"/>
      <c r="FU20" s="75"/>
      <c r="FV20" s="75"/>
      <c r="FW20" s="75"/>
      <c r="FX20" s="75"/>
      <c r="FY20" s="75"/>
      <c r="FZ20" s="75"/>
      <c r="GA20" s="75"/>
      <c r="GB20" s="75"/>
      <c r="GC20" s="75"/>
      <c r="GD20" s="75"/>
      <c r="GE20" s="75"/>
      <c r="GF20" s="75"/>
      <c r="GG20" s="75"/>
      <c r="GH20" s="75"/>
      <c r="GI20" s="75"/>
      <c r="GJ20" s="75"/>
      <c r="GK20" s="75"/>
      <c r="GL20" s="75"/>
      <c r="GM20" s="75"/>
      <c r="GN20" s="75"/>
      <c r="GO20" s="75"/>
      <c r="GP20" s="75"/>
      <c r="GQ20" s="75"/>
      <c r="GR20" s="75"/>
      <c r="GS20" s="75"/>
      <c r="GT20" s="75"/>
      <c r="GU20" s="75"/>
      <c r="GV20" s="75"/>
      <c r="GW20" s="75"/>
      <c r="GX20" s="75"/>
      <c r="GY20" s="75"/>
      <c r="GZ20" s="75"/>
      <c r="HA20" s="75"/>
      <c r="HB20" s="75"/>
      <c r="HC20" s="75"/>
      <c r="HD20" s="75"/>
      <c r="HE20" s="75"/>
      <c r="HF20" s="75"/>
      <c r="HG20" s="75"/>
      <c r="HH20" s="75"/>
      <c r="HI20" s="75"/>
      <c r="HJ20" s="75"/>
      <c r="HK20" s="75"/>
      <c r="HL20" s="75"/>
      <c r="HM20" s="75"/>
      <c r="HN20" s="75"/>
      <c r="HO20" s="75"/>
      <c r="HP20" s="75"/>
      <c r="HQ20" s="75"/>
      <c r="HR20" s="75"/>
      <c r="HS20" s="75"/>
      <c r="HT20" s="75"/>
      <c r="HU20" s="75"/>
      <c r="HV20" s="75"/>
      <c r="HW20" s="75"/>
      <c r="HX20" s="75"/>
      <c r="HY20" s="75"/>
      <c r="HZ20" s="75"/>
      <c r="IA20" s="75"/>
      <c r="IB20" s="75"/>
      <c r="IC20" s="75"/>
      <c r="ID20" s="75"/>
      <c r="IE20" s="75"/>
      <c r="IF20" s="75"/>
      <c r="IG20" s="75"/>
      <c r="IH20" s="75"/>
      <c r="II20" s="75"/>
      <c r="IJ20" s="75"/>
      <c r="IK20" s="75"/>
      <c r="IL20" s="75"/>
      <c r="IM20" s="75"/>
      <c r="IN20" s="75"/>
      <c r="IO20" s="75"/>
      <c r="IP20" s="75"/>
      <c r="IQ20" s="75"/>
      <c r="IR20" s="75"/>
      <c r="IS20" s="75"/>
      <c r="IT20" s="75"/>
      <c r="IU20" s="75"/>
      <c r="IV20" s="75"/>
      <c r="IW20" s="75"/>
      <c r="IX20" s="75"/>
      <c r="IY20" s="75"/>
      <c r="IZ20" s="75"/>
      <c r="JA20" s="75"/>
      <c r="JB20" s="75"/>
      <c r="JC20" s="75"/>
      <c r="JD20" s="75"/>
      <c r="JE20" s="75"/>
      <c r="JF20" s="75"/>
      <c r="JG20" s="75"/>
      <c r="JH20" s="75"/>
      <c r="JI20" s="75"/>
      <c r="JJ20" s="75"/>
      <c r="JK20" s="75"/>
      <c r="JL20" s="75"/>
      <c r="JM20" s="75"/>
      <c r="JN20" s="75"/>
      <c r="JO20" s="75"/>
      <c r="JP20" s="75"/>
      <c r="JQ20" s="75"/>
      <c r="JR20" s="75"/>
      <c r="JS20" s="75"/>
      <c r="JT20" s="75"/>
      <c r="JU20" s="75"/>
      <c r="JV20" s="75"/>
      <c r="JW20" s="75"/>
      <c r="JX20" s="75"/>
      <c r="JY20" s="75"/>
      <c r="JZ20" s="75"/>
      <c r="KA20" s="75"/>
      <c r="KB20" s="75"/>
      <c r="KC20" s="75"/>
      <c r="KD20" s="75"/>
      <c r="KE20" s="75"/>
      <c r="KF20" s="75"/>
      <c r="KG20" s="75"/>
      <c r="KH20" s="75"/>
      <c r="KI20" s="75"/>
      <c r="KJ20" s="75"/>
      <c r="KK20" s="75"/>
      <c r="KL20" s="75"/>
      <c r="KM20" s="75"/>
      <c r="KN20" s="75"/>
      <c r="KO20" s="75"/>
      <c r="KP20" s="75"/>
      <c r="KQ20" s="75"/>
      <c r="KR20" s="75"/>
      <c r="KS20" s="75"/>
      <c r="KT20" s="75"/>
      <c r="KU20" s="75"/>
      <c r="KV20" s="75"/>
      <c r="KW20" s="75"/>
      <c r="KX20" s="75"/>
      <c r="KY20" s="75"/>
      <c r="KZ20" s="75"/>
      <c r="LA20" s="75"/>
      <c r="LB20" s="75"/>
      <c r="LC20" s="75"/>
      <c r="LD20" s="75"/>
      <c r="LE20" s="75"/>
      <c r="LF20" s="75"/>
      <c r="LG20" s="75"/>
      <c r="LH20" s="75"/>
      <c r="LI20" s="75"/>
      <c r="LJ20" s="75"/>
      <c r="LK20" s="75"/>
      <c r="LL20" s="75"/>
      <c r="LM20" s="75"/>
      <c r="LN20" s="75"/>
      <c r="LO20" s="75"/>
      <c r="LP20" s="75"/>
      <c r="LQ20" s="75"/>
      <c r="LR20" s="75"/>
      <c r="LS20" s="75"/>
      <c r="LT20" s="75"/>
      <c r="LU20" s="75"/>
      <c r="LV20" s="75"/>
      <c r="LW20" s="75"/>
      <c r="LX20" s="75"/>
      <c r="LY20" s="75"/>
      <c r="LZ20" s="75"/>
      <c r="MA20" s="75"/>
      <c r="MB20" s="75"/>
      <c r="MC20" s="75"/>
      <c r="MD20" s="75"/>
      <c r="ME20" s="75"/>
      <c r="MF20" s="75"/>
      <c r="MG20" s="75"/>
      <c r="MH20" s="75"/>
      <c r="MI20" s="75"/>
      <c r="MJ20" s="75"/>
      <c r="MK20" s="75"/>
      <c r="ML20" s="75"/>
      <c r="MM20" s="75"/>
      <c r="MN20" s="75"/>
      <c r="MO20" s="75"/>
      <c r="MP20" s="75"/>
      <c r="MQ20" s="75"/>
      <c r="MR20" s="75"/>
      <c r="MS20" s="75"/>
      <c r="MT20" s="75"/>
      <c r="MU20" s="75"/>
      <c r="MV20" s="75"/>
      <c r="MW20" s="75"/>
      <c r="MX20" s="75"/>
      <c r="MY20" s="75"/>
      <c r="MZ20" s="75"/>
      <c r="NA20" s="75"/>
      <c r="NB20" s="75"/>
      <c r="NC20" s="75"/>
      <c r="ND20" s="75"/>
      <c r="NE20" s="75"/>
      <c r="NF20" s="75"/>
      <c r="NG20" s="75"/>
      <c r="NH20" s="75"/>
      <c r="NI20" s="75"/>
      <c r="NJ20" s="75"/>
      <c r="NK20" s="75"/>
      <c r="NL20" s="75"/>
      <c r="NM20" s="75"/>
      <c r="NN20" s="75"/>
      <c r="NO20" s="75"/>
      <c r="NP20" s="75"/>
      <c r="NQ20" s="75"/>
      <c r="NR20" s="75"/>
      <c r="NS20" s="75"/>
      <c r="NT20" s="75"/>
      <c r="NU20" s="75"/>
      <c r="NV20" s="75"/>
      <c r="NW20" s="75"/>
      <c r="NX20" s="75"/>
      <c r="NY20" s="75"/>
      <c r="NZ20" s="75"/>
      <c r="OA20" s="75"/>
      <c r="OB20" s="75"/>
      <c r="OC20" s="75"/>
      <c r="OD20" s="75"/>
      <c r="OE20" s="75"/>
      <c r="OF20" s="75"/>
      <c r="OG20" s="75"/>
      <c r="OH20" s="75"/>
      <c r="OI20" s="75"/>
      <c r="OJ20" s="75"/>
      <c r="OK20" s="75"/>
      <c r="OL20" s="75"/>
      <c r="OM20" s="75"/>
      <c r="ON20" s="75"/>
      <c r="OO20" s="75"/>
      <c r="OP20" s="75"/>
      <c r="OQ20" s="75"/>
      <c r="OR20" s="75"/>
      <c r="OS20" s="75"/>
      <c r="OT20" s="75"/>
      <c r="OU20" s="75"/>
      <c r="OV20" s="75"/>
      <c r="OW20" s="75"/>
      <c r="OX20" s="75"/>
      <c r="OY20" s="75"/>
      <c r="OZ20" s="75"/>
      <c r="PA20" s="75"/>
      <c r="PB20" s="75"/>
      <c r="PC20" s="75"/>
      <c r="PD20" s="75"/>
      <c r="PE20" s="75"/>
      <c r="PF20" s="75"/>
      <c r="PG20" s="75"/>
      <c r="PH20" s="75"/>
      <c r="PI20" s="75"/>
      <c r="PJ20" s="75"/>
      <c r="PK20" s="75"/>
      <c r="PL20" s="75"/>
      <c r="PM20" s="75"/>
      <c r="PN20" s="75"/>
      <c r="PO20" s="75"/>
      <c r="PP20" s="75"/>
      <c r="PQ20" s="75"/>
      <c r="PR20" s="75"/>
      <c r="PS20" s="75"/>
      <c r="PT20" s="75"/>
      <c r="PU20" s="75"/>
      <c r="PV20" s="75"/>
      <c r="PW20" s="75"/>
      <c r="PX20" s="75"/>
      <c r="PY20" s="75"/>
      <c r="PZ20" s="75"/>
      <c r="QA20" s="75">
        <v>8</v>
      </c>
      <c r="QB20" s="75">
        <v>8</v>
      </c>
      <c r="QC20" s="75"/>
      <c r="QD20" s="75">
        <v>8</v>
      </c>
      <c r="QE20" s="75">
        <v>8</v>
      </c>
      <c r="QF20" s="75">
        <v>8</v>
      </c>
      <c r="QG20" s="75">
        <v>8</v>
      </c>
      <c r="QH20" s="75">
        <v>8</v>
      </c>
      <c r="QI20" s="75">
        <v>8</v>
      </c>
      <c r="QJ20" s="75"/>
      <c r="QK20" s="75">
        <v>14</v>
      </c>
      <c r="QL20" s="75">
        <v>24</v>
      </c>
      <c r="QM20" s="75">
        <v>24</v>
      </c>
      <c r="QN20" s="75">
        <v>24</v>
      </c>
      <c r="QO20" s="75">
        <v>16</v>
      </c>
      <c r="QP20" s="75">
        <v>16</v>
      </c>
      <c r="QQ20" s="75"/>
      <c r="QR20" s="75">
        <v>16</v>
      </c>
      <c r="QS20" s="75">
        <v>16</v>
      </c>
      <c r="QT20" s="75">
        <v>16</v>
      </c>
      <c r="QU20" s="75">
        <v>16</v>
      </c>
      <c r="QV20" s="75">
        <v>16</v>
      </c>
      <c r="QW20" s="75">
        <v>16</v>
      </c>
      <c r="QX20" s="75"/>
      <c r="QY20" s="75">
        <v>10</v>
      </c>
      <c r="QZ20" s="75"/>
      <c r="RA20" s="75"/>
      <c r="RB20" s="75"/>
      <c r="RC20" s="75"/>
      <c r="RD20" s="75"/>
      <c r="RE20" s="75"/>
      <c r="RF20" s="75"/>
      <c r="RG20" s="75"/>
      <c r="RH20" s="75"/>
      <c r="RI20" s="75"/>
      <c r="RJ20" s="75"/>
      <c r="RK20" s="75"/>
      <c r="RL20" s="75"/>
      <c r="RM20" s="75"/>
      <c r="RN20" s="75"/>
      <c r="RO20" s="75"/>
      <c r="RP20" s="75"/>
      <c r="RQ20" s="75"/>
      <c r="RR20" s="75"/>
      <c r="RS20" s="75"/>
      <c r="RT20" s="75"/>
      <c r="RU20" s="75"/>
      <c r="RV20" s="75"/>
      <c r="RW20" s="75"/>
      <c r="RX20" s="75"/>
      <c r="RY20" s="75"/>
      <c r="RZ20" s="75"/>
      <c r="SA20" s="75">
        <v>3</v>
      </c>
      <c r="SB20" s="75">
        <v>16</v>
      </c>
      <c r="SC20" s="75">
        <v>16</v>
      </c>
      <c r="SD20" s="75">
        <v>16</v>
      </c>
      <c r="SE20" s="75">
        <v>16</v>
      </c>
      <c r="SF20" s="75">
        <v>16</v>
      </c>
      <c r="SG20" s="75"/>
      <c r="SH20" s="75">
        <v>16</v>
      </c>
      <c r="SI20" s="75">
        <v>16</v>
      </c>
      <c r="SJ20" s="75">
        <v>16</v>
      </c>
      <c r="SK20" s="75">
        <v>16</v>
      </c>
      <c r="SL20" s="75">
        <v>13</v>
      </c>
      <c r="SM20" s="75">
        <v>3</v>
      </c>
      <c r="SN20" s="75"/>
      <c r="SO20" s="75">
        <v>16</v>
      </c>
      <c r="SP20" s="75">
        <v>16</v>
      </c>
      <c r="SQ20" s="75">
        <v>16</v>
      </c>
      <c r="SR20" s="75">
        <v>16</v>
      </c>
      <c r="SS20" s="75">
        <v>16</v>
      </c>
      <c r="ST20" s="75">
        <v>17</v>
      </c>
      <c r="SU20" s="75"/>
      <c r="SV20" s="75">
        <v>22</v>
      </c>
      <c r="SW20" s="75">
        <v>30</v>
      </c>
      <c r="SX20" s="75">
        <v>30</v>
      </c>
      <c r="SY20" s="75">
        <v>27</v>
      </c>
      <c r="SZ20" s="75">
        <v>14</v>
      </c>
      <c r="TA20" s="75">
        <v>14</v>
      </c>
      <c r="TB20" s="75"/>
      <c r="TC20" s="75">
        <v>14</v>
      </c>
      <c r="TD20" s="75">
        <v>17</v>
      </c>
      <c r="TE20" s="75">
        <v>28</v>
      </c>
      <c r="TF20" s="75">
        <v>20</v>
      </c>
      <c r="TG20" s="75">
        <v>20</v>
      </c>
      <c r="TH20" s="75">
        <v>20</v>
      </c>
      <c r="TI20" s="75"/>
      <c r="TJ20" s="75">
        <v>20</v>
      </c>
      <c r="TK20" s="75">
        <v>24</v>
      </c>
      <c r="TL20" s="75">
        <v>37</v>
      </c>
      <c r="TM20" s="75">
        <v>34</v>
      </c>
      <c r="TN20" s="75">
        <v>34</v>
      </c>
      <c r="TO20" s="75">
        <v>31</v>
      </c>
      <c r="TP20" s="75"/>
      <c r="TQ20" s="75">
        <v>18</v>
      </c>
      <c r="TR20" s="75">
        <v>20</v>
      </c>
      <c r="TS20" s="75">
        <v>28</v>
      </c>
      <c r="TT20" s="75">
        <v>26</v>
      </c>
      <c r="TU20" s="75">
        <v>18</v>
      </c>
      <c r="TV20" s="75">
        <v>18</v>
      </c>
      <c r="TW20" s="75"/>
      <c r="TX20" s="75">
        <v>18</v>
      </c>
      <c r="TY20" s="75">
        <v>18</v>
      </c>
      <c r="TZ20" s="75">
        <v>18</v>
      </c>
      <c r="UA20" s="75">
        <v>20</v>
      </c>
      <c r="UB20" s="75">
        <v>26</v>
      </c>
      <c r="UC20" s="75">
        <v>20</v>
      </c>
      <c r="UD20" s="75"/>
      <c r="UE20" s="75">
        <v>20</v>
      </c>
      <c r="UF20" s="75">
        <v>21</v>
      </c>
      <c r="UG20" s="75">
        <v>22</v>
      </c>
      <c r="UH20" s="75">
        <v>22</v>
      </c>
      <c r="UI20" s="75">
        <v>20</v>
      </c>
      <c r="UJ20" s="75">
        <v>10</v>
      </c>
      <c r="UK20" s="75"/>
      <c r="UL20" s="75">
        <v>2</v>
      </c>
      <c r="UM20" s="75">
        <v>2</v>
      </c>
      <c r="UN20" s="75">
        <v>5</v>
      </c>
      <c r="UO20" s="75">
        <v>12</v>
      </c>
      <c r="UP20" s="75">
        <v>12</v>
      </c>
      <c r="UQ20" s="75">
        <v>11</v>
      </c>
      <c r="UR20" s="75"/>
      <c r="US20" s="75">
        <v>12</v>
      </c>
      <c r="UT20" s="75">
        <v>12</v>
      </c>
      <c r="UU20" s="75">
        <v>14</v>
      </c>
      <c r="UV20" s="75">
        <v>14</v>
      </c>
      <c r="UW20" s="75">
        <v>14</v>
      </c>
      <c r="UX20" s="75">
        <v>14</v>
      </c>
      <c r="UY20" s="75"/>
      <c r="UZ20" s="75">
        <v>14</v>
      </c>
      <c r="VA20" s="75">
        <v>14</v>
      </c>
      <c r="VB20" s="75">
        <v>14</v>
      </c>
      <c r="VC20" s="75">
        <v>15</v>
      </c>
      <c r="VD20" s="75">
        <v>16</v>
      </c>
      <c r="VE20" s="75">
        <v>13</v>
      </c>
      <c r="VF20" s="75"/>
      <c r="VG20" s="75">
        <v>6</v>
      </c>
      <c r="VH20" s="75">
        <v>7</v>
      </c>
      <c r="VI20" s="75">
        <v>16</v>
      </c>
      <c r="VJ20" s="75">
        <v>16</v>
      </c>
      <c r="VK20" s="75">
        <v>16</v>
      </c>
      <c r="VL20" s="75">
        <v>16</v>
      </c>
      <c r="VM20" s="75"/>
      <c r="VN20" s="75">
        <v>16</v>
      </c>
      <c r="VO20" s="75">
        <v>15</v>
      </c>
      <c r="VP20" s="75">
        <v>12</v>
      </c>
      <c r="VQ20" s="75">
        <v>12</v>
      </c>
      <c r="VR20" s="75">
        <v>10</v>
      </c>
      <c r="VS20" s="75">
        <v>9</v>
      </c>
      <c r="VT20" s="75"/>
      <c r="VU20" s="75">
        <v>10</v>
      </c>
      <c r="VV20" s="75">
        <v>10</v>
      </c>
      <c r="VW20" s="75">
        <v>10</v>
      </c>
      <c r="VX20" s="75">
        <v>10</v>
      </c>
      <c r="VY20" s="75">
        <v>10</v>
      </c>
      <c r="VZ20" s="75">
        <v>10</v>
      </c>
      <c r="WA20" s="75"/>
      <c r="WB20" s="75">
        <v>10</v>
      </c>
      <c r="WC20" s="75">
        <v>10</v>
      </c>
      <c r="WD20" s="75">
        <v>10</v>
      </c>
      <c r="WE20" s="75">
        <v>10</v>
      </c>
      <c r="WF20" s="75"/>
      <c r="WG20" s="75"/>
      <c r="WH20" s="75"/>
      <c r="WI20" s="75"/>
      <c r="WJ20" s="75"/>
      <c r="WK20" s="75"/>
      <c r="WL20" s="75"/>
      <c r="WM20" s="75"/>
      <c r="WN20" s="75"/>
      <c r="WO20" s="75"/>
      <c r="WP20" s="75"/>
      <c r="WQ20" s="75"/>
      <c r="WR20" s="75"/>
      <c r="WS20" s="75"/>
      <c r="WT20" s="75"/>
      <c r="WU20" s="75"/>
      <c r="WV20" s="75"/>
      <c r="WW20" s="75"/>
      <c r="WX20" s="75"/>
      <c r="WY20" s="75"/>
      <c r="WZ20" s="75"/>
      <c r="XA20" s="75"/>
      <c r="XB20" s="75"/>
      <c r="XC20" s="75"/>
      <c r="XD20" s="75"/>
      <c r="XE20" s="75"/>
      <c r="XF20" s="75"/>
      <c r="XG20" s="75"/>
      <c r="XH20" s="75"/>
      <c r="XI20" s="75"/>
      <c r="XJ20" s="75"/>
      <c r="XK20" s="75"/>
      <c r="XL20" s="75"/>
      <c r="XM20" s="75"/>
      <c r="XN20" s="75"/>
      <c r="XO20" s="75"/>
      <c r="XP20" s="75"/>
      <c r="XQ20" s="75"/>
      <c r="XR20" s="75"/>
      <c r="XS20" s="75"/>
      <c r="XT20" s="75"/>
      <c r="XU20" s="75"/>
      <c r="XV20" s="75"/>
      <c r="XW20" s="75"/>
      <c r="XX20" s="75"/>
      <c r="XY20" s="75"/>
      <c r="XZ20" s="75"/>
      <c r="YA20" s="75"/>
      <c r="YB20" s="75"/>
      <c r="YC20" s="75"/>
      <c r="YD20" s="75"/>
      <c r="YE20" s="75"/>
      <c r="YF20" s="75"/>
      <c r="YG20" s="75"/>
      <c r="YH20" s="75"/>
      <c r="YI20" s="75"/>
      <c r="YJ20" s="75"/>
      <c r="YK20" s="75"/>
      <c r="YL20" s="75"/>
      <c r="YM20" s="75"/>
      <c r="YN20" s="75"/>
      <c r="YO20" s="75"/>
      <c r="YP20" s="75"/>
      <c r="YQ20" s="75"/>
      <c r="YR20" s="75"/>
      <c r="YS20" s="75"/>
      <c r="YT20" s="75"/>
      <c r="YU20" s="75"/>
      <c r="YV20" s="75"/>
      <c r="YW20" s="75"/>
      <c r="YX20" s="75"/>
      <c r="YY20" s="75"/>
      <c r="YZ20" s="75"/>
      <c r="ZA20" s="75"/>
      <c r="ZB20" s="75"/>
      <c r="ZC20" s="75"/>
      <c r="ZD20" s="75"/>
      <c r="ZE20" s="75"/>
      <c r="ZF20" s="75"/>
      <c r="ZG20" s="75"/>
      <c r="ZH20" s="75"/>
      <c r="ZI20" s="75"/>
      <c r="ZJ20" s="75"/>
      <c r="ZK20" s="75"/>
      <c r="ZL20" s="75"/>
      <c r="ZM20" s="75"/>
      <c r="ZN20" s="75"/>
      <c r="ZO20" s="75"/>
      <c r="ZP20" s="75"/>
      <c r="ZQ20" s="75"/>
      <c r="ZR20" s="75"/>
      <c r="ZS20" s="75"/>
      <c r="ZT20" s="75"/>
      <c r="ZU20" s="75"/>
      <c r="ZV20" s="75"/>
      <c r="ZW20" s="75"/>
      <c r="ZX20" s="75"/>
      <c r="ZY20" s="75"/>
      <c r="ZZ20" s="75"/>
      <c r="AAA20" s="75"/>
      <c r="AAB20" s="75"/>
      <c r="AAC20" s="75"/>
      <c r="AAD20" s="75"/>
      <c r="AAE20" s="75"/>
      <c r="AAF20" s="75"/>
      <c r="AAG20" s="75"/>
      <c r="AAH20" s="75"/>
      <c r="AAI20" s="75"/>
      <c r="AAJ20" s="75"/>
      <c r="AAK20" s="75"/>
      <c r="AAL20" s="75"/>
      <c r="AAM20" s="75"/>
      <c r="AAN20" s="75"/>
      <c r="AAO20" s="75"/>
      <c r="AAP20" s="75"/>
      <c r="AAQ20" s="75"/>
      <c r="AAR20" s="75"/>
      <c r="AAS20" s="75"/>
      <c r="AAT20" s="75"/>
      <c r="AAU20" s="75"/>
      <c r="AAV20" s="75"/>
      <c r="AAW20" s="75"/>
      <c r="AAX20" s="75"/>
      <c r="AAY20" s="75"/>
      <c r="AAZ20" s="75"/>
      <c r="ABA20" s="75"/>
      <c r="ABB20" s="75"/>
      <c r="ABC20" s="75"/>
    </row>
    <row r="21" spans="1:731">
      <c r="A21" s="75" t="s">
        <v>58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5"/>
      <c r="BF21" s="75"/>
      <c r="BG21" s="75"/>
      <c r="BH21" s="75"/>
      <c r="BI21" s="75"/>
      <c r="BJ21" s="75"/>
      <c r="BK21" s="75"/>
      <c r="BL21" s="75"/>
      <c r="BM21" s="75"/>
      <c r="BN21" s="75"/>
      <c r="BO21" s="75"/>
      <c r="BP21" s="75"/>
      <c r="BQ21" s="75"/>
      <c r="BR21" s="75"/>
      <c r="BS21" s="75"/>
      <c r="BT21" s="75"/>
      <c r="BU21" s="75"/>
      <c r="BV21" s="75"/>
      <c r="BW21" s="75"/>
      <c r="BX21" s="75"/>
      <c r="BY21" s="75"/>
      <c r="BZ21" s="75"/>
      <c r="CA21" s="75"/>
      <c r="CB21" s="75"/>
      <c r="CC21" s="75"/>
      <c r="CD21" s="75"/>
      <c r="CE21" s="75"/>
      <c r="CF21" s="75"/>
      <c r="CG21" s="75"/>
      <c r="CH21" s="75"/>
      <c r="CI21" s="75"/>
      <c r="CJ21" s="75"/>
      <c r="CK21" s="75"/>
      <c r="CL21" s="75"/>
      <c r="CM21" s="75"/>
      <c r="CN21" s="75"/>
      <c r="CO21" s="75"/>
      <c r="CP21" s="75"/>
      <c r="CQ21" s="75"/>
      <c r="CR21" s="75"/>
      <c r="CS21" s="75"/>
      <c r="CT21" s="75"/>
      <c r="CU21" s="75"/>
      <c r="CV21" s="75"/>
      <c r="CW21" s="75"/>
      <c r="CX21" s="75"/>
      <c r="CY21" s="75"/>
      <c r="CZ21" s="75"/>
      <c r="DA21" s="75"/>
      <c r="DB21" s="75"/>
      <c r="DC21" s="75"/>
      <c r="DD21" s="75"/>
      <c r="DE21" s="75"/>
      <c r="DF21" s="75"/>
      <c r="DG21" s="75"/>
      <c r="DH21" s="75"/>
      <c r="DI21" s="75"/>
      <c r="DJ21" s="75"/>
      <c r="DK21" s="75"/>
      <c r="DL21" s="75"/>
      <c r="DM21" s="75"/>
      <c r="DN21" s="75"/>
      <c r="DO21" s="75"/>
      <c r="DP21" s="75"/>
      <c r="DQ21" s="75"/>
      <c r="DR21" s="75"/>
      <c r="DS21" s="75"/>
      <c r="DT21" s="75"/>
      <c r="DU21" s="75"/>
      <c r="DV21" s="75"/>
      <c r="DW21" s="75"/>
      <c r="DX21" s="75"/>
      <c r="DY21" s="75"/>
      <c r="DZ21" s="75"/>
      <c r="EA21" s="75"/>
      <c r="EB21" s="75"/>
      <c r="EC21" s="75"/>
      <c r="ED21" s="75"/>
      <c r="EE21" s="75"/>
      <c r="EF21" s="75"/>
      <c r="EG21" s="75"/>
      <c r="EH21" s="75"/>
      <c r="EI21" s="75"/>
      <c r="EJ21" s="75"/>
      <c r="EK21" s="75"/>
      <c r="EL21" s="75"/>
      <c r="EM21" s="75"/>
      <c r="EN21" s="75"/>
      <c r="EO21" s="75"/>
      <c r="EP21" s="75"/>
      <c r="EQ21" s="75"/>
      <c r="ER21" s="75"/>
      <c r="ES21" s="75"/>
      <c r="ET21" s="75"/>
      <c r="EU21" s="75"/>
      <c r="EV21" s="75"/>
      <c r="EW21" s="75"/>
      <c r="EX21" s="75"/>
      <c r="EY21" s="75"/>
      <c r="EZ21" s="75"/>
      <c r="FA21" s="75"/>
      <c r="FB21" s="75"/>
      <c r="FC21" s="75"/>
      <c r="FD21" s="75"/>
      <c r="FE21" s="75"/>
      <c r="FF21" s="75"/>
      <c r="FG21" s="75"/>
      <c r="FH21" s="75"/>
      <c r="FI21" s="75"/>
      <c r="FJ21" s="75"/>
      <c r="FK21" s="75"/>
      <c r="FL21" s="75"/>
      <c r="FM21" s="75"/>
      <c r="FN21" s="75"/>
      <c r="FO21" s="75"/>
      <c r="FP21" s="75"/>
      <c r="FQ21" s="75"/>
      <c r="FR21" s="75"/>
      <c r="FS21" s="75"/>
      <c r="FT21" s="75"/>
      <c r="FU21" s="75"/>
      <c r="FV21" s="75"/>
      <c r="FW21" s="75"/>
      <c r="FX21" s="75"/>
      <c r="FY21" s="75"/>
      <c r="FZ21" s="75"/>
      <c r="GA21" s="75"/>
      <c r="GB21" s="75"/>
      <c r="GC21" s="75"/>
      <c r="GD21" s="75"/>
      <c r="GE21" s="75"/>
      <c r="GF21" s="75"/>
      <c r="GG21" s="75"/>
      <c r="GH21" s="75"/>
      <c r="GI21" s="75"/>
      <c r="GJ21" s="75"/>
      <c r="GK21" s="75"/>
      <c r="GL21" s="75"/>
      <c r="GM21" s="75"/>
      <c r="GN21" s="75"/>
      <c r="GO21" s="75"/>
      <c r="GP21" s="75"/>
      <c r="GQ21" s="75"/>
      <c r="GR21" s="75"/>
      <c r="GS21" s="75"/>
      <c r="GT21" s="75"/>
      <c r="GU21" s="75"/>
      <c r="GV21" s="75"/>
      <c r="GW21" s="75"/>
      <c r="GX21" s="75"/>
      <c r="GY21" s="75"/>
      <c r="GZ21" s="75"/>
      <c r="HA21" s="75"/>
      <c r="HB21" s="75"/>
      <c r="HC21" s="75"/>
      <c r="HD21" s="75"/>
      <c r="HE21" s="75"/>
      <c r="HF21" s="75"/>
      <c r="HG21" s="75"/>
      <c r="HH21" s="75"/>
      <c r="HI21" s="75"/>
      <c r="HJ21" s="75"/>
      <c r="HK21" s="75"/>
      <c r="HL21" s="75"/>
      <c r="HM21" s="75"/>
      <c r="HN21" s="75"/>
      <c r="HO21" s="75"/>
      <c r="HP21" s="75"/>
      <c r="HQ21" s="75"/>
      <c r="HR21" s="75"/>
      <c r="HS21" s="75"/>
      <c r="HT21" s="75"/>
      <c r="HU21" s="75"/>
      <c r="HV21" s="75"/>
      <c r="HW21" s="75"/>
      <c r="HX21" s="75"/>
      <c r="HY21" s="75"/>
      <c r="HZ21" s="75"/>
      <c r="IA21" s="75"/>
      <c r="IB21" s="75"/>
      <c r="IC21" s="75"/>
      <c r="ID21" s="75"/>
      <c r="IE21" s="75"/>
      <c r="IF21" s="75"/>
      <c r="IG21" s="75"/>
      <c r="IH21" s="75"/>
      <c r="II21" s="75"/>
      <c r="IJ21" s="75"/>
      <c r="IK21" s="75"/>
      <c r="IL21" s="75"/>
      <c r="IM21" s="75"/>
      <c r="IN21" s="75"/>
      <c r="IO21" s="75"/>
      <c r="IP21" s="75"/>
      <c r="IQ21" s="75"/>
      <c r="IR21" s="75"/>
      <c r="IS21" s="75"/>
      <c r="IT21" s="75"/>
      <c r="IU21" s="75"/>
      <c r="IV21" s="75"/>
      <c r="IW21" s="75"/>
      <c r="IX21" s="75"/>
      <c r="IY21" s="75"/>
      <c r="IZ21" s="75"/>
      <c r="JA21" s="75"/>
      <c r="JB21" s="75"/>
      <c r="JC21" s="75"/>
      <c r="JD21" s="75"/>
      <c r="JE21" s="75"/>
      <c r="JF21" s="75"/>
      <c r="JG21" s="75"/>
      <c r="JH21" s="75"/>
      <c r="JI21" s="75"/>
      <c r="JJ21" s="75"/>
      <c r="JK21" s="75"/>
      <c r="JL21" s="75"/>
      <c r="JM21" s="75"/>
      <c r="JN21" s="75"/>
      <c r="JO21" s="75"/>
      <c r="JP21" s="75"/>
      <c r="JQ21" s="75"/>
      <c r="JR21" s="75"/>
      <c r="JS21" s="75"/>
      <c r="JT21" s="75"/>
      <c r="JU21" s="75"/>
      <c r="JV21" s="75"/>
      <c r="JW21" s="75"/>
      <c r="JX21" s="75"/>
      <c r="JY21" s="75"/>
      <c r="JZ21" s="75"/>
      <c r="KA21" s="75"/>
      <c r="KB21" s="75"/>
      <c r="KC21" s="75"/>
      <c r="KD21" s="75"/>
      <c r="KE21" s="75"/>
      <c r="KF21" s="75"/>
      <c r="KG21" s="75"/>
      <c r="KH21" s="75"/>
      <c r="KI21" s="75"/>
      <c r="KJ21" s="75"/>
      <c r="KK21" s="75"/>
      <c r="KL21" s="75"/>
      <c r="KM21" s="75"/>
      <c r="KN21" s="75"/>
      <c r="KO21" s="75"/>
      <c r="KP21" s="75"/>
      <c r="KQ21" s="75"/>
      <c r="KR21" s="75"/>
      <c r="KS21" s="75"/>
      <c r="KT21" s="75"/>
      <c r="KU21" s="75"/>
      <c r="KV21" s="75"/>
      <c r="KW21" s="75"/>
      <c r="KX21" s="75"/>
      <c r="KY21" s="75"/>
      <c r="KZ21" s="75"/>
      <c r="LA21" s="75"/>
      <c r="LB21" s="75"/>
      <c r="LC21" s="75"/>
      <c r="LD21" s="75"/>
      <c r="LE21" s="75"/>
      <c r="LF21" s="75"/>
      <c r="LG21" s="75"/>
      <c r="LH21" s="75"/>
      <c r="LI21" s="75"/>
      <c r="LJ21" s="75"/>
      <c r="LK21" s="75"/>
      <c r="LL21" s="75"/>
      <c r="LM21" s="75"/>
      <c r="LN21" s="75"/>
      <c r="LO21" s="75"/>
      <c r="LP21" s="75"/>
      <c r="LQ21" s="75"/>
      <c r="LR21" s="75"/>
      <c r="LS21" s="75"/>
      <c r="LT21" s="75"/>
      <c r="LU21" s="75"/>
      <c r="LV21" s="75"/>
      <c r="LW21" s="75"/>
      <c r="LX21" s="75"/>
      <c r="LY21" s="75"/>
      <c r="LZ21" s="75"/>
      <c r="MA21" s="75"/>
      <c r="MB21" s="75"/>
      <c r="MC21" s="75"/>
      <c r="MD21" s="75"/>
      <c r="ME21" s="75"/>
      <c r="MF21" s="75"/>
      <c r="MG21" s="75"/>
      <c r="MH21" s="75"/>
      <c r="MI21" s="75"/>
      <c r="MJ21" s="75"/>
      <c r="MK21" s="75"/>
      <c r="ML21" s="75"/>
      <c r="MM21" s="75"/>
      <c r="MN21" s="75"/>
      <c r="MO21" s="75"/>
      <c r="MP21" s="75"/>
      <c r="MQ21" s="75"/>
      <c r="MR21" s="75"/>
      <c r="MS21" s="75"/>
      <c r="MT21" s="75"/>
      <c r="MU21" s="75"/>
      <c r="MV21" s="75"/>
      <c r="MW21" s="75"/>
      <c r="MX21" s="75"/>
      <c r="MY21" s="75"/>
      <c r="MZ21" s="75"/>
      <c r="NA21" s="75"/>
      <c r="NB21" s="75"/>
      <c r="NC21" s="75"/>
      <c r="ND21" s="75"/>
      <c r="NE21" s="75"/>
      <c r="NF21" s="75"/>
      <c r="NG21" s="75"/>
      <c r="NH21" s="75"/>
      <c r="NI21" s="75"/>
      <c r="NJ21" s="75"/>
      <c r="NK21" s="75"/>
      <c r="NL21" s="75"/>
      <c r="NM21" s="75"/>
      <c r="NN21" s="75"/>
      <c r="NO21" s="75"/>
      <c r="NP21" s="75"/>
      <c r="NQ21" s="75"/>
      <c r="NR21" s="75"/>
      <c r="NS21" s="75"/>
      <c r="NT21" s="75"/>
      <c r="NU21" s="75"/>
      <c r="NV21" s="75"/>
      <c r="NW21" s="75"/>
      <c r="NX21" s="75"/>
      <c r="NY21" s="75"/>
      <c r="NZ21" s="75"/>
      <c r="OA21" s="75"/>
      <c r="OB21" s="75"/>
      <c r="OC21" s="75"/>
      <c r="OD21" s="75"/>
      <c r="OE21" s="75"/>
      <c r="OF21" s="75"/>
      <c r="OG21" s="75"/>
      <c r="OH21" s="75"/>
      <c r="OI21" s="75"/>
      <c r="OJ21" s="75"/>
      <c r="OK21" s="75"/>
      <c r="OL21" s="75"/>
      <c r="OM21" s="75"/>
      <c r="ON21" s="75"/>
      <c r="OO21" s="75"/>
      <c r="OP21" s="75"/>
      <c r="OQ21" s="75"/>
      <c r="OR21" s="75"/>
      <c r="OS21" s="75"/>
      <c r="OT21" s="75"/>
      <c r="OU21" s="75"/>
      <c r="OV21" s="75"/>
      <c r="OW21" s="75"/>
      <c r="OX21" s="75"/>
      <c r="OY21" s="75"/>
      <c r="OZ21" s="75"/>
      <c r="PA21" s="75"/>
      <c r="PB21" s="75"/>
      <c r="PC21" s="75"/>
      <c r="PD21" s="75"/>
      <c r="PE21" s="75"/>
      <c r="PF21" s="75"/>
      <c r="PG21" s="75"/>
      <c r="PH21" s="75"/>
      <c r="PI21" s="75"/>
      <c r="PJ21" s="75"/>
      <c r="PK21" s="75"/>
      <c r="PL21" s="75"/>
      <c r="PM21" s="75"/>
      <c r="PN21" s="75"/>
      <c r="PO21" s="75"/>
      <c r="PP21" s="75"/>
      <c r="PQ21" s="75"/>
      <c r="PR21" s="75"/>
      <c r="PS21" s="75"/>
      <c r="PT21" s="75"/>
      <c r="PU21" s="75"/>
      <c r="PV21" s="75"/>
      <c r="PW21" s="75"/>
      <c r="PX21" s="75"/>
      <c r="PY21" s="75"/>
      <c r="PZ21" s="75"/>
      <c r="QA21" s="75">
        <v>8</v>
      </c>
      <c r="QB21" s="75">
        <v>8</v>
      </c>
      <c r="QC21" s="75"/>
      <c r="QD21" s="75">
        <v>8</v>
      </c>
      <c r="QE21" s="75">
        <v>8</v>
      </c>
      <c r="QF21" s="75">
        <v>8</v>
      </c>
      <c r="QG21" s="75">
        <v>8</v>
      </c>
      <c r="QH21" s="75">
        <v>8</v>
      </c>
      <c r="QI21" s="75">
        <v>8</v>
      </c>
      <c r="QJ21" s="75"/>
      <c r="QK21" s="75">
        <v>16</v>
      </c>
      <c r="QL21" s="75">
        <v>16</v>
      </c>
      <c r="QM21" s="75">
        <v>12</v>
      </c>
      <c r="QN21" s="75">
        <v>16</v>
      </c>
      <c r="QO21" s="75">
        <v>16</v>
      </c>
      <c r="QP21" s="75">
        <v>16</v>
      </c>
      <c r="QQ21" s="75"/>
      <c r="QR21" s="75">
        <v>16</v>
      </c>
      <c r="QS21" s="75">
        <v>16</v>
      </c>
      <c r="QT21" s="75">
        <v>16</v>
      </c>
      <c r="QU21" s="75">
        <v>16</v>
      </c>
      <c r="QV21" s="75">
        <v>8</v>
      </c>
      <c r="QW21" s="75">
        <v>8</v>
      </c>
      <c r="QX21" s="75"/>
      <c r="QY21" s="75">
        <v>4</v>
      </c>
      <c r="QZ21" s="75"/>
      <c r="RA21" s="75"/>
      <c r="RB21" s="75"/>
      <c r="RC21" s="75"/>
      <c r="RD21" s="75"/>
      <c r="RE21" s="75"/>
      <c r="RF21" s="75"/>
      <c r="RG21" s="75"/>
      <c r="RH21" s="75"/>
      <c r="RI21" s="75"/>
      <c r="RJ21" s="75"/>
      <c r="RK21" s="75"/>
      <c r="RL21" s="75"/>
      <c r="RM21" s="75"/>
      <c r="RN21" s="75"/>
      <c r="RO21" s="75"/>
      <c r="RP21" s="75"/>
      <c r="RQ21" s="75"/>
      <c r="RR21" s="75"/>
      <c r="RS21" s="75"/>
      <c r="RT21" s="75"/>
      <c r="RU21" s="75"/>
      <c r="RV21" s="75"/>
      <c r="RW21" s="75"/>
      <c r="RX21" s="75"/>
      <c r="RY21" s="75"/>
      <c r="RZ21" s="75"/>
      <c r="SA21" s="75">
        <v>2</v>
      </c>
      <c r="SB21" s="75">
        <v>12</v>
      </c>
      <c r="SC21" s="75">
        <v>12</v>
      </c>
      <c r="SD21" s="75">
        <v>12</v>
      </c>
      <c r="SE21" s="75">
        <v>12</v>
      </c>
      <c r="SF21" s="75">
        <v>12</v>
      </c>
      <c r="SG21" s="75"/>
      <c r="SH21" s="75">
        <v>12</v>
      </c>
      <c r="SI21" s="75">
        <v>12</v>
      </c>
      <c r="SJ21" s="75">
        <v>12</v>
      </c>
      <c r="SK21" s="75">
        <v>12</v>
      </c>
      <c r="SL21" s="75">
        <v>10</v>
      </c>
      <c r="SM21" s="75">
        <v>2</v>
      </c>
      <c r="SN21" s="75"/>
      <c r="SO21" s="75">
        <v>12</v>
      </c>
      <c r="SP21" s="75">
        <v>12</v>
      </c>
      <c r="SQ21" s="75">
        <v>12</v>
      </c>
      <c r="SR21" s="75">
        <v>14</v>
      </c>
      <c r="SS21" s="75">
        <v>20</v>
      </c>
      <c r="ST21" s="75">
        <v>20</v>
      </c>
      <c r="SU21" s="75"/>
      <c r="SV21" s="75">
        <v>20</v>
      </c>
      <c r="SW21" s="75">
        <v>20</v>
      </c>
      <c r="SX21" s="75">
        <v>20</v>
      </c>
      <c r="SY21" s="75">
        <v>18</v>
      </c>
      <c r="SZ21" s="75">
        <v>8</v>
      </c>
      <c r="TA21" s="75">
        <v>8</v>
      </c>
      <c r="TB21" s="75"/>
      <c r="TC21" s="75">
        <v>8</v>
      </c>
      <c r="TD21" s="75">
        <v>9</v>
      </c>
      <c r="TE21" s="75">
        <v>12</v>
      </c>
      <c r="TF21" s="75">
        <v>12</v>
      </c>
      <c r="TG21" s="75">
        <v>12</v>
      </c>
      <c r="TH21" s="75">
        <v>17</v>
      </c>
      <c r="TI21" s="75"/>
      <c r="TJ21" s="75">
        <v>28</v>
      </c>
      <c r="TK21" s="75">
        <v>28</v>
      </c>
      <c r="TL21" s="75">
        <v>28</v>
      </c>
      <c r="TM21" s="75">
        <v>30</v>
      </c>
      <c r="TN21" s="75">
        <v>38</v>
      </c>
      <c r="TO21" s="75">
        <v>36</v>
      </c>
      <c r="TP21" s="75"/>
      <c r="TQ21" s="75">
        <v>26</v>
      </c>
      <c r="TR21" s="75">
        <v>26</v>
      </c>
      <c r="TS21" s="75">
        <v>26</v>
      </c>
      <c r="TT21" s="75">
        <v>21</v>
      </c>
      <c r="TU21" s="75">
        <v>10</v>
      </c>
      <c r="TV21" s="75">
        <v>10</v>
      </c>
      <c r="TW21" s="75"/>
      <c r="TX21" s="75">
        <v>10</v>
      </c>
      <c r="TY21" s="75">
        <v>10</v>
      </c>
      <c r="TZ21" s="75">
        <v>10</v>
      </c>
      <c r="UA21" s="75">
        <v>10</v>
      </c>
      <c r="UB21" s="75">
        <v>10</v>
      </c>
      <c r="UC21" s="75">
        <v>10</v>
      </c>
      <c r="UD21" s="75"/>
      <c r="UE21" s="75">
        <v>10</v>
      </c>
      <c r="UF21" s="75">
        <v>13</v>
      </c>
      <c r="UG21" s="75">
        <v>18</v>
      </c>
      <c r="UH21" s="75">
        <v>18</v>
      </c>
      <c r="UI21" s="75">
        <v>18</v>
      </c>
      <c r="UJ21" s="75">
        <v>18</v>
      </c>
      <c r="UK21" s="75"/>
      <c r="UL21" s="75">
        <v>18</v>
      </c>
      <c r="UM21" s="75">
        <v>18</v>
      </c>
      <c r="UN21" s="75">
        <v>21</v>
      </c>
      <c r="UO21" s="75">
        <v>28</v>
      </c>
      <c r="UP21" s="75">
        <v>28</v>
      </c>
      <c r="UQ21" s="75">
        <v>25</v>
      </c>
      <c r="UR21" s="75"/>
      <c r="US21" s="75">
        <v>28</v>
      </c>
      <c r="UT21" s="75">
        <v>30</v>
      </c>
      <c r="UU21" s="75">
        <v>36</v>
      </c>
      <c r="UV21" s="75">
        <v>34</v>
      </c>
      <c r="UW21" s="75">
        <v>27</v>
      </c>
      <c r="UX21" s="75">
        <v>27</v>
      </c>
      <c r="UY21" s="75"/>
      <c r="UZ21" s="75">
        <v>27</v>
      </c>
      <c r="VA21" s="75">
        <v>27</v>
      </c>
      <c r="VB21" s="75">
        <v>27</v>
      </c>
      <c r="VC21" s="75">
        <v>27</v>
      </c>
      <c r="VD21" s="75">
        <v>19</v>
      </c>
      <c r="VE21" s="75">
        <v>17</v>
      </c>
      <c r="VF21" s="75"/>
      <c r="VG21" s="75">
        <v>11</v>
      </c>
      <c r="VH21" s="75">
        <v>11</v>
      </c>
      <c r="VI21" s="75">
        <v>11</v>
      </c>
      <c r="VJ21" s="75">
        <v>11</v>
      </c>
      <c r="VK21" s="75">
        <v>11</v>
      </c>
      <c r="VL21" s="75">
        <v>11</v>
      </c>
      <c r="VM21" s="75"/>
      <c r="VN21" s="75">
        <v>11</v>
      </c>
      <c r="VO21" s="75">
        <v>11</v>
      </c>
      <c r="VP21" s="75">
        <v>11</v>
      </c>
      <c r="VQ21" s="75">
        <v>11</v>
      </c>
      <c r="VR21" s="75">
        <v>12</v>
      </c>
      <c r="VS21" s="75">
        <v>15</v>
      </c>
      <c r="VT21" s="75"/>
      <c r="VU21" s="75">
        <v>14</v>
      </c>
      <c r="VV21" s="75">
        <v>12</v>
      </c>
      <c r="VW21" s="75">
        <v>9</v>
      </c>
      <c r="VX21" s="75">
        <v>1</v>
      </c>
      <c r="VY21" s="75">
        <v>1</v>
      </c>
      <c r="VZ21" s="75">
        <v>1</v>
      </c>
      <c r="WA21" s="75"/>
      <c r="WB21" s="75">
        <v>1</v>
      </c>
      <c r="WC21" s="75">
        <v>1</v>
      </c>
      <c r="WD21" s="75">
        <v>1</v>
      </c>
      <c r="WE21" s="75">
        <v>1</v>
      </c>
      <c r="WF21" s="75">
        <v>1</v>
      </c>
      <c r="WG21" s="75">
        <v>1</v>
      </c>
      <c r="WH21" s="75"/>
      <c r="WI21" s="75">
        <v>1</v>
      </c>
      <c r="WJ21" s="75">
        <v>1</v>
      </c>
      <c r="WK21" s="75">
        <v>1</v>
      </c>
      <c r="WL21" s="75">
        <v>1</v>
      </c>
      <c r="WM21" s="75">
        <v>1</v>
      </c>
      <c r="WN21" s="75">
        <v>1</v>
      </c>
      <c r="WO21" s="75"/>
      <c r="WP21" s="75">
        <v>1</v>
      </c>
      <c r="WQ21" s="75">
        <v>1</v>
      </c>
      <c r="WR21" s="75">
        <v>1</v>
      </c>
      <c r="WS21" s="75">
        <v>1</v>
      </c>
      <c r="WT21" s="75">
        <v>1</v>
      </c>
      <c r="WU21" s="75"/>
      <c r="WV21" s="75"/>
      <c r="WW21" s="75"/>
      <c r="WX21" s="75"/>
      <c r="WY21" s="75"/>
      <c r="WZ21" s="75"/>
      <c r="XA21" s="75"/>
      <c r="XB21" s="75"/>
      <c r="XC21" s="75"/>
      <c r="XD21" s="75"/>
      <c r="XE21" s="75"/>
      <c r="XF21" s="75"/>
      <c r="XG21" s="75"/>
      <c r="XH21" s="75"/>
      <c r="XI21" s="75"/>
      <c r="XJ21" s="75"/>
      <c r="XK21" s="75"/>
      <c r="XL21" s="75"/>
      <c r="XM21" s="75"/>
      <c r="XN21" s="75"/>
      <c r="XO21" s="75"/>
      <c r="XP21" s="75"/>
      <c r="XQ21" s="75"/>
      <c r="XR21" s="75">
        <v>6</v>
      </c>
      <c r="XS21" s="75">
        <v>6</v>
      </c>
      <c r="XT21" s="75">
        <v>6</v>
      </c>
      <c r="XU21" s="75">
        <v>6</v>
      </c>
      <c r="XV21" s="75">
        <v>6</v>
      </c>
      <c r="XW21" s="75">
        <v>6</v>
      </c>
      <c r="XX21" s="75"/>
      <c r="XY21" s="75">
        <v>6</v>
      </c>
      <c r="XZ21" s="75">
        <v>6</v>
      </c>
      <c r="YA21" s="75">
        <v>6</v>
      </c>
      <c r="YB21" s="75">
        <v>6</v>
      </c>
      <c r="YC21" s="75"/>
      <c r="YD21" s="75"/>
      <c r="YE21" s="75"/>
      <c r="YF21" s="75"/>
      <c r="YG21" s="75"/>
      <c r="YH21" s="75"/>
      <c r="YI21" s="75"/>
      <c r="YJ21" s="75"/>
      <c r="YK21" s="75"/>
      <c r="YL21" s="75"/>
      <c r="YM21" s="75"/>
      <c r="YN21" s="75"/>
      <c r="YO21" s="75"/>
      <c r="YP21" s="75"/>
      <c r="YQ21" s="75"/>
      <c r="YR21" s="75"/>
      <c r="YS21" s="75"/>
      <c r="YT21" s="75"/>
      <c r="YU21" s="75"/>
      <c r="YV21" s="75"/>
      <c r="YW21" s="75"/>
      <c r="YX21" s="75"/>
      <c r="YY21" s="75"/>
      <c r="YZ21" s="75"/>
      <c r="ZA21" s="75"/>
      <c r="ZB21" s="75"/>
      <c r="ZC21" s="75"/>
      <c r="ZD21" s="75"/>
      <c r="ZE21" s="75"/>
      <c r="ZF21" s="75"/>
      <c r="ZG21" s="75"/>
      <c r="ZH21" s="75"/>
      <c r="ZI21" s="75"/>
      <c r="ZJ21" s="75"/>
      <c r="ZK21" s="75"/>
      <c r="ZL21" s="75"/>
      <c r="ZM21" s="75"/>
      <c r="ZN21" s="75"/>
      <c r="ZO21" s="75"/>
      <c r="ZP21" s="75">
        <v>1</v>
      </c>
      <c r="ZQ21" s="75">
        <v>6</v>
      </c>
      <c r="ZR21" s="75">
        <v>6</v>
      </c>
      <c r="ZS21" s="75">
        <v>6</v>
      </c>
      <c r="ZT21" s="75"/>
      <c r="ZU21" s="75"/>
      <c r="ZV21" s="75"/>
      <c r="ZW21" s="75"/>
      <c r="ZX21" s="75"/>
      <c r="ZY21" s="75">
        <v>6</v>
      </c>
      <c r="ZZ21" s="75">
        <v>6</v>
      </c>
      <c r="AAA21" s="75">
        <v>6</v>
      </c>
      <c r="AAB21" s="75"/>
      <c r="AAC21" s="75">
        <v>6</v>
      </c>
      <c r="AAD21" s="75">
        <v>6</v>
      </c>
      <c r="AAE21" s="75">
        <v>6</v>
      </c>
      <c r="AAF21" s="75">
        <v>5</v>
      </c>
      <c r="AAG21" s="75"/>
      <c r="AAH21" s="75"/>
      <c r="AAI21" s="75"/>
      <c r="AAJ21" s="75"/>
      <c r="AAK21" s="75"/>
      <c r="AAL21" s="75"/>
      <c r="AAM21" s="75"/>
      <c r="AAN21" s="75"/>
      <c r="AAO21" s="75"/>
      <c r="AAP21" s="75"/>
      <c r="AAQ21" s="75"/>
      <c r="AAR21" s="75"/>
      <c r="AAS21" s="75"/>
      <c r="AAT21" s="75"/>
      <c r="AAU21" s="75"/>
      <c r="AAV21" s="75"/>
      <c r="AAW21" s="75"/>
      <c r="AAX21" s="75"/>
      <c r="AAY21" s="75"/>
      <c r="AAZ21" s="75"/>
      <c r="ABA21" s="75"/>
      <c r="ABB21" s="75"/>
      <c r="ABC21" s="75"/>
    </row>
    <row r="22" spans="1:731">
      <c r="A22" s="75" t="s">
        <v>59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  <c r="BE22" s="75"/>
      <c r="BF22" s="75"/>
      <c r="BG22" s="75"/>
      <c r="BH22" s="75"/>
      <c r="BI22" s="75"/>
      <c r="BJ22" s="75"/>
      <c r="BK22" s="75"/>
      <c r="BL22" s="75"/>
      <c r="BM22" s="75"/>
      <c r="BN22" s="75"/>
      <c r="BO22" s="75"/>
      <c r="BP22" s="75"/>
      <c r="BQ22" s="75"/>
      <c r="BR22" s="75"/>
      <c r="BS22" s="75"/>
      <c r="BT22" s="75"/>
      <c r="BU22" s="75"/>
      <c r="BV22" s="75"/>
      <c r="BW22" s="75"/>
      <c r="BX22" s="75"/>
      <c r="BY22" s="75"/>
      <c r="BZ22" s="75"/>
      <c r="CA22" s="75"/>
      <c r="CB22" s="75"/>
      <c r="CC22" s="75"/>
      <c r="CD22" s="75"/>
      <c r="CE22" s="75"/>
      <c r="CF22" s="75"/>
      <c r="CG22" s="75"/>
      <c r="CH22" s="75"/>
      <c r="CI22" s="75"/>
      <c r="CJ22" s="75"/>
      <c r="CK22" s="75"/>
      <c r="CL22" s="75"/>
      <c r="CM22" s="75"/>
      <c r="CN22" s="75"/>
      <c r="CO22" s="75"/>
      <c r="CP22" s="75"/>
      <c r="CQ22" s="75"/>
      <c r="CR22" s="75"/>
      <c r="CS22" s="75"/>
      <c r="CT22" s="75"/>
      <c r="CU22" s="75"/>
      <c r="CV22" s="75"/>
      <c r="CW22" s="75"/>
      <c r="CX22" s="75"/>
      <c r="CY22" s="75"/>
      <c r="CZ22" s="75"/>
      <c r="DA22" s="75"/>
      <c r="DB22" s="75"/>
      <c r="DC22" s="75"/>
      <c r="DD22" s="75"/>
      <c r="DE22" s="75"/>
      <c r="DF22" s="75"/>
      <c r="DG22" s="75"/>
      <c r="DH22" s="75"/>
      <c r="DI22" s="75"/>
      <c r="DJ22" s="75"/>
      <c r="DK22" s="75"/>
      <c r="DL22" s="75"/>
      <c r="DM22" s="75"/>
      <c r="DN22" s="75"/>
      <c r="DO22" s="75"/>
      <c r="DP22" s="75"/>
      <c r="DQ22" s="75"/>
      <c r="DR22" s="75"/>
      <c r="DS22" s="75"/>
      <c r="DT22" s="75"/>
      <c r="DU22" s="75"/>
      <c r="DV22" s="75"/>
      <c r="DW22" s="75"/>
      <c r="DX22" s="75"/>
      <c r="DY22" s="75"/>
      <c r="DZ22" s="75"/>
      <c r="EA22" s="75"/>
      <c r="EB22" s="75"/>
      <c r="EC22" s="75"/>
      <c r="ED22" s="75"/>
      <c r="EE22" s="75"/>
      <c r="EF22" s="75"/>
      <c r="EG22" s="75"/>
      <c r="EH22" s="75"/>
      <c r="EI22" s="75"/>
      <c r="EJ22" s="75"/>
      <c r="EK22" s="75"/>
      <c r="EL22" s="75"/>
      <c r="EM22" s="75"/>
      <c r="EN22" s="75"/>
      <c r="EO22" s="75"/>
      <c r="EP22" s="75"/>
      <c r="EQ22" s="75"/>
      <c r="ER22" s="75"/>
      <c r="ES22" s="75"/>
      <c r="ET22" s="75"/>
      <c r="EU22" s="75"/>
      <c r="EV22" s="75"/>
      <c r="EW22" s="75"/>
      <c r="EX22" s="75"/>
      <c r="EY22" s="75"/>
      <c r="EZ22" s="75"/>
      <c r="FA22" s="75"/>
      <c r="FB22" s="75"/>
      <c r="FC22" s="75"/>
      <c r="FD22" s="75"/>
      <c r="FE22" s="75"/>
      <c r="FF22" s="75"/>
      <c r="FG22" s="75"/>
      <c r="FH22" s="75"/>
      <c r="FI22" s="75"/>
      <c r="FJ22" s="75"/>
      <c r="FK22" s="75"/>
      <c r="FL22" s="75"/>
      <c r="FM22" s="75"/>
      <c r="FN22" s="75"/>
      <c r="FO22" s="75"/>
      <c r="FP22" s="75"/>
      <c r="FQ22" s="75"/>
      <c r="FR22" s="75"/>
      <c r="FS22" s="75"/>
      <c r="FT22" s="75"/>
      <c r="FU22" s="75"/>
      <c r="FV22" s="75"/>
      <c r="FW22" s="75"/>
      <c r="FX22" s="75"/>
      <c r="FY22" s="75"/>
      <c r="FZ22" s="75"/>
      <c r="GA22" s="75"/>
      <c r="GB22" s="75"/>
      <c r="GC22" s="75"/>
      <c r="GD22" s="75"/>
      <c r="GE22" s="75"/>
      <c r="GF22" s="75"/>
      <c r="GG22" s="75"/>
      <c r="GH22" s="75"/>
      <c r="GI22" s="75"/>
      <c r="GJ22" s="75"/>
      <c r="GK22" s="75"/>
      <c r="GL22" s="75"/>
      <c r="GM22" s="75"/>
      <c r="GN22" s="75"/>
      <c r="GO22" s="75"/>
      <c r="GP22" s="75"/>
      <c r="GQ22" s="75"/>
      <c r="GR22" s="75"/>
      <c r="GS22" s="75"/>
      <c r="GT22" s="75"/>
      <c r="GU22" s="75"/>
      <c r="GV22" s="75"/>
      <c r="GW22" s="75"/>
      <c r="GX22" s="75"/>
      <c r="GY22" s="75"/>
      <c r="GZ22" s="75"/>
      <c r="HA22" s="75"/>
      <c r="HB22" s="75"/>
      <c r="HC22" s="75"/>
      <c r="HD22" s="75"/>
      <c r="HE22" s="75"/>
      <c r="HF22" s="75"/>
      <c r="HG22" s="75"/>
      <c r="HH22" s="75"/>
      <c r="HI22" s="75"/>
      <c r="HJ22" s="75"/>
      <c r="HK22" s="75"/>
      <c r="HL22" s="75"/>
      <c r="HM22" s="75"/>
      <c r="HN22" s="75"/>
      <c r="HO22" s="75"/>
      <c r="HP22" s="75"/>
      <c r="HQ22" s="75"/>
      <c r="HR22" s="75"/>
      <c r="HS22" s="75"/>
      <c r="HT22" s="75"/>
      <c r="HU22" s="75"/>
      <c r="HV22" s="75"/>
      <c r="HW22" s="75"/>
      <c r="HX22" s="75"/>
      <c r="HY22" s="75"/>
      <c r="HZ22" s="75"/>
      <c r="IA22" s="75"/>
      <c r="IB22" s="75"/>
      <c r="IC22" s="75"/>
      <c r="ID22" s="75"/>
      <c r="IE22" s="75"/>
      <c r="IF22" s="75"/>
      <c r="IG22" s="75"/>
      <c r="IH22" s="75"/>
      <c r="II22" s="75"/>
      <c r="IJ22" s="75"/>
      <c r="IK22" s="75"/>
      <c r="IL22" s="75"/>
      <c r="IM22" s="75"/>
      <c r="IN22" s="75"/>
      <c r="IO22" s="75"/>
      <c r="IP22" s="75"/>
      <c r="IQ22" s="75"/>
      <c r="IR22" s="75"/>
      <c r="IS22" s="75"/>
      <c r="IT22" s="75"/>
      <c r="IU22" s="75"/>
      <c r="IV22" s="75"/>
      <c r="IW22" s="75"/>
      <c r="IX22" s="75"/>
      <c r="IY22" s="75"/>
      <c r="IZ22" s="75"/>
      <c r="JA22" s="75"/>
      <c r="JB22" s="75"/>
      <c r="JC22" s="75"/>
      <c r="JD22" s="75"/>
      <c r="JE22" s="75"/>
      <c r="JF22" s="75"/>
      <c r="JG22" s="75"/>
      <c r="JH22" s="75"/>
      <c r="JI22" s="75"/>
      <c r="JJ22" s="75"/>
      <c r="JK22" s="75"/>
      <c r="JL22" s="75"/>
      <c r="JM22" s="75"/>
      <c r="JN22" s="75"/>
      <c r="JO22" s="75"/>
      <c r="JP22" s="75"/>
      <c r="JQ22" s="75"/>
      <c r="JR22" s="75"/>
      <c r="JS22" s="75"/>
      <c r="JT22" s="75"/>
      <c r="JU22" s="75"/>
      <c r="JV22" s="75"/>
      <c r="JW22" s="75"/>
      <c r="JX22" s="75"/>
      <c r="JY22" s="75"/>
      <c r="JZ22" s="75"/>
      <c r="KA22" s="75"/>
      <c r="KB22" s="75"/>
      <c r="KC22" s="75"/>
      <c r="KD22" s="75"/>
      <c r="KE22" s="75"/>
      <c r="KF22" s="75"/>
      <c r="KG22" s="75"/>
      <c r="KH22" s="75"/>
      <c r="KI22" s="75"/>
      <c r="KJ22" s="75"/>
      <c r="KK22" s="75"/>
      <c r="KL22" s="75"/>
      <c r="KM22" s="75"/>
      <c r="KN22" s="75"/>
      <c r="KO22" s="75"/>
      <c r="KP22" s="75"/>
      <c r="KQ22" s="75"/>
      <c r="KR22" s="75"/>
      <c r="KS22" s="75"/>
      <c r="KT22" s="75"/>
      <c r="KU22" s="75"/>
      <c r="KV22" s="75"/>
      <c r="KW22" s="75"/>
      <c r="KX22" s="75"/>
      <c r="KY22" s="75"/>
      <c r="KZ22" s="75"/>
      <c r="LA22" s="75"/>
      <c r="LB22" s="75"/>
      <c r="LC22" s="75"/>
      <c r="LD22" s="75"/>
      <c r="LE22" s="75"/>
      <c r="LF22" s="75"/>
      <c r="LG22" s="75"/>
      <c r="LH22" s="75"/>
      <c r="LI22" s="75"/>
      <c r="LJ22" s="75"/>
      <c r="LK22" s="75"/>
      <c r="LL22" s="75"/>
      <c r="LM22" s="75"/>
      <c r="LN22" s="75"/>
      <c r="LO22" s="75"/>
      <c r="LP22" s="75"/>
      <c r="LQ22" s="75"/>
      <c r="LR22" s="75"/>
      <c r="LS22" s="75"/>
      <c r="LT22" s="75"/>
      <c r="LU22" s="75"/>
      <c r="LV22" s="75"/>
      <c r="LW22" s="75"/>
      <c r="LX22" s="75"/>
      <c r="LY22" s="75"/>
      <c r="LZ22" s="75"/>
      <c r="MA22" s="75"/>
      <c r="MB22" s="75"/>
      <c r="MC22" s="75"/>
      <c r="MD22" s="75"/>
      <c r="ME22" s="75"/>
      <c r="MF22" s="75"/>
      <c r="MG22" s="75"/>
      <c r="MH22" s="75"/>
      <c r="MI22" s="75"/>
      <c r="MJ22" s="75"/>
      <c r="MK22" s="75"/>
      <c r="ML22" s="75"/>
      <c r="MM22" s="75"/>
      <c r="MN22" s="75"/>
      <c r="MO22" s="75"/>
      <c r="MP22" s="75"/>
      <c r="MQ22" s="75"/>
      <c r="MR22" s="75"/>
      <c r="MS22" s="75"/>
      <c r="MT22" s="75"/>
      <c r="MU22" s="75"/>
      <c r="MV22" s="75"/>
      <c r="MW22" s="75"/>
      <c r="MX22" s="75"/>
      <c r="MY22" s="75"/>
      <c r="MZ22" s="75"/>
      <c r="NA22" s="75"/>
      <c r="NB22" s="75"/>
      <c r="NC22" s="75"/>
      <c r="ND22" s="75"/>
      <c r="NE22" s="75"/>
      <c r="NF22" s="75"/>
      <c r="NG22" s="75"/>
      <c r="NH22" s="75"/>
      <c r="NI22" s="75"/>
      <c r="NJ22" s="75"/>
      <c r="NK22" s="75"/>
      <c r="NL22" s="75"/>
      <c r="NM22" s="75"/>
      <c r="NN22" s="75"/>
      <c r="NO22" s="75"/>
      <c r="NP22" s="75"/>
      <c r="NQ22" s="75"/>
      <c r="NR22" s="75"/>
      <c r="NS22" s="75"/>
      <c r="NT22" s="75"/>
      <c r="NU22" s="75"/>
      <c r="NV22" s="75"/>
      <c r="NW22" s="75"/>
      <c r="NX22" s="75"/>
      <c r="NY22" s="75"/>
      <c r="NZ22" s="75"/>
      <c r="OA22" s="75"/>
      <c r="OB22" s="75"/>
      <c r="OC22" s="75"/>
      <c r="OD22" s="75"/>
      <c r="OE22" s="75"/>
      <c r="OF22" s="75"/>
      <c r="OG22" s="75"/>
      <c r="OH22" s="75"/>
      <c r="OI22" s="75"/>
      <c r="OJ22" s="75"/>
      <c r="OK22" s="75"/>
      <c r="OL22" s="75"/>
      <c r="OM22" s="75"/>
      <c r="ON22" s="75"/>
      <c r="OO22" s="75"/>
      <c r="OP22" s="75"/>
      <c r="OQ22" s="75"/>
      <c r="OR22" s="75"/>
      <c r="OS22" s="75"/>
      <c r="OT22" s="75"/>
      <c r="OU22" s="75"/>
      <c r="OV22" s="75"/>
      <c r="OW22" s="75"/>
      <c r="OX22" s="75"/>
      <c r="OY22" s="75"/>
      <c r="OZ22" s="75"/>
      <c r="PA22" s="75"/>
      <c r="PB22" s="75"/>
      <c r="PC22" s="75"/>
      <c r="PD22" s="75"/>
      <c r="PE22" s="75"/>
      <c r="PF22" s="75"/>
      <c r="PG22" s="75"/>
      <c r="PH22" s="75"/>
      <c r="PI22" s="75"/>
      <c r="PJ22" s="75"/>
      <c r="PK22" s="75"/>
      <c r="PL22" s="75"/>
      <c r="PM22" s="75"/>
      <c r="PN22" s="75"/>
      <c r="PO22" s="75"/>
      <c r="PP22" s="75">
        <v>20</v>
      </c>
      <c r="PQ22" s="75">
        <v>20</v>
      </c>
      <c r="PR22" s="75">
        <v>20</v>
      </c>
      <c r="PS22" s="75">
        <v>20</v>
      </c>
      <c r="PT22" s="75">
        <v>20</v>
      </c>
      <c r="PU22" s="75">
        <v>20</v>
      </c>
      <c r="PV22" s="75"/>
      <c r="PW22" s="75">
        <v>20</v>
      </c>
      <c r="PX22" s="75">
        <v>20</v>
      </c>
      <c r="PY22" s="75">
        <v>20</v>
      </c>
      <c r="PZ22" s="75">
        <v>20</v>
      </c>
      <c r="QA22" s="75">
        <v>20</v>
      </c>
      <c r="QB22" s="75">
        <v>20</v>
      </c>
      <c r="QC22" s="75"/>
      <c r="QD22" s="75">
        <v>20</v>
      </c>
      <c r="QE22" s="75">
        <v>20</v>
      </c>
      <c r="QF22" s="75">
        <v>20</v>
      </c>
      <c r="QG22" s="75">
        <v>40</v>
      </c>
      <c r="QH22" s="75">
        <v>40</v>
      </c>
      <c r="QI22" s="75">
        <v>40</v>
      </c>
      <c r="QJ22" s="75"/>
      <c r="QK22" s="75">
        <v>40</v>
      </c>
      <c r="QL22" s="75">
        <v>40</v>
      </c>
      <c r="QM22" s="75">
        <v>60</v>
      </c>
      <c r="QN22" s="75">
        <v>60</v>
      </c>
      <c r="QO22" s="75">
        <v>60</v>
      </c>
      <c r="QP22" s="75">
        <v>60</v>
      </c>
      <c r="QQ22" s="75"/>
      <c r="QR22" s="75">
        <v>60</v>
      </c>
      <c r="QS22" s="75">
        <v>40</v>
      </c>
      <c r="QT22" s="75">
        <v>40</v>
      </c>
      <c r="QU22" s="75">
        <v>40</v>
      </c>
      <c r="QV22" s="75">
        <v>40</v>
      </c>
      <c r="QW22" s="75">
        <v>40</v>
      </c>
      <c r="QX22" s="75"/>
      <c r="QY22" s="75"/>
      <c r="QZ22" s="75"/>
      <c r="RA22" s="75"/>
      <c r="RB22" s="75"/>
      <c r="RC22" s="75"/>
      <c r="RD22" s="75"/>
      <c r="RE22" s="75"/>
      <c r="RF22" s="75"/>
      <c r="RG22" s="75"/>
      <c r="RH22" s="75"/>
      <c r="RI22" s="75"/>
      <c r="RJ22" s="75"/>
      <c r="RK22" s="75"/>
      <c r="RL22" s="75"/>
      <c r="RM22" s="75"/>
      <c r="RN22" s="75"/>
      <c r="RO22" s="75"/>
      <c r="RP22" s="75"/>
      <c r="RQ22" s="75"/>
      <c r="RR22" s="75"/>
      <c r="RS22" s="75"/>
      <c r="RT22" s="75"/>
      <c r="RU22" s="75"/>
      <c r="RV22" s="75"/>
      <c r="RW22" s="75"/>
      <c r="RX22" s="75"/>
      <c r="RY22" s="75"/>
      <c r="RZ22" s="75"/>
      <c r="SA22" s="75"/>
      <c r="SB22" s="75"/>
      <c r="SC22" s="75"/>
      <c r="SD22" s="75"/>
      <c r="SE22" s="75"/>
      <c r="SF22" s="75"/>
      <c r="SG22" s="75"/>
      <c r="SH22" s="75"/>
      <c r="SI22" s="75"/>
      <c r="SJ22" s="75"/>
      <c r="SK22" s="75"/>
      <c r="SL22" s="75"/>
      <c r="SM22" s="75"/>
      <c r="SN22" s="75"/>
      <c r="SO22" s="75"/>
      <c r="SP22" s="75"/>
      <c r="SQ22" s="75"/>
      <c r="SR22" s="75"/>
      <c r="SS22" s="75"/>
      <c r="ST22" s="75"/>
      <c r="SU22" s="75"/>
      <c r="SV22" s="75"/>
      <c r="SW22" s="75"/>
      <c r="SX22" s="75"/>
      <c r="SY22" s="75"/>
      <c r="SZ22" s="75"/>
      <c r="TA22" s="75"/>
      <c r="TB22" s="75"/>
      <c r="TC22" s="75"/>
      <c r="TD22" s="75"/>
      <c r="TE22" s="75"/>
      <c r="TF22" s="75"/>
      <c r="TG22" s="75"/>
      <c r="TH22" s="75"/>
      <c r="TI22" s="75"/>
      <c r="TJ22" s="75"/>
      <c r="TK22" s="75"/>
      <c r="TL22" s="75"/>
      <c r="TM22" s="75"/>
      <c r="TN22" s="75"/>
      <c r="TO22" s="75"/>
      <c r="TP22" s="75"/>
      <c r="TQ22" s="75"/>
      <c r="TR22" s="75"/>
      <c r="TS22" s="75"/>
      <c r="TT22" s="75"/>
      <c r="TU22" s="75"/>
      <c r="TV22" s="75"/>
      <c r="TW22" s="75"/>
      <c r="TX22" s="75"/>
      <c r="TY22" s="75"/>
      <c r="TZ22" s="75"/>
      <c r="UA22" s="75"/>
      <c r="UB22" s="75"/>
      <c r="UC22" s="75"/>
      <c r="UD22" s="75"/>
      <c r="UE22" s="75"/>
      <c r="UF22" s="75"/>
      <c r="UG22" s="75"/>
      <c r="UH22" s="75"/>
      <c r="UI22" s="75"/>
      <c r="UJ22" s="75"/>
      <c r="UK22" s="75"/>
      <c r="UL22" s="75"/>
      <c r="UM22" s="75"/>
      <c r="UN22" s="75"/>
      <c r="UO22" s="75"/>
      <c r="UP22" s="75"/>
      <c r="UQ22" s="75"/>
      <c r="UR22" s="75"/>
      <c r="US22" s="75"/>
      <c r="UT22" s="75"/>
      <c r="UU22" s="75"/>
      <c r="UV22" s="75"/>
      <c r="UW22" s="75"/>
      <c r="UX22" s="75"/>
      <c r="UY22" s="75"/>
      <c r="UZ22" s="75"/>
      <c r="VA22" s="75"/>
      <c r="VB22" s="75"/>
      <c r="VC22" s="75"/>
      <c r="VD22" s="75"/>
      <c r="VE22" s="75"/>
      <c r="VF22" s="75"/>
      <c r="VG22" s="75"/>
      <c r="VH22" s="75"/>
      <c r="VI22" s="75"/>
      <c r="VJ22" s="75"/>
      <c r="VK22" s="75"/>
      <c r="VL22" s="75"/>
      <c r="VM22" s="75"/>
      <c r="VN22" s="75"/>
      <c r="VO22" s="75"/>
      <c r="VP22" s="75"/>
      <c r="VQ22" s="75"/>
      <c r="VR22" s="75"/>
      <c r="VS22" s="75"/>
      <c r="VT22" s="75"/>
      <c r="VU22" s="75"/>
      <c r="VV22" s="75"/>
      <c r="VW22" s="75"/>
      <c r="VX22" s="75"/>
      <c r="VY22" s="75"/>
      <c r="VZ22" s="75"/>
      <c r="WA22" s="75"/>
      <c r="WB22" s="75"/>
      <c r="WC22" s="75"/>
      <c r="WD22" s="75"/>
      <c r="WE22" s="75"/>
      <c r="WF22" s="75"/>
      <c r="WG22" s="75"/>
      <c r="WH22" s="75"/>
      <c r="WI22" s="75"/>
      <c r="WJ22" s="75"/>
      <c r="WK22" s="75"/>
      <c r="WL22" s="75"/>
      <c r="WM22" s="75"/>
      <c r="WN22" s="75"/>
      <c r="WO22" s="75"/>
      <c r="WP22" s="75"/>
      <c r="WQ22" s="75"/>
      <c r="WR22" s="75"/>
      <c r="WS22" s="75"/>
      <c r="WT22" s="75"/>
      <c r="WU22" s="75"/>
      <c r="WV22" s="75"/>
      <c r="WW22" s="75"/>
      <c r="WX22" s="75"/>
      <c r="WY22" s="75"/>
      <c r="WZ22" s="75"/>
      <c r="XA22" s="75"/>
      <c r="XB22" s="75"/>
      <c r="XC22" s="75"/>
      <c r="XD22" s="75"/>
      <c r="XE22" s="75"/>
      <c r="XF22" s="75"/>
      <c r="XG22" s="75"/>
      <c r="XH22" s="75"/>
      <c r="XI22" s="75"/>
      <c r="XJ22" s="75"/>
      <c r="XK22" s="75"/>
      <c r="XL22" s="75"/>
      <c r="XM22" s="75"/>
      <c r="XN22" s="75"/>
      <c r="XO22" s="75"/>
      <c r="XP22" s="75"/>
      <c r="XQ22" s="75"/>
      <c r="XR22" s="75"/>
      <c r="XS22" s="75"/>
      <c r="XT22" s="75"/>
      <c r="XU22" s="75"/>
      <c r="XV22" s="75"/>
      <c r="XW22" s="75"/>
      <c r="XX22" s="75"/>
      <c r="XY22" s="75"/>
      <c r="XZ22" s="75"/>
      <c r="YA22" s="75"/>
      <c r="YB22" s="75"/>
      <c r="YC22" s="75"/>
      <c r="YD22" s="75"/>
      <c r="YE22" s="75"/>
      <c r="YF22" s="75"/>
      <c r="YG22" s="75"/>
      <c r="YH22" s="75"/>
      <c r="YI22" s="75"/>
      <c r="YJ22" s="75"/>
      <c r="YK22" s="75"/>
      <c r="YL22" s="75"/>
      <c r="YM22" s="75"/>
      <c r="YN22" s="75"/>
      <c r="YO22" s="75"/>
      <c r="YP22" s="75"/>
      <c r="YQ22" s="75"/>
      <c r="YR22" s="75"/>
      <c r="YS22" s="75"/>
      <c r="YT22" s="75"/>
      <c r="YU22" s="75"/>
      <c r="YV22" s="75"/>
      <c r="YW22" s="75"/>
      <c r="YX22" s="75"/>
      <c r="YY22" s="75"/>
      <c r="YZ22" s="75"/>
      <c r="ZA22" s="75"/>
      <c r="ZB22" s="75"/>
      <c r="ZC22" s="75"/>
      <c r="ZD22" s="75"/>
      <c r="ZE22" s="75"/>
      <c r="ZF22" s="75"/>
      <c r="ZG22" s="75"/>
      <c r="ZH22" s="75"/>
      <c r="ZI22" s="75"/>
      <c r="ZJ22" s="75"/>
      <c r="ZK22" s="75"/>
      <c r="ZL22" s="75"/>
      <c r="ZM22" s="75"/>
      <c r="ZN22" s="75"/>
      <c r="ZO22" s="75"/>
      <c r="ZP22" s="75"/>
      <c r="ZQ22" s="75"/>
      <c r="ZR22" s="75"/>
      <c r="ZS22" s="75"/>
      <c r="ZT22" s="75"/>
      <c r="ZU22" s="75"/>
      <c r="ZV22" s="75"/>
      <c r="ZW22" s="75"/>
      <c r="ZX22" s="75"/>
      <c r="ZY22" s="75"/>
      <c r="ZZ22" s="75"/>
      <c r="AAA22" s="75"/>
      <c r="AAB22" s="75"/>
      <c r="AAC22" s="75"/>
      <c r="AAD22" s="75"/>
      <c r="AAE22" s="75"/>
      <c r="AAF22" s="75"/>
      <c r="AAG22" s="75"/>
      <c r="AAH22" s="75"/>
      <c r="AAI22" s="75"/>
      <c r="AAJ22" s="75"/>
      <c r="AAK22" s="75"/>
      <c r="AAL22" s="75"/>
      <c r="AAM22" s="75"/>
      <c r="AAN22" s="75"/>
      <c r="AAO22" s="75"/>
      <c r="AAP22" s="75"/>
      <c r="AAQ22" s="75"/>
      <c r="AAR22" s="75"/>
      <c r="AAS22" s="75"/>
      <c r="AAT22" s="75"/>
      <c r="AAU22" s="75"/>
      <c r="AAV22" s="75"/>
      <c r="AAW22" s="75"/>
      <c r="AAX22" s="75"/>
      <c r="AAY22" s="75"/>
      <c r="AAZ22" s="75"/>
      <c r="ABA22" s="75"/>
      <c r="ABB22" s="75"/>
      <c r="ABC22" s="75"/>
    </row>
    <row r="23" spans="1:731">
      <c r="A23" s="75" t="s">
        <v>60</v>
      </c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5"/>
      <c r="BF23" s="75"/>
      <c r="BG23" s="75"/>
      <c r="BH23" s="75"/>
      <c r="BI23" s="75"/>
      <c r="BJ23" s="75"/>
      <c r="BK23" s="75"/>
      <c r="BL23" s="75"/>
      <c r="BM23" s="75"/>
      <c r="BN23" s="75"/>
      <c r="BO23" s="75"/>
      <c r="BP23" s="75"/>
      <c r="BQ23" s="75"/>
      <c r="BR23" s="75"/>
      <c r="BS23" s="75"/>
      <c r="BT23" s="75"/>
      <c r="BU23" s="75"/>
      <c r="BV23" s="75"/>
      <c r="BW23" s="75"/>
      <c r="BX23" s="75"/>
      <c r="BY23" s="75"/>
      <c r="BZ23" s="75"/>
      <c r="CA23" s="75"/>
      <c r="CB23" s="75"/>
      <c r="CC23" s="75"/>
      <c r="CD23" s="75"/>
      <c r="CE23" s="75"/>
      <c r="CF23" s="75"/>
      <c r="CG23" s="75"/>
      <c r="CH23" s="75"/>
      <c r="CI23" s="75"/>
      <c r="CJ23" s="75"/>
      <c r="CK23" s="75"/>
      <c r="CL23" s="75"/>
      <c r="CM23" s="75"/>
      <c r="CN23" s="75"/>
      <c r="CO23" s="75"/>
      <c r="CP23" s="75"/>
      <c r="CQ23" s="75"/>
      <c r="CR23" s="75"/>
      <c r="CS23" s="75"/>
      <c r="CT23" s="75"/>
      <c r="CU23" s="75"/>
      <c r="CV23" s="75"/>
      <c r="CW23" s="75"/>
      <c r="CX23" s="75"/>
      <c r="CY23" s="75"/>
      <c r="CZ23" s="75"/>
      <c r="DA23" s="75"/>
      <c r="DB23" s="75"/>
      <c r="DC23" s="75"/>
      <c r="DD23" s="75"/>
      <c r="DE23" s="75"/>
      <c r="DF23" s="75"/>
      <c r="DG23" s="75"/>
      <c r="DH23" s="75"/>
      <c r="DI23" s="75"/>
      <c r="DJ23" s="75"/>
      <c r="DK23" s="75"/>
      <c r="DL23" s="75"/>
      <c r="DM23" s="75"/>
      <c r="DN23" s="75"/>
      <c r="DO23" s="75"/>
      <c r="DP23" s="75"/>
      <c r="DQ23" s="75"/>
      <c r="DR23" s="75"/>
      <c r="DS23" s="75"/>
      <c r="DT23" s="75"/>
      <c r="DU23" s="75"/>
      <c r="DV23" s="75"/>
      <c r="DW23" s="75"/>
      <c r="DX23" s="75"/>
      <c r="DY23" s="75"/>
      <c r="DZ23" s="75"/>
      <c r="EA23" s="75"/>
      <c r="EB23" s="75"/>
      <c r="EC23" s="75"/>
      <c r="ED23" s="75"/>
      <c r="EE23" s="75"/>
      <c r="EF23" s="75"/>
      <c r="EG23" s="75"/>
      <c r="EH23" s="75"/>
      <c r="EI23" s="75"/>
      <c r="EJ23" s="75"/>
      <c r="EK23" s="75"/>
      <c r="EL23" s="75"/>
      <c r="EM23" s="75"/>
      <c r="EN23" s="75"/>
      <c r="EO23" s="75"/>
      <c r="EP23" s="75"/>
      <c r="EQ23" s="75"/>
      <c r="ER23" s="75"/>
      <c r="ES23" s="75"/>
      <c r="ET23" s="75"/>
      <c r="EU23" s="75"/>
      <c r="EV23" s="75"/>
      <c r="EW23" s="75"/>
      <c r="EX23" s="75"/>
      <c r="EY23" s="75"/>
      <c r="EZ23" s="75"/>
      <c r="FA23" s="75"/>
      <c r="FB23" s="75"/>
      <c r="FC23" s="75"/>
      <c r="FD23" s="75"/>
      <c r="FE23" s="75"/>
      <c r="FF23" s="75"/>
      <c r="FG23" s="75"/>
      <c r="FH23" s="75"/>
      <c r="FI23" s="75"/>
      <c r="FJ23" s="75"/>
      <c r="FK23" s="75"/>
      <c r="FL23" s="75"/>
      <c r="FM23" s="75"/>
      <c r="FN23" s="75"/>
      <c r="FO23" s="75"/>
      <c r="FP23" s="75"/>
      <c r="FQ23" s="75"/>
      <c r="FR23" s="75"/>
      <c r="FS23" s="75"/>
      <c r="FT23" s="75"/>
      <c r="FU23" s="75"/>
      <c r="FV23" s="75"/>
      <c r="FW23" s="75"/>
      <c r="FX23" s="75"/>
      <c r="FY23" s="75"/>
      <c r="FZ23" s="75"/>
      <c r="GA23" s="75"/>
      <c r="GB23" s="75"/>
      <c r="GC23" s="75"/>
      <c r="GD23" s="75"/>
      <c r="GE23" s="75"/>
      <c r="GF23" s="75"/>
      <c r="GG23" s="75"/>
      <c r="GH23" s="75"/>
      <c r="GI23" s="75"/>
      <c r="GJ23" s="75"/>
      <c r="GK23" s="75"/>
      <c r="GL23" s="75"/>
      <c r="GM23" s="75"/>
      <c r="GN23" s="75"/>
      <c r="GO23" s="75"/>
      <c r="GP23" s="75"/>
      <c r="GQ23" s="75"/>
      <c r="GR23" s="75"/>
      <c r="GS23" s="75"/>
      <c r="GT23" s="75"/>
      <c r="GU23" s="75"/>
      <c r="GV23" s="75"/>
      <c r="GW23" s="75"/>
      <c r="GX23" s="75"/>
      <c r="GY23" s="75"/>
      <c r="GZ23" s="75"/>
      <c r="HA23" s="75"/>
      <c r="HB23" s="75"/>
      <c r="HC23" s="75"/>
      <c r="HD23" s="75"/>
      <c r="HE23" s="75"/>
      <c r="HF23" s="75"/>
      <c r="HG23" s="75"/>
      <c r="HH23" s="75"/>
      <c r="HI23" s="75"/>
      <c r="HJ23" s="75"/>
      <c r="HK23" s="75"/>
      <c r="HL23" s="75"/>
      <c r="HM23" s="75"/>
      <c r="HN23" s="75"/>
      <c r="HO23" s="75"/>
      <c r="HP23" s="75"/>
      <c r="HQ23" s="75"/>
      <c r="HR23" s="75"/>
      <c r="HS23" s="75"/>
      <c r="HT23" s="75"/>
      <c r="HU23" s="75"/>
      <c r="HV23" s="75"/>
      <c r="HW23" s="75"/>
      <c r="HX23" s="75"/>
      <c r="HY23" s="75"/>
      <c r="HZ23" s="75"/>
      <c r="IA23" s="75"/>
      <c r="IB23" s="75"/>
      <c r="IC23" s="75"/>
      <c r="ID23" s="75"/>
      <c r="IE23" s="75"/>
      <c r="IF23" s="75"/>
      <c r="IG23" s="75"/>
      <c r="IH23" s="75"/>
      <c r="II23" s="75"/>
      <c r="IJ23" s="75"/>
      <c r="IK23" s="75"/>
      <c r="IL23" s="75"/>
      <c r="IM23" s="75"/>
      <c r="IN23" s="75"/>
      <c r="IO23" s="75"/>
      <c r="IP23" s="75"/>
      <c r="IQ23" s="75"/>
      <c r="IR23" s="75"/>
      <c r="IS23" s="75"/>
      <c r="IT23" s="75"/>
      <c r="IU23" s="75"/>
      <c r="IV23" s="75"/>
      <c r="IW23" s="75"/>
      <c r="IX23" s="75"/>
      <c r="IY23" s="75"/>
      <c r="IZ23" s="75"/>
      <c r="JA23" s="75"/>
      <c r="JB23" s="75"/>
      <c r="JC23" s="75"/>
      <c r="JD23" s="75"/>
      <c r="JE23" s="75"/>
      <c r="JF23" s="75"/>
      <c r="JG23" s="75"/>
      <c r="JH23" s="75"/>
      <c r="JI23" s="75"/>
      <c r="JJ23" s="75"/>
      <c r="JK23" s="75"/>
      <c r="JL23" s="75"/>
      <c r="JM23" s="75"/>
      <c r="JN23" s="75"/>
      <c r="JO23" s="75"/>
      <c r="JP23" s="75"/>
      <c r="JQ23" s="75"/>
      <c r="JR23" s="75"/>
      <c r="JS23" s="75"/>
      <c r="JT23" s="75"/>
      <c r="JU23" s="75"/>
      <c r="JV23" s="75"/>
      <c r="JW23" s="75"/>
      <c r="JX23" s="75"/>
      <c r="JY23" s="75"/>
      <c r="JZ23" s="75"/>
      <c r="KA23" s="75"/>
      <c r="KB23" s="75"/>
      <c r="KC23" s="75"/>
      <c r="KD23" s="75"/>
      <c r="KE23" s="75"/>
      <c r="KF23" s="75"/>
      <c r="KG23" s="75"/>
      <c r="KH23" s="75"/>
      <c r="KI23" s="75"/>
      <c r="KJ23" s="75"/>
      <c r="KK23" s="75"/>
      <c r="KL23" s="75"/>
      <c r="KM23" s="75"/>
      <c r="KN23" s="75"/>
      <c r="KO23" s="75"/>
      <c r="KP23" s="75"/>
      <c r="KQ23" s="75"/>
      <c r="KR23" s="75"/>
      <c r="KS23" s="75"/>
      <c r="KT23" s="75"/>
      <c r="KU23" s="75"/>
      <c r="KV23" s="75"/>
      <c r="KW23" s="75"/>
      <c r="KX23" s="75"/>
      <c r="KY23" s="75"/>
      <c r="KZ23" s="75"/>
      <c r="LA23" s="75"/>
      <c r="LB23" s="75"/>
      <c r="LC23" s="75"/>
      <c r="LD23" s="75"/>
      <c r="LE23" s="75"/>
      <c r="LF23" s="75"/>
      <c r="LG23" s="75"/>
      <c r="LH23" s="75"/>
      <c r="LI23" s="75"/>
      <c r="LJ23" s="75"/>
      <c r="LK23" s="75"/>
      <c r="LL23" s="75"/>
      <c r="LM23" s="75"/>
      <c r="LN23" s="75"/>
      <c r="LO23" s="75"/>
      <c r="LP23" s="75"/>
      <c r="LQ23" s="75"/>
      <c r="LR23" s="75"/>
      <c r="LS23" s="75"/>
      <c r="LT23" s="75"/>
      <c r="LU23" s="75"/>
      <c r="LV23" s="75"/>
      <c r="LW23" s="75"/>
      <c r="LX23" s="75"/>
      <c r="LY23" s="75"/>
      <c r="LZ23" s="75"/>
      <c r="MA23" s="75"/>
      <c r="MB23" s="75"/>
      <c r="MC23" s="75"/>
      <c r="MD23" s="75"/>
      <c r="ME23" s="75"/>
      <c r="MF23" s="75"/>
      <c r="MG23" s="75"/>
      <c r="MH23" s="75"/>
      <c r="MI23" s="75"/>
      <c r="MJ23" s="75"/>
      <c r="MK23" s="75"/>
      <c r="ML23" s="75"/>
      <c r="MM23" s="75"/>
      <c r="MN23" s="75"/>
      <c r="MO23" s="75"/>
      <c r="MP23" s="75"/>
      <c r="MQ23" s="75"/>
      <c r="MR23" s="75"/>
      <c r="MS23" s="75"/>
      <c r="MT23" s="75"/>
      <c r="MU23" s="75"/>
      <c r="MV23" s="75"/>
      <c r="MW23" s="75"/>
      <c r="MX23" s="75"/>
      <c r="MY23" s="75"/>
      <c r="MZ23" s="75"/>
      <c r="NA23" s="75"/>
      <c r="NB23" s="75"/>
      <c r="NC23" s="75"/>
      <c r="ND23" s="75"/>
      <c r="NE23" s="75"/>
      <c r="NF23" s="75"/>
      <c r="NG23" s="75"/>
      <c r="NH23" s="75"/>
      <c r="NI23" s="75"/>
      <c r="NJ23" s="75"/>
      <c r="NK23" s="75"/>
      <c r="NL23" s="75"/>
      <c r="NM23" s="75"/>
      <c r="NN23" s="75"/>
      <c r="NO23" s="75"/>
      <c r="NP23" s="75"/>
      <c r="NQ23" s="75"/>
      <c r="NR23" s="75"/>
      <c r="NS23" s="75"/>
      <c r="NT23" s="75"/>
      <c r="NU23" s="75"/>
      <c r="NV23" s="75"/>
      <c r="NW23" s="75"/>
      <c r="NX23" s="75"/>
      <c r="NY23" s="75"/>
      <c r="NZ23" s="75"/>
      <c r="OA23" s="75"/>
      <c r="OB23" s="75"/>
      <c r="OC23" s="75"/>
      <c r="OD23" s="75"/>
      <c r="OE23" s="75"/>
      <c r="OF23" s="75"/>
      <c r="OG23" s="75"/>
      <c r="OH23" s="75"/>
      <c r="OI23" s="75"/>
      <c r="OJ23" s="75"/>
      <c r="OK23" s="75"/>
      <c r="OL23" s="75"/>
      <c r="OM23" s="75"/>
      <c r="ON23" s="75"/>
      <c r="OO23" s="75"/>
      <c r="OP23" s="75"/>
      <c r="OQ23" s="75"/>
      <c r="OR23" s="75"/>
      <c r="OS23" s="75"/>
      <c r="OT23" s="75"/>
      <c r="OU23" s="75"/>
      <c r="OV23" s="75"/>
      <c r="OW23" s="75"/>
      <c r="OX23" s="75"/>
      <c r="OY23" s="75"/>
      <c r="OZ23" s="75"/>
      <c r="PA23" s="75"/>
      <c r="PB23" s="75"/>
      <c r="PC23" s="75"/>
      <c r="PD23" s="75"/>
      <c r="PE23" s="75"/>
      <c r="PF23" s="75"/>
      <c r="PG23" s="75"/>
      <c r="PH23" s="75"/>
      <c r="PI23" s="75"/>
      <c r="PJ23" s="75"/>
      <c r="PK23" s="75"/>
      <c r="PL23" s="75"/>
      <c r="PM23" s="75"/>
      <c r="PN23" s="75"/>
      <c r="PO23" s="75"/>
      <c r="PP23" s="75"/>
      <c r="PQ23" s="75"/>
      <c r="PR23" s="75"/>
      <c r="PS23" s="75"/>
      <c r="PT23" s="75"/>
      <c r="PU23" s="75"/>
      <c r="PV23" s="75"/>
      <c r="PW23" s="75"/>
      <c r="PX23" s="75"/>
      <c r="PY23" s="75"/>
      <c r="PZ23" s="75"/>
      <c r="QA23" s="75"/>
      <c r="QB23" s="75"/>
      <c r="QC23" s="75"/>
      <c r="QD23" s="75"/>
      <c r="QE23" s="75"/>
      <c r="QF23" s="75"/>
      <c r="QG23" s="75"/>
      <c r="QH23" s="75"/>
      <c r="QI23" s="75"/>
      <c r="QJ23" s="75"/>
      <c r="QK23" s="75"/>
      <c r="QL23" s="75"/>
      <c r="QM23" s="75"/>
      <c r="QN23" s="75"/>
      <c r="QO23" s="75"/>
      <c r="QP23" s="75"/>
      <c r="QQ23" s="75"/>
      <c r="QR23" s="75"/>
      <c r="QS23" s="75"/>
      <c r="QT23" s="75"/>
      <c r="QU23" s="75"/>
      <c r="QV23" s="75"/>
      <c r="QW23" s="75"/>
      <c r="QX23" s="75"/>
      <c r="QY23" s="75"/>
      <c r="QZ23" s="75"/>
      <c r="RA23" s="75"/>
      <c r="RB23" s="75"/>
      <c r="RC23" s="75"/>
      <c r="RD23" s="75"/>
      <c r="RE23" s="75"/>
      <c r="RF23" s="75"/>
      <c r="RG23" s="75"/>
      <c r="RH23" s="75"/>
      <c r="RI23" s="75"/>
      <c r="RJ23" s="75"/>
      <c r="RK23" s="75"/>
      <c r="RL23" s="75"/>
      <c r="RM23" s="75"/>
      <c r="RN23" s="75"/>
      <c r="RO23" s="75"/>
      <c r="RP23" s="75"/>
      <c r="RQ23" s="75"/>
      <c r="RR23" s="75"/>
      <c r="RS23" s="75"/>
      <c r="RT23" s="75"/>
      <c r="RU23" s="75"/>
      <c r="RV23" s="75"/>
      <c r="RW23" s="75"/>
      <c r="RX23" s="75"/>
      <c r="RY23" s="75"/>
      <c r="RZ23" s="75"/>
      <c r="SA23" s="75"/>
      <c r="SB23" s="75"/>
      <c r="SC23" s="75"/>
      <c r="SD23" s="75"/>
      <c r="SE23" s="75"/>
      <c r="SF23" s="75"/>
      <c r="SG23" s="75"/>
      <c r="SH23" s="75"/>
      <c r="SI23" s="75"/>
      <c r="SJ23" s="75"/>
      <c r="SK23" s="75"/>
      <c r="SL23" s="75"/>
      <c r="SM23" s="75"/>
      <c r="SN23" s="75"/>
      <c r="SO23" s="75"/>
      <c r="SP23" s="75"/>
      <c r="SQ23" s="75"/>
      <c r="SR23" s="75"/>
      <c r="SS23" s="75"/>
      <c r="ST23" s="75"/>
      <c r="SU23" s="75"/>
      <c r="SV23" s="75"/>
      <c r="SW23" s="75"/>
      <c r="SX23" s="75"/>
      <c r="SY23" s="75"/>
      <c r="SZ23" s="75"/>
      <c r="TA23" s="75"/>
      <c r="TB23" s="75"/>
      <c r="TC23" s="75"/>
      <c r="TD23" s="75"/>
      <c r="TE23" s="75"/>
      <c r="TF23" s="75"/>
      <c r="TG23" s="75"/>
      <c r="TH23" s="75"/>
      <c r="TI23" s="75"/>
      <c r="TJ23" s="75"/>
      <c r="TK23" s="75"/>
      <c r="TL23" s="75"/>
      <c r="TM23" s="75"/>
      <c r="TN23" s="75"/>
      <c r="TO23" s="75"/>
      <c r="TP23" s="75"/>
      <c r="TQ23" s="75"/>
      <c r="TR23" s="75"/>
      <c r="TS23" s="75"/>
      <c r="TT23" s="75"/>
      <c r="TU23" s="75"/>
      <c r="TV23" s="75"/>
      <c r="TW23" s="75"/>
      <c r="TX23" s="75"/>
      <c r="TY23" s="75"/>
      <c r="TZ23" s="75"/>
      <c r="UA23" s="75"/>
      <c r="UB23" s="75"/>
      <c r="UC23" s="75"/>
      <c r="UD23" s="75"/>
      <c r="UE23" s="75"/>
      <c r="UF23" s="75"/>
      <c r="UG23" s="75"/>
      <c r="UH23" s="75"/>
      <c r="UI23" s="75"/>
      <c r="UJ23" s="75"/>
      <c r="UK23" s="75"/>
      <c r="UL23" s="75"/>
      <c r="UM23" s="75"/>
      <c r="UN23" s="75"/>
      <c r="UO23" s="75"/>
      <c r="UP23" s="75"/>
      <c r="UQ23" s="75"/>
      <c r="UR23" s="75"/>
      <c r="US23" s="75"/>
      <c r="UT23" s="75"/>
      <c r="UU23" s="75"/>
      <c r="UV23" s="75">
        <v>2</v>
      </c>
      <c r="UW23" s="75">
        <v>15</v>
      </c>
      <c r="UX23" s="75">
        <v>20</v>
      </c>
      <c r="UY23" s="75"/>
      <c r="UZ23" s="75">
        <v>20</v>
      </c>
      <c r="VA23" s="75">
        <v>20</v>
      </c>
      <c r="VB23" s="75">
        <v>21</v>
      </c>
      <c r="VC23" s="75">
        <v>30</v>
      </c>
      <c r="VD23" s="75">
        <v>30</v>
      </c>
      <c r="VE23" s="75">
        <v>30</v>
      </c>
      <c r="VF23" s="75"/>
      <c r="VG23" s="75">
        <v>30</v>
      </c>
      <c r="VH23" s="75">
        <v>31</v>
      </c>
      <c r="VI23" s="75">
        <v>40</v>
      </c>
      <c r="VJ23" s="75">
        <v>40</v>
      </c>
      <c r="VK23" s="75">
        <v>40</v>
      </c>
      <c r="VL23" s="75">
        <v>40</v>
      </c>
      <c r="VM23" s="75"/>
      <c r="VN23" s="75">
        <v>38</v>
      </c>
      <c r="VO23" s="75">
        <v>25</v>
      </c>
      <c r="VP23" s="75">
        <v>20</v>
      </c>
      <c r="VQ23" s="75">
        <v>30</v>
      </c>
      <c r="VR23" s="75">
        <v>30</v>
      </c>
      <c r="VS23" s="75">
        <v>29</v>
      </c>
      <c r="VT23" s="75"/>
      <c r="VU23" s="75">
        <v>20</v>
      </c>
      <c r="VV23" s="75">
        <v>20</v>
      </c>
      <c r="VW23" s="75">
        <v>20</v>
      </c>
      <c r="VX23" s="75">
        <v>30</v>
      </c>
      <c r="VY23" s="75">
        <v>29</v>
      </c>
      <c r="VZ23" s="75">
        <v>20</v>
      </c>
      <c r="WA23" s="75"/>
      <c r="WB23" s="75">
        <v>20</v>
      </c>
      <c r="WC23" s="75">
        <v>20</v>
      </c>
      <c r="WD23" s="75">
        <v>20</v>
      </c>
      <c r="WE23" s="75">
        <v>20</v>
      </c>
      <c r="WF23" s="75">
        <v>20</v>
      </c>
      <c r="WG23" s="75">
        <v>20</v>
      </c>
      <c r="WH23" s="75"/>
      <c r="WI23" s="75">
        <v>10</v>
      </c>
      <c r="WJ23" s="75">
        <v>10</v>
      </c>
      <c r="WK23" s="75">
        <v>10</v>
      </c>
      <c r="WL23" s="75">
        <v>10</v>
      </c>
      <c r="WM23" s="75">
        <v>10</v>
      </c>
      <c r="WN23" s="75">
        <v>10</v>
      </c>
      <c r="WO23" s="75"/>
      <c r="WP23" s="75"/>
      <c r="WQ23" s="75"/>
      <c r="WR23" s="75"/>
      <c r="WS23" s="75"/>
      <c r="WT23" s="75"/>
      <c r="WU23" s="75"/>
      <c r="WV23" s="75"/>
      <c r="WW23" s="75"/>
      <c r="WX23" s="75"/>
      <c r="WY23" s="75"/>
      <c r="WZ23" s="75"/>
      <c r="XA23" s="75"/>
      <c r="XB23" s="75"/>
      <c r="XC23" s="75"/>
      <c r="XD23" s="75"/>
      <c r="XE23" s="75"/>
      <c r="XF23" s="75"/>
      <c r="XG23" s="75"/>
      <c r="XH23" s="75"/>
      <c r="XI23" s="75"/>
      <c r="XJ23" s="75"/>
      <c r="XK23" s="75"/>
      <c r="XL23" s="75"/>
      <c r="XM23" s="75"/>
      <c r="XN23" s="75"/>
      <c r="XO23" s="75"/>
      <c r="XP23" s="75"/>
      <c r="XQ23" s="75"/>
      <c r="XR23" s="75"/>
      <c r="XS23" s="75"/>
      <c r="XT23" s="75"/>
      <c r="XU23" s="75"/>
      <c r="XV23" s="75"/>
      <c r="XW23" s="75"/>
      <c r="XX23" s="75"/>
      <c r="XY23" s="75"/>
      <c r="XZ23" s="75"/>
      <c r="YA23" s="75"/>
      <c r="YB23" s="75"/>
      <c r="YC23" s="75"/>
      <c r="YD23" s="75"/>
      <c r="YE23" s="75"/>
      <c r="YF23" s="75"/>
      <c r="YG23" s="75"/>
      <c r="YH23" s="75"/>
      <c r="YI23" s="75"/>
      <c r="YJ23" s="75"/>
      <c r="YK23" s="75"/>
      <c r="YL23" s="75"/>
      <c r="YM23" s="75"/>
      <c r="YN23" s="75"/>
      <c r="YO23" s="75"/>
      <c r="YP23" s="75"/>
      <c r="YQ23" s="75"/>
      <c r="YR23" s="75"/>
      <c r="YS23" s="75"/>
      <c r="YT23" s="75"/>
      <c r="YU23" s="75"/>
      <c r="YV23" s="75"/>
      <c r="YW23" s="75"/>
      <c r="YX23" s="75"/>
      <c r="YY23" s="75"/>
      <c r="YZ23" s="75"/>
      <c r="ZA23" s="75"/>
      <c r="ZB23" s="75"/>
      <c r="ZC23" s="75"/>
      <c r="ZD23" s="75"/>
      <c r="ZE23" s="75"/>
      <c r="ZF23" s="75"/>
      <c r="ZG23" s="75"/>
      <c r="ZH23" s="75"/>
      <c r="ZI23" s="75"/>
      <c r="ZJ23" s="75"/>
      <c r="ZK23" s="75"/>
      <c r="ZL23" s="75"/>
      <c r="ZM23" s="75"/>
      <c r="ZN23" s="75"/>
      <c r="ZO23" s="75"/>
      <c r="ZP23" s="75"/>
      <c r="ZQ23" s="75"/>
      <c r="ZR23" s="75"/>
      <c r="ZS23" s="75"/>
      <c r="ZT23" s="75"/>
      <c r="ZU23" s="75"/>
      <c r="ZV23" s="75"/>
      <c r="ZW23" s="75"/>
      <c r="ZX23" s="75"/>
      <c r="ZY23" s="75"/>
      <c r="ZZ23" s="75"/>
      <c r="AAA23" s="75"/>
      <c r="AAB23" s="75"/>
      <c r="AAC23" s="75"/>
      <c r="AAD23" s="75"/>
      <c r="AAE23" s="75"/>
      <c r="AAF23" s="75"/>
      <c r="AAG23" s="75"/>
      <c r="AAH23" s="75"/>
      <c r="AAI23" s="75"/>
      <c r="AAJ23" s="75"/>
      <c r="AAK23" s="75"/>
      <c r="AAL23" s="75"/>
      <c r="AAM23" s="75"/>
      <c r="AAN23" s="75"/>
      <c r="AAO23" s="75"/>
      <c r="AAP23" s="75"/>
      <c r="AAQ23" s="75"/>
      <c r="AAR23" s="75"/>
      <c r="AAS23" s="75"/>
      <c r="AAT23" s="75"/>
      <c r="AAU23" s="75"/>
      <c r="AAV23" s="75"/>
      <c r="AAW23" s="75"/>
      <c r="AAX23" s="75"/>
      <c r="AAY23" s="75"/>
      <c r="AAZ23" s="75"/>
      <c r="ABA23" s="75"/>
      <c r="ABB23" s="75"/>
      <c r="ABC23" s="75"/>
    </row>
    <row r="24" spans="1:731">
      <c r="A24" s="75" t="s">
        <v>61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5"/>
      <c r="BF24" s="75"/>
      <c r="BG24" s="75"/>
      <c r="BH24" s="75"/>
      <c r="BI24" s="75"/>
      <c r="BJ24" s="75"/>
      <c r="BK24" s="75"/>
      <c r="BL24" s="75"/>
      <c r="BM24" s="75"/>
      <c r="BN24" s="75"/>
      <c r="BO24" s="75"/>
      <c r="BP24" s="75"/>
      <c r="BQ24" s="75"/>
      <c r="BR24" s="75"/>
      <c r="BS24" s="75"/>
      <c r="BT24" s="75"/>
      <c r="BU24" s="75"/>
      <c r="BV24" s="75"/>
      <c r="BW24" s="75"/>
      <c r="BX24" s="75"/>
      <c r="BY24" s="75"/>
      <c r="BZ24" s="75"/>
      <c r="CA24" s="75"/>
      <c r="CB24" s="75"/>
      <c r="CC24" s="75"/>
      <c r="CD24" s="75"/>
      <c r="CE24" s="75"/>
      <c r="CF24" s="75"/>
      <c r="CG24" s="75"/>
      <c r="CH24" s="75"/>
      <c r="CI24" s="75"/>
      <c r="CJ24" s="75"/>
      <c r="CK24" s="75"/>
      <c r="CL24" s="75"/>
      <c r="CM24" s="75"/>
      <c r="CN24" s="75"/>
      <c r="CO24" s="75"/>
      <c r="CP24" s="75"/>
      <c r="CQ24" s="75"/>
      <c r="CR24" s="75"/>
      <c r="CS24" s="75"/>
      <c r="CT24" s="75"/>
      <c r="CU24" s="75"/>
      <c r="CV24" s="75"/>
      <c r="CW24" s="75"/>
      <c r="CX24" s="75"/>
      <c r="CY24" s="75"/>
      <c r="CZ24" s="75"/>
      <c r="DA24" s="75"/>
      <c r="DB24" s="75"/>
      <c r="DC24" s="75"/>
      <c r="DD24" s="75"/>
      <c r="DE24" s="75"/>
      <c r="DF24" s="75"/>
      <c r="DG24" s="75"/>
      <c r="DH24" s="75"/>
      <c r="DI24" s="75"/>
      <c r="DJ24" s="75"/>
      <c r="DK24" s="75"/>
      <c r="DL24" s="75"/>
      <c r="DM24" s="75"/>
      <c r="DN24" s="75"/>
      <c r="DO24" s="75"/>
      <c r="DP24" s="75"/>
      <c r="DQ24" s="75"/>
      <c r="DR24" s="75"/>
      <c r="DS24" s="75"/>
      <c r="DT24" s="75"/>
      <c r="DU24" s="75"/>
      <c r="DV24" s="75"/>
      <c r="DW24" s="75"/>
      <c r="DX24" s="75"/>
      <c r="DY24" s="75"/>
      <c r="DZ24" s="75"/>
      <c r="EA24" s="75"/>
      <c r="EB24" s="75"/>
      <c r="EC24" s="75"/>
      <c r="ED24" s="75"/>
      <c r="EE24" s="75"/>
      <c r="EF24" s="75"/>
      <c r="EG24" s="75"/>
      <c r="EH24" s="75"/>
      <c r="EI24" s="75"/>
      <c r="EJ24" s="75"/>
      <c r="EK24" s="75"/>
      <c r="EL24" s="75"/>
      <c r="EM24" s="75"/>
      <c r="EN24" s="75"/>
      <c r="EO24" s="75"/>
      <c r="EP24" s="75"/>
      <c r="EQ24" s="75"/>
      <c r="ER24" s="75"/>
      <c r="ES24" s="75"/>
      <c r="ET24" s="75"/>
      <c r="EU24" s="75"/>
      <c r="EV24" s="75"/>
      <c r="EW24" s="75"/>
      <c r="EX24" s="75"/>
      <c r="EY24" s="75"/>
      <c r="EZ24" s="75"/>
      <c r="FA24" s="75"/>
      <c r="FB24" s="75"/>
      <c r="FC24" s="75"/>
      <c r="FD24" s="75"/>
      <c r="FE24" s="75"/>
      <c r="FF24" s="75"/>
      <c r="FG24" s="75"/>
      <c r="FH24" s="75"/>
      <c r="FI24" s="75"/>
      <c r="FJ24" s="75"/>
      <c r="FK24" s="75"/>
      <c r="FL24" s="75"/>
      <c r="FM24" s="75"/>
      <c r="FN24" s="75"/>
      <c r="FO24" s="75"/>
      <c r="FP24" s="75"/>
      <c r="FQ24" s="75"/>
      <c r="FR24" s="75"/>
      <c r="FS24" s="75"/>
      <c r="FT24" s="75"/>
      <c r="FU24" s="75"/>
      <c r="FV24" s="75"/>
      <c r="FW24" s="75"/>
      <c r="FX24" s="75"/>
      <c r="FY24" s="75"/>
      <c r="FZ24" s="75"/>
      <c r="GA24" s="75"/>
      <c r="GB24" s="75"/>
      <c r="GC24" s="75"/>
      <c r="GD24" s="75"/>
      <c r="GE24" s="75"/>
      <c r="GF24" s="75"/>
      <c r="GG24" s="75"/>
      <c r="GH24" s="75"/>
      <c r="GI24" s="75"/>
      <c r="GJ24" s="75"/>
      <c r="GK24" s="75"/>
      <c r="GL24" s="75"/>
      <c r="GM24" s="75"/>
      <c r="GN24" s="75"/>
      <c r="GO24" s="75"/>
      <c r="GP24" s="75"/>
      <c r="GQ24" s="75"/>
      <c r="GR24" s="75"/>
      <c r="GS24" s="75"/>
      <c r="GT24" s="75"/>
      <c r="GU24" s="75"/>
      <c r="GV24" s="75"/>
      <c r="GW24" s="75"/>
      <c r="GX24" s="75"/>
      <c r="GY24" s="75"/>
      <c r="GZ24" s="75"/>
      <c r="HA24" s="75"/>
      <c r="HB24" s="75"/>
      <c r="HC24" s="75"/>
      <c r="HD24" s="75"/>
      <c r="HE24" s="75"/>
      <c r="HF24" s="75"/>
      <c r="HG24" s="75"/>
      <c r="HH24" s="75"/>
      <c r="HI24" s="75"/>
      <c r="HJ24" s="75"/>
      <c r="HK24" s="75"/>
      <c r="HL24" s="75"/>
      <c r="HM24" s="75"/>
      <c r="HN24" s="75"/>
      <c r="HO24" s="75"/>
      <c r="HP24" s="75"/>
      <c r="HQ24" s="75"/>
      <c r="HR24" s="75"/>
      <c r="HS24" s="75"/>
      <c r="HT24" s="75"/>
      <c r="HU24" s="75"/>
      <c r="HV24" s="75"/>
      <c r="HW24" s="75"/>
      <c r="HX24" s="75"/>
      <c r="HY24" s="75"/>
      <c r="HZ24" s="75"/>
      <c r="IA24" s="75"/>
      <c r="IB24" s="75"/>
      <c r="IC24" s="75"/>
      <c r="ID24" s="75"/>
      <c r="IE24" s="75"/>
      <c r="IF24" s="75"/>
      <c r="IG24" s="75"/>
      <c r="IH24" s="75"/>
      <c r="II24" s="75"/>
      <c r="IJ24" s="75"/>
      <c r="IK24" s="75"/>
      <c r="IL24" s="75"/>
      <c r="IM24" s="75"/>
      <c r="IN24" s="75"/>
      <c r="IO24" s="75"/>
      <c r="IP24" s="75"/>
      <c r="IQ24" s="75"/>
      <c r="IR24" s="75"/>
      <c r="IS24" s="75"/>
      <c r="IT24" s="75"/>
      <c r="IU24" s="75"/>
      <c r="IV24" s="75"/>
      <c r="IW24" s="75"/>
      <c r="IX24" s="75"/>
      <c r="IY24" s="75"/>
      <c r="IZ24" s="75"/>
      <c r="JA24" s="75"/>
      <c r="JB24" s="75"/>
      <c r="JC24" s="75"/>
      <c r="JD24" s="75"/>
      <c r="JE24" s="75"/>
      <c r="JF24" s="75"/>
      <c r="JG24" s="75"/>
      <c r="JH24" s="75"/>
      <c r="JI24" s="75"/>
      <c r="JJ24" s="75"/>
      <c r="JK24" s="75"/>
      <c r="JL24" s="75"/>
      <c r="JM24" s="75"/>
      <c r="JN24" s="75"/>
      <c r="JO24" s="75"/>
      <c r="JP24" s="75"/>
      <c r="JQ24" s="75"/>
      <c r="JR24" s="75"/>
      <c r="JS24" s="75"/>
      <c r="JT24" s="75"/>
      <c r="JU24" s="75"/>
      <c r="JV24" s="75"/>
      <c r="JW24" s="75"/>
      <c r="JX24" s="75"/>
      <c r="JY24" s="75"/>
      <c r="JZ24" s="75"/>
      <c r="KA24" s="75"/>
      <c r="KB24" s="75"/>
      <c r="KC24" s="75"/>
      <c r="KD24" s="75"/>
      <c r="KE24" s="75"/>
      <c r="KF24" s="75"/>
      <c r="KG24" s="75"/>
      <c r="KH24" s="75"/>
      <c r="KI24" s="75"/>
      <c r="KJ24" s="75"/>
      <c r="KK24" s="75"/>
      <c r="KL24" s="75"/>
      <c r="KM24" s="75"/>
      <c r="KN24" s="75"/>
      <c r="KO24" s="75"/>
      <c r="KP24" s="75"/>
      <c r="KQ24" s="75"/>
      <c r="KR24" s="75"/>
      <c r="KS24" s="75"/>
      <c r="KT24" s="75"/>
      <c r="KU24" s="75"/>
      <c r="KV24" s="75"/>
      <c r="KW24" s="75"/>
      <c r="KX24" s="75"/>
      <c r="KY24" s="75"/>
      <c r="KZ24" s="75"/>
      <c r="LA24" s="75"/>
      <c r="LB24" s="75"/>
      <c r="LC24" s="75"/>
      <c r="LD24" s="75"/>
      <c r="LE24" s="75"/>
      <c r="LF24" s="75"/>
      <c r="LG24" s="75"/>
      <c r="LH24" s="75"/>
      <c r="LI24" s="75"/>
      <c r="LJ24" s="75"/>
      <c r="LK24" s="75"/>
      <c r="LL24" s="75"/>
      <c r="LM24" s="75"/>
      <c r="LN24" s="75"/>
      <c r="LO24" s="75"/>
      <c r="LP24" s="75"/>
      <c r="LQ24" s="75"/>
      <c r="LR24" s="75"/>
      <c r="LS24" s="75"/>
      <c r="LT24" s="75"/>
      <c r="LU24" s="75"/>
      <c r="LV24" s="75"/>
      <c r="LW24" s="75"/>
      <c r="LX24" s="75"/>
      <c r="LY24" s="75"/>
      <c r="LZ24" s="75"/>
      <c r="MA24" s="75"/>
      <c r="MB24" s="75"/>
      <c r="MC24" s="75"/>
      <c r="MD24" s="75"/>
      <c r="ME24" s="75"/>
      <c r="MF24" s="75"/>
      <c r="MG24" s="75"/>
      <c r="MH24" s="75"/>
      <c r="MI24" s="75"/>
      <c r="MJ24" s="75"/>
      <c r="MK24" s="75"/>
      <c r="ML24" s="75"/>
      <c r="MM24" s="75"/>
      <c r="MN24" s="75"/>
      <c r="MO24" s="75"/>
      <c r="MP24" s="75"/>
      <c r="MQ24" s="75"/>
      <c r="MR24" s="75"/>
      <c r="MS24" s="75"/>
      <c r="MT24" s="75"/>
      <c r="MU24" s="75"/>
      <c r="MV24" s="75"/>
      <c r="MW24" s="75"/>
      <c r="MX24" s="75"/>
      <c r="MY24" s="75"/>
      <c r="MZ24" s="75"/>
      <c r="NA24" s="75"/>
      <c r="NB24" s="75"/>
      <c r="NC24" s="75"/>
      <c r="ND24" s="75"/>
      <c r="NE24" s="75"/>
      <c r="NF24" s="75"/>
      <c r="NG24" s="75"/>
      <c r="NH24" s="75"/>
      <c r="NI24" s="75"/>
      <c r="NJ24" s="75"/>
      <c r="NK24" s="75"/>
      <c r="NL24" s="75"/>
      <c r="NM24" s="75"/>
      <c r="NN24" s="75"/>
      <c r="NO24" s="75"/>
      <c r="NP24" s="75"/>
      <c r="NQ24" s="75"/>
      <c r="NR24" s="75"/>
      <c r="NS24" s="75"/>
      <c r="NT24" s="75"/>
      <c r="NU24" s="75"/>
      <c r="NV24" s="75"/>
      <c r="NW24" s="75"/>
      <c r="NX24" s="75"/>
      <c r="NY24" s="75"/>
      <c r="NZ24" s="75"/>
      <c r="OA24" s="75"/>
      <c r="OB24" s="75"/>
      <c r="OC24" s="75"/>
      <c r="OD24" s="75"/>
      <c r="OE24" s="75"/>
      <c r="OF24" s="75"/>
      <c r="OG24" s="75"/>
      <c r="OH24" s="75"/>
      <c r="OI24" s="75"/>
      <c r="OJ24" s="75"/>
      <c r="OK24" s="75"/>
      <c r="OL24" s="75"/>
      <c r="OM24" s="75"/>
      <c r="ON24" s="75"/>
      <c r="OO24" s="75"/>
      <c r="OP24" s="75"/>
      <c r="OQ24" s="75"/>
      <c r="OR24" s="75"/>
      <c r="OS24" s="75"/>
      <c r="OT24" s="75"/>
      <c r="OU24" s="75"/>
      <c r="OV24" s="75"/>
      <c r="OW24" s="75"/>
      <c r="OX24" s="75"/>
      <c r="OY24" s="75"/>
      <c r="OZ24" s="75"/>
      <c r="PA24" s="75"/>
      <c r="PB24" s="75"/>
      <c r="PC24" s="75"/>
      <c r="PD24" s="75"/>
      <c r="PE24" s="75"/>
      <c r="PF24" s="75"/>
      <c r="PG24" s="75"/>
      <c r="PH24" s="75"/>
      <c r="PI24" s="75"/>
      <c r="PJ24" s="75"/>
      <c r="PK24" s="75"/>
      <c r="PL24" s="75"/>
      <c r="PM24" s="75"/>
      <c r="PN24" s="75"/>
      <c r="PO24" s="75"/>
      <c r="PP24" s="75"/>
      <c r="PQ24" s="75"/>
      <c r="PR24" s="75"/>
      <c r="PS24" s="75"/>
      <c r="PT24" s="75"/>
      <c r="PU24" s="75"/>
      <c r="PV24" s="75"/>
      <c r="PW24" s="75"/>
      <c r="PX24" s="75"/>
      <c r="PY24" s="75"/>
      <c r="PZ24" s="75"/>
      <c r="QA24" s="75"/>
      <c r="QB24" s="75"/>
      <c r="QC24" s="75"/>
      <c r="QD24" s="75"/>
      <c r="QE24" s="75"/>
      <c r="QF24" s="75"/>
      <c r="QG24" s="75"/>
      <c r="QH24" s="75"/>
      <c r="QI24" s="75"/>
      <c r="QJ24" s="75"/>
      <c r="QK24" s="75"/>
      <c r="QL24" s="75"/>
      <c r="QM24" s="75"/>
      <c r="QN24" s="75"/>
      <c r="QO24" s="75"/>
      <c r="QP24" s="75"/>
      <c r="QQ24" s="75"/>
      <c r="QR24" s="75"/>
      <c r="QS24" s="75">
        <v>5</v>
      </c>
      <c r="QT24" s="75">
        <v>10</v>
      </c>
      <c r="QU24" s="75">
        <v>10</v>
      </c>
      <c r="QV24" s="75">
        <v>10</v>
      </c>
      <c r="QW24" s="75">
        <v>10</v>
      </c>
      <c r="QX24" s="75"/>
      <c r="QY24" s="75">
        <v>10</v>
      </c>
      <c r="QZ24" s="75">
        <v>10</v>
      </c>
      <c r="RA24" s="75">
        <v>14</v>
      </c>
      <c r="RB24" s="75">
        <v>28</v>
      </c>
      <c r="RC24" s="75">
        <v>28</v>
      </c>
      <c r="RD24" s="75">
        <v>28</v>
      </c>
      <c r="RE24" s="75"/>
      <c r="RF24" s="75">
        <v>38</v>
      </c>
      <c r="RG24" s="75">
        <v>38</v>
      </c>
      <c r="RH24" s="75">
        <v>38</v>
      </c>
      <c r="RI24" s="75">
        <v>38</v>
      </c>
      <c r="RJ24" s="75">
        <v>35</v>
      </c>
      <c r="RK24" s="75">
        <v>32</v>
      </c>
      <c r="RL24" s="75"/>
      <c r="RM24" s="75">
        <v>28</v>
      </c>
      <c r="RN24" s="75">
        <v>32</v>
      </c>
      <c r="RO24" s="75">
        <v>32</v>
      </c>
      <c r="RP24" s="75">
        <v>32</v>
      </c>
      <c r="RQ24" s="75">
        <v>32</v>
      </c>
      <c r="RR24" s="75">
        <v>32</v>
      </c>
      <c r="RS24" s="75"/>
      <c r="RT24" s="75">
        <v>26</v>
      </c>
      <c r="RU24" s="75">
        <v>26</v>
      </c>
      <c r="RV24" s="75">
        <v>28</v>
      </c>
      <c r="RW24" s="75">
        <v>28</v>
      </c>
      <c r="RX24" s="75">
        <v>26</v>
      </c>
      <c r="RY24" s="75">
        <v>16</v>
      </c>
      <c r="RZ24" s="75"/>
      <c r="SA24" s="75">
        <v>16</v>
      </c>
      <c r="SB24" s="75">
        <v>20</v>
      </c>
      <c r="SC24" s="75">
        <v>20</v>
      </c>
      <c r="SD24" s="75">
        <v>20</v>
      </c>
      <c r="SE24" s="75">
        <v>24</v>
      </c>
      <c r="SF24" s="75">
        <v>28</v>
      </c>
      <c r="SG24" s="75"/>
      <c r="SH24" s="75">
        <v>40</v>
      </c>
      <c r="SI24" s="75">
        <v>32</v>
      </c>
      <c r="SJ24" s="75">
        <v>32</v>
      </c>
      <c r="SK24" s="75">
        <v>32</v>
      </c>
      <c r="SL24" s="75">
        <v>33</v>
      </c>
      <c r="SM24" s="75">
        <v>48</v>
      </c>
      <c r="SN24" s="75"/>
      <c r="SO24" s="75">
        <v>48</v>
      </c>
      <c r="SP24" s="75">
        <v>44</v>
      </c>
      <c r="SQ24" s="75">
        <v>48</v>
      </c>
      <c r="SR24" s="75">
        <v>67</v>
      </c>
      <c r="SS24" s="75">
        <v>84</v>
      </c>
      <c r="ST24" s="75">
        <v>100</v>
      </c>
      <c r="SU24" s="75"/>
      <c r="SV24" s="75">
        <v>96</v>
      </c>
      <c r="SW24" s="75">
        <v>98</v>
      </c>
      <c r="SX24" s="75">
        <v>104</v>
      </c>
      <c r="SY24" s="75">
        <v>88</v>
      </c>
      <c r="SZ24" s="75">
        <v>88</v>
      </c>
      <c r="TA24" s="75">
        <v>91</v>
      </c>
      <c r="TB24" s="75"/>
      <c r="TC24" s="75">
        <v>107</v>
      </c>
      <c r="TD24" s="75">
        <v>113</v>
      </c>
      <c r="TE24" s="75">
        <v>104</v>
      </c>
      <c r="TF24" s="75">
        <v>120</v>
      </c>
      <c r="TG24" s="75">
        <v>128</v>
      </c>
      <c r="TH24" s="75">
        <v>162</v>
      </c>
      <c r="TI24" s="75"/>
      <c r="TJ24" s="75">
        <v>168</v>
      </c>
      <c r="TK24" s="75">
        <v>164</v>
      </c>
      <c r="TL24" s="75">
        <v>150</v>
      </c>
      <c r="TM24" s="75">
        <v>159</v>
      </c>
      <c r="TN24" s="75">
        <v>161</v>
      </c>
      <c r="TO24" s="75">
        <v>178</v>
      </c>
      <c r="TP24" s="75"/>
      <c r="TQ24" s="75">
        <v>185</v>
      </c>
      <c r="TR24" s="75">
        <v>211</v>
      </c>
      <c r="TS24" s="75">
        <v>220</v>
      </c>
      <c r="TT24" s="75">
        <v>208</v>
      </c>
      <c r="TU24" s="75">
        <v>230</v>
      </c>
      <c r="TV24" s="75">
        <v>256</v>
      </c>
      <c r="TW24" s="75"/>
      <c r="TX24" s="75">
        <v>285</v>
      </c>
      <c r="TY24" s="75">
        <v>262</v>
      </c>
      <c r="TZ24" s="75">
        <v>220</v>
      </c>
      <c r="UA24" s="75">
        <v>229</v>
      </c>
      <c r="UB24" s="75">
        <v>244</v>
      </c>
      <c r="UC24" s="75">
        <v>258</v>
      </c>
      <c r="UD24" s="75"/>
      <c r="UE24" s="75">
        <v>272</v>
      </c>
      <c r="UF24" s="75">
        <v>254</v>
      </c>
      <c r="UG24" s="75">
        <v>246</v>
      </c>
      <c r="UH24" s="75">
        <v>242</v>
      </c>
      <c r="UI24" s="75">
        <v>229</v>
      </c>
      <c r="UJ24" s="75">
        <v>224</v>
      </c>
      <c r="UK24" s="75"/>
      <c r="UL24" s="75">
        <v>192</v>
      </c>
      <c r="UM24" s="75">
        <v>175</v>
      </c>
      <c r="UN24" s="75">
        <v>154</v>
      </c>
      <c r="UO24" s="75">
        <v>128</v>
      </c>
      <c r="UP24" s="75">
        <v>118</v>
      </c>
      <c r="UQ24" s="75">
        <v>112</v>
      </c>
      <c r="UR24" s="75"/>
      <c r="US24" s="75">
        <v>87</v>
      </c>
      <c r="UT24" s="75">
        <v>85</v>
      </c>
      <c r="UU24" s="75">
        <v>80</v>
      </c>
      <c r="UV24" s="75">
        <v>60</v>
      </c>
      <c r="UW24" s="75">
        <v>60</v>
      </c>
      <c r="UX24" s="75">
        <v>41</v>
      </c>
      <c r="UY24" s="75"/>
      <c r="UZ24" s="75">
        <v>39</v>
      </c>
      <c r="VA24" s="75">
        <v>37</v>
      </c>
      <c r="VB24" s="75">
        <v>19</v>
      </c>
      <c r="VC24" s="75">
        <v>18</v>
      </c>
      <c r="VD24" s="75">
        <v>17</v>
      </c>
      <c r="VE24" s="75">
        <v>15</v>
      </c>
      <c r="VF24" s="75"/>
      <c r="VG24" s="75">
        <v>14</v>
      </c>
      <c r="VH24" s="75">
        <v>10</v>
      </c>
      <c r="VI24" s="75">
        <v>10</v>
      </c>
      <c r="VJ24" s="75">
        <v>7</v>
      </c>
      <c r="VK24" s="75">
        <v>10</v>
      </c>
      <c r="VL24" s="75">
        <v>9</v>
      </c>
      <c r="VM24" s="75"/>
      <c r="VN24" s="75">
        <v>9</v>
      </c>
      <c r="VO24" s="75">
        <v>9</v>
      </c>
      <c r="VP24" s="75">
        <v>9</v>
      </c>
      <c r="VQ24" s="75">
        <v>9</v>
      </c>
      <c r="VR24" s="75">
        <v>9</v>
      </c>
      <c r="VS24" s="75">
        <v>9</v>
      </c>
      <c r="VT24" s="75"/>
      <c r="VU24" s="75">
        <v>10</v>
      </c>
      <c r="VV24" s="75">
        <v>13</v>
      </c>
      <c r="VW24" s="75">
        <v>13</v>
      </c>
      <c r="VX24" s="75">
        <v>14</v>
      </c>
      <c r="VY24" s="75">
        <v>12</v>
      </c>
      <c r="VZ24" s="75">
        <v>12</v>
      </c>
      <c r="WA24" s="75"/>
      <c r="WB24" s="75">
        <v>9</v>
      </c>
      <c r="WC24" s="75">
        <v>9</v>
      </c>
      <c r="WD24" s="75">
        <v>7</v>
      </c>
      <c r="WE24" s="75">
        <v>7</v>
      </c>
      <c r="WF24" s="75">
        <v>7</v>
      </c>
      <c r="WG24" s="75">
        <v>7</v>
      </c>
      <c r="WH24" s="75"/>
      <c r="WI24" s="75">
        <v>6</v>
      </c>
      <c r="WJ24" s="75">
        <v>6</v>
      </c>
      <c r="WK24" s="75">
        <v>7</v>
      </c>
      <c r="WL24" s="75">
        <v>7</v>
      </c>
      <c r="WM24" s="75">
        <v>4</v>
      </c>
      <c r="WN24" s="75">
        <v>4</v>
      </c>
      <c r="WO24" s="75"/>
      <c r="WP24" s="75">
        <v>2</v>
      </c>
      <c r="WQ24" s="75">
        <v>2</v>
      </c>
      <c r="WR24" s="75">
        <v>1</v>
      </c>
      <c r="WS24" s="75">
        <v>1</v>
      </c>
      <c r="WT24" s="75"/>
      <c r="WU24" s="75"/>
      <c r="WV24" s="75"/>
      <c r="WW24" s="75"/>
      <c r="WX24" s="75"/>
      <c r="WY24" s="75"/>
      <c r="WZ24" s="75"/>
      <c r="XA24" s="75"/>
      <c r="XB24" s="75"/>
      <c r="XC24" s="75"/>
      <c r="XD24" s="75"/>
      <c r="XE24" s="75"/>
      <c r="XF24" s="75"/>
      <c r="XG24" s="75"/>
      <c r="XH24" s="75"/>
      <c r="XI24" s="75"/>
      <c r="XJ24" s="75"/>
      <c r="XK24" s="75"/>
      <c r="XL24" s="75"/>
      <c r="XM24" s="75"/>
      <c r="XN24" s="75"/>
      <c r="XO24" s="75"/>
      <c r="XP24" s="75"/>
      <c r="XQ24" s="75"/>
      <c r="XR24" s="75"/>
      <c r="XS24" s="75"/>
      <c r="XT24" s="75"/>
      <c r="XU24" s="75"/>
      <c r="XV24" s="75"/>
      <c r="XW24" s="75"/>
      <c r="XX24" s="75"/>
      <c r="XY24" s="75"/>
      <c r="XZ24" s="75"/>
      <c r="YA24" s="75"/>
      <c r="YB24" s="75"/>
      <c r="YC24" s="75"/>
      <c r="YD24" s="75"/>
      <c r="YE24" s="75"/>
      <c r="YF24" s="75"/>
      <c r="YG24" s="75"/>
      <c r="YH24" s="75"/>
      <c r="YI24" s="75"/>
      <c r="YJ24" s="75"/>
      <c r="YK24" s="75"/>
      <c r="YL24" s="75"/>
      <c r="YM24" s="75"/>
      <c r="YN24" s="75"/>
      <c r="YO24" s="75"/>
      <c r="YP24" s="75"/>
      <c r="YQ24" s="75"/>
      <c r="YR24" s="75"/>
      <c r="YS24" s="75"/>
      <c r="YT24" s="75"/>
      <c r="YU24" s="75"/>
      <c r="YV24" s="75"/>
      <c r="YW24" s="75"/>
      <c r="YX24" s="75"/>
      <c r="YY24" s="75"/>
      <c r="YZ24" s="75"/>
      <c r="ZA24" s="75"/>
      <c r="ZB24" s="75"/>
      <c r="ZC24" s="75"/>
      <c r="ZD24" s="75"/>
      <c r="ZE24" s="75"/>
      <c r="ZF24" s="75"/>
      <c r="ZG24" s="75"/>
      <c r="ZH24" s="75"/>
      <c r="ZI24" s="75"/>
      <c r="ZJ24" s="75"/>
      <c r="ZK24" s="75"/>
      <c r="ZL24" s="75"/>
      <c r="ZM24" s="75"/>
      <c r="ZN24" s="75"/>
      <c r="ZO24" s="75"/>
      <c r="ZP24" s="75"/>
      <c r="ZQ24" s="75"/>
      <c r="ZR24" s="75"/>
      <c r="ZS24" s="75"/>
      <c r="ZT24" s="75"/>
      <c r="ZU24" s="75"/>
      <c r="ZV24" s="75"/>
      <c r="ZW24" s="75"/>
      <c r="ZX24" s="75"/>
      <c r="ZY24" s="75"/>
      <c r="ZZ24" s="75"/>
      <c r="AAA24" s="75"/>
      <c r="AAB24" s="75"/>
      <c r="AAC24" s="75"/>
      <c r="AAD24" s="75"/>
      <c r="AAE24" s="75"/>
      <c r="AAF24" s="75"/>
      <c r="AAG24" s="75"/>
      <c r="AAH24" s="75"/>
      <c r="AAI24" s="75"/>
      <c r="AAJ24" s="75"/>
      <c r="AAK24" s="75"/>
      <c r="AAL24" s="75"/>
      <c r="AAM24" s="75"/>
      <c r="AAN24" s="75"/>
      <c r="AAO24" s="75"/>
      <c r="AAP24" s="75"/>
      <c r="AAQ24" s="75"/>
      <c r="AAR24" s="75"/>
      <c r="AAS24" s="75"/>
      <c r="AAT24" s="75"/>
      <c r="AAU24" s="75"/>
      <c r="AAV24" s="75"/>
      <c r="AAW24" s="75"/>
      <c r="AAX24" s="75"/>
      <c r="AAY24" s="75"/>
      <c r="AAZ24" s="75"/>
      <c r="ABA24" s="75"/>
      <c r="ABB24" s="75"/>
      <c r="ABC24" s="75"/>
    </row>
    <row r="25" spans="1:731">
      <c r="A25" s="75" t="s">
        <v>62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5"/>
      <c r="BF25" s="75"/>
      <c r="BG25" s="75"/>
      <c r="BH25" s="75"/>
      <c r="BI25" s="75"/>
      <c r="BJ25" s="75"/>
      <c r="BK25" s="75"/>
      <c r="BL25" s="75"/>
      <c r="BM25" s="75"/>
      <c r="BN25" s="75"/>
      <c r="BO25" s="75"/>
      <c r="BP25" s="75"/>
      <c r="BQ25" s="75"/>
      <c r="BR25" s="75"/>
      <c r="BS25" s="75"/>
      <c r="BT25" s="75"/>
      <c r="BU25" s="75"/>
      <c r="BV25" s="75"/>
      <c r="BW25" s="75"/>
      <c r="BX25" s="75"/>
      <c r="BY25" s="75"/>
      <c r="BZ25" s="75"/>
      <c r="CA25" s="75"/>
      <c r="CB25" s="75"/>
      <c r="CC25" s="75"/>
      <c r="CD25" s="75"/>
      <c r="CE25" s="75"/>
      <c r="CF25" s="75"/>
      <c r="CG25" s="75"/>
      <c r="CH25" s="75"/>
      <c r="CI25" s="75"/>
      <c r="CJ25" s="75"/>
      <c r="CK25" s="75"/>
      <c r="CL25" s="75"/>
      <c r="CM25" s="75"/>
      <c r="CN25" s="75"/>
      <c r="CO25" s="75"/>
      <c r="CP25" s="75"/>
      <c r="CQ25" s="75"/>
      <c r="CR25" s="75"/>
      <c r="CS25" s="75"/>
      <c r="CT25" s="75"/>
      <c r="CU25" s="75"/>
      <c r="CV25" s="75"/>
      <c r="CW25" s="75"/>
      <c r="CX25" s="75"/>
      <c r="CY25" s="75"/>
      <c r="CZ25" s="75"/>
      <c r="DA25" s="75"/>
      <c r="DB25" s="75"/>
      <c r="DC25" s="75"/>
      <c r="DD25" s="75"/>
      <c r="DE25" s="75"/>
      <c r="DF25" s="75"/>
      <c r="DG25" s="75"/>
      <c r="DH25" s="75"/>
      <c r="DI25" s="75"/>
      <c r="DJ25" s="75"/>
      <c r="DK25" s="75"/>
      <c r="DL25" s="75"/>
      <c r="DM25" s="75"/>
      <c r="DN25" s="75"/>
      <c r="DO25" s="75"/>
      <c r="DP25" s="75"/>
      <c r="DQ25" s="75"/>
      <c r="DR25" s="75"/>
      <c r="DS25" s="75"/>
      <c r="DT25" s="75"/>
      <c r="DU25" s="75"/>
      <c r="DV25" s="75"/>
      <c r="DW25" s="75"/>
      <c r="DX25" s="75"/>
      <c r="DY25" s="75"/>
      <c r="DZ25" s="75"/>
      <c r="EA25" s="75"/>
      <c r="EB25" s="75"/>
      <c r="EC25" s="75"/>
      <c r="ED25" s="75"/>
      <c r="EE25" s="75"/>
      <c r="EF25" s="75"/>
      <c r="EG25" s="75"/>
      <c r="EH25" s="75"/>
      <c r="EI25" s="75"/>
      <c r="EJ25" s="75"/>
      <c r="EK25" s="75"/>
      <c r="EL25" s="75"/>
      <c r="EM25" s="75"/>
      <c r="EN25" s="75"/>
      <c r="EO25" s="75"/>
      <c r="EP25" s="75"/>
      <c r="EQ25" s="75"/>
      <c r="ER25" s="75"/>
      <c r="ES25" s="75"/>
      <c r="ET25" s="75"/>
      <c r="EU25" s="75"/>
      <c r="EV25" s="75"/>
      <c r="EW25" s="75"/>
      <c r="EX25" s="75"/>
      <c r="EY25" s="75"/>
      <c r="EZ25" s="75"/>
      <c r="FA25" s="75"/>
      <c r="FB25" s="75"/>
      <c r="FC25" s="75"/>
      <c r="FD25" s="75"/>
      <c r="FE25" s="75"/>
      <c r="FF25" s="75"/>
      <c r="FG25" s="75"/>
      <c r="FH25" s="75"/>
      <c r="FI25" s="75"/>
      <c r="FJ25" s="75"/>
      <c r="FK25" s="75"/>
      <c r="FL25" s="75"/>
      <c r="FM25" s="75"/>
      <c r="FN25" s="75"/>
      <c r="FO25" s="75"/>
      <c r="FP25" s="75"/>
      <c r="FQ25" s="75"/>
      <c r="FR25" s="75"/>
      <c r="FS25" s="75"/>
      <c r="FT25" s="75"/>
      <c r="FU25" s="75"/>
      <c r="FV25" s="75"/>
      <c r="FW25" s="75"/>
      <c r="FX25" s="75"/>
      <c r="FY25" s="75"/>
      <c r="FZ25" s="75"/>
      <c r="GA25" s="75"/>
      <c r="GB25" s="75"/>
      <c r="GC25" s="75"/>
      <c r="GD25" s="75"/>
      <c r="GE25" s="75"/>
      <c r="GF25" s="75"/>
      <c r="GG25" s="75"/>
      <c r="GH25" s="75"/>
      <c r="GI25" s="75"/>
      <c r="GJ25" s="75"/>
      <c r="GK25" s="75"/>
      <c r="GL25" s="75"/>
      <c r="GM25" s="75"/>
      <c r="GN25" s="75"/>
      <c r="GO25" s="75"/>
      <c r="GP25" s="75"/>
      <c r="GQ25" s="75"/>
      <c r="GR25" s="75"/>
      <c r="GS25" s="75"/>
      <c r="GT25" s="75"/>
      <c r="GU25" s="75"/>
      <c r="GV25" s="75"/>
      <c r="GW25" s="75"/>
      <c r="GX25" s="75"/>
      <c r="GY25" s="75"/>
      <c r="GZ25" s="75"/>
      <c r="HA25" s="75"/>
      <c r="HB25" s="75"/>
      <c r="HC25" s="75"/>
      <c r="HD25" s="75"/>
      <c r="HE25" s="75"/>
      <c r="HF25" s="75"/>
      <c r="HG25" s="75"/>
      <c r="HH25" s="75"/>
      <c r="HI25" s="75"/>
      <c r="HJ25" s="75"/>
      <c r="HK25" s="75"/>
      <c r="HL25" s="75"/>
      <c r="HM25" s="75"/>
      <c r="HN25" s="75"/>
      <c r="HO25" s="75"/>
      <c r="HP25" s="75"/>
      <c r="HQ25" s="75"/>
      <c r="HR25" s="75"/>
      <c r="HS25" s="75"/>
      <c r="HT25" s="75"/>
      <c r="HU25" s="75"/>
      <c r="HV25" s="75"/>
      <c r="HW25" s="75"/>
      <c r="HX25" s="75"/>
      <c r="HY25" s="75"/>
      <c r="HZ25" s="75"/>
      <c r="IA25" s="75"/>
      <c r="IB25" s="75"/>
      <c r="IC25" s="75"/>
      <c r="ID25" s="75"/>
      <c r="IE25" s="75"/>
      <c r="IF25" s="75"/>
      <c r="IG25" s="75"/>
      <c r="IH25" s="75"/>
      <c r="II25" s="75"/>
      <c r="IJ25" s="75"/>
      <c r="IK25" s="75"/>
      <c r="IL25" s="75"/>
      <c r="IM25" s="75"/>
      <c r="IN25" s="75"/>
      <c r="IO25" s="75"/>
      <c r="IP25" s="75"/>
      <c r="IQ25" s="75"/>
      <c r="IR25" s="75"/>
      <c r="IS25" s="75"/>
      <c r="IT25" s="75"/>
      <c r="IU25" s="75"/>
      <c r="IV25" s="75"/>
      <c r="IW25" s="75"/>
      <c r="IX25" s="75"/>
      <c r="IY25" s="75"/>
      <c r="IZ25" s="75"/>
      <c r="JA25" s="75"/>
      <c r="JB25" s="75"/>
      <c r="JC25" s="75"/>
      <c r="JD25" s="75"/>
      <c r="JE25" s="75"/>
      <c r="JF25" s="75"/>
      <c r="JG25" s="75"/>
      <c r="JH25" s="75"/>
      <c r="JI25" s="75"/>
      <c r="JJ25" s="75"/>
      <c r="JK25" s="75"/>
      <c r="JL25" s="75"/>
      <c r="JM25" s="75"/>
      <c r="JN25" s="75"/>
      <c r="JO25" s="75"/>
      <c r="JP25" s="75"/>
      <c r="JQ25" s="75"/>
      <c r="JR25" s="75"/>
      <c r="JS25" s="75"/>
      <c r="JT25" s="75"/>
      <c r="JU25" s="75"/>
      <c r="JV25" s="75"/>
      <c r="JW25" s="75"/>
      <c r="JX25" s="75"/>
      <c r="JY25" s="75"/>
      <c r="JZ25" s="75"/>
      <c r="KA25" s="75"/>
      <c r="KB25" s="75"/>
      <c r="KC25" s="75"/>
      <c r="KD25" s="75"/>
      <c r="KE25" s="75"/>
      <c r="KF25" s="75"/>
      <c r="KG25" s="75"/>
      <c r="KH25" s="75"/>
      <c r="KI25" s="75"/>
      <c r="KJ25" s="75"/>
      <c r="KK25" s="75"/>
      <c r="KL25" s="75"/>
      <c r="KM25" s="75"/>
      <c r="KN25" s="75"/>
      <c r="KO25" s="75"/>
      <c r="KP25" s="75"/>
      <c r="KQ25" s="75"/>
      <c r="KR25" s="75"/>
      <c r="KS25" s="75"/>
      <c r="KT25" s="75"/>
      <c r="KU25" s="75"/>
      <c r="KV25" s="75"/>
      <c r="KW25" s="75"/>
      <c r="KX25" s="75"/>
      <c r="KY25" s="75"/>
      <c r="KZ25" s="75"/>
      <c r="LA25" s="75"/>
      <c r="LB25" s="75"/>
      <c r="LC25" s="75"/>
      <c r="LD25" s="75"/>
      <c r="LE25" s="75"/>
      <c r="LF25" s="75"/>
      <c r="LG25" s="75"/>
      <c r="LH25" s="75"/>
      <c r="LI25" s="75"/>
      <c r="LJ25" s="75"/>
      <c r="LK25" s="75"/>
      <c r="LL25" s="75"/>
      <c r="LM25" s="75"/>
      <c r="LN25" s="75"/>
      <c r="LO25" s="75"/>
      <c r="LP25" s="75"/>
      <c r="LQ25" s="75"/>
      <c r="LR25" s="75"/>
      <c r="LS25" s="75"/>
      <c r="LT25" s="75"/>
      <c r="LU25" s="75"/>
      <c r="LV25" s="75"/>
      <c r="LW25" s="75"/>
      <c r="LX25" s="75"/>
      <c r="LY25" s="75"/>
      <c r="LZ25" s="75"/>
      <c r="MA25" s="75"/>
      <c r="MB25" s="75"/>
      <c r="MC25" s="75"/>
      <c r="MD25" s="75"/>
      <c r="ME25" s="75"/>
      <c r="MF25" s="75"/>
      <c r="MG25" s="75"/>
      <c r="MH25" s="75"/>
      <c r="MI25" s="75"/>
      <c r="MJ25" s="75"/>
      <c r="MK25" s="75"/>
      <c r="ML25" s="75"/>
      <c r="MM25" s="75"/>
      <c r="MN25" s="75"/>
      <c r="MO25" s="75"/>
      <c r="MP25" s="75"/>
      <c r="MQ25" s="75"/>
      <c r="MR25" s="75"/>
      <c r="MS25" s="75"/>
      <c r="MT25" s="75"/>
      <c r="MU25" s="75"/>
      <c r="MV25" s="75"/>
      <c r="MW25" s="75"/>
      <c r="MX25" s="75"/>
      <c r="MY25" s="75"/>
      <c r="MZ25" s="75"/>
      <c r="NA25" s="75"/>
      <c r="NB25" s="75"/>
      <c r="NC25" s="75"/>
      <c r="ND25" s="75"/>
      <c r="NE25" s="75"/>
      <c r="NF25" s="75"/>
      <c r="NG25" s="75"/>
      <c r="NH25" s="75"/>
      <c r="NI25" s="75"/>
      <c r="NJ25" s="75"/>
      <c r="NK25" s="75"/>
      <c r="NL25" s="75"/>
      <c r="NM25" s="75"/>
      <c r="NN25" s="75"/>
      <c r="NO25" s="75"/>
      <c r="NP25" s="75"/>
      <c r="NQ25" s="75"/>
      <c r="NR25" s="75"/>
      <c r="NS25" s="75"/>
      <c r="NT25" s="75"/>
      <c r="NU25" s="75"/>
      <c r="NV25" s="75"/>
      <c r="NW25" s="75"/>
      <c r="NX25" s="75"/>
      <c r="NY25" s="75"/>
      <c r="NZ25" s="75"/>
      <c r="OA25" s="75"/>
      <c r="OB25" s="75">
        <v>20</v>
      </c>
      <c r="OC25" s="75">
        <v>40</v>
      </c>
      <c r="OD25" s="75">
        <v>40</v>
      </c>
      <c r="OE25" s="75">
        <v>40</v>
      </c>
      <c r="OF25" s="75"/>
      <c r="OG25" s="75">
        <v>40</v>
      </c>
      <c r="OH25" s="75">
        <v>40</v>
      </c>
      <c r="OI25" s="75">
        <v>60</v>
      </c>
      <c r="OJ25" s="75">
        <v>87</v>
      </c>
      <c r="OK25" s="75">
        <v>93</v>
      </c>
      <c r="OL25" s="75">
        <v>93</v>
      </c>
      <c r="OM25" s="75"/>
      <c r="ON25" s="75">
        <v>93</v>
      </c>
      <c r="OO25" s="75">
        <v>93</v>
      </c>
      <c r="OP25" s="75">
        <v>93</v>
      </c>
      <c r="OQ25" s="75">
        <v>93</v>
      </c>
      <c r="OR25" s="75">
        <v>93</v>
      </c>
      <c r="OS25" s="75">
        <v>73</v>
      </c>
      <c r="OT25" s="75"/>
      <c r="OU25" s="75">
        <v>53</v>
      </c>
      <c r="OV25" s="75">
        <v>53</v>
      </c>
      <c r="OW25" s="75">
        <v>53</v>
      </c>
      <c r="OX25" s="75">
        <v>53</v>
      </c>
      <c r="OY25" s="75">
        <v>53</v>
      </c>
      <c r="OZ25" s="75">
        <v>33</v>
      </c>
      <c r="PA25" s="75"/>
      <c r="PB25" s="75">
        <v>27</v>
      </c>
      <c r="PC25" s="75">
        <v>40</v>
      </c>
      <c r="PD25" s="75">
        <v>40</v>
      </c>
      <c r="PE25" s="75">
        <v>40</v>
      </c>
      <c r="PF25" s="75">
        <v>40</v>
      </c>
      <c r="PG25" s="75">
        <v>40</v>
      </c>
      <c r="PH25" s="75"/>
      <c r="PI25" s="75">
        <v>40</v>
      </c>
      <c r="PJ25" s="75">
        <v>40</v>
      </c>
      <c r="PK25" s="75">
        <v>40</v>
      </c>
      <c r="PL25" s="75">
        <v>40</v>
      </c>
      <c r="PM25" s="75">
        <v>40</v>
      </c>
      <c r="PN25" s="75">
        <v>40</v>
      </c>
      <c r="PO25" s="75"/>
      <c r="PP25" s="75">
        <v>40</v>
      </c>
      <c r="PQ25" s="75">
        <v>40</v>
      </c>
      <c r="PR25" s="75">
        <v>40</v>
      </c>
      <c r="PS25" s="75">
        <v>40</v>
      </c>
      <c r="PT25" s="75">
        <v>40</v>
      </c>
      <c r="PU25" s="75">
        <v>40</v>
      </c>
      <c r="PV25" s="75"/>
      <c r="PW25" s="75">
        <v>40</v>
      </c>
      <c r="PX25" s="75">
        <v>40</v>
      </c>
      <c r="PY25" s="75">
        <v>40</v>
      </c>
      <c r="PZ25" s="75">
        <v>40</v>
      </c>
      <c r="QA25" s="75">
        <v>40</v>
      </c>
      <c r="QB25" s="75">
        <v>40</v>
      </c>
      <c r="QC25" s="75"/>
      <c r="QD25" s="75">
        <v>40</v>
      </c>
      <c r="QE25" s="75">
        <v>40</v>
      </c>
      <c r="QF25" s="75">
        <v>40</v>
      </c>
      <c r="QG25" s="75">
        <v>40</v>
      </c>
      <c r="QH25" s="75">
        <v>40</v>
      </c>
      <c r="QI25" s="75">
        <v>40</v>
      </c>
      <c r="QJ25" s="75"/>
      <c r="QK25" s="75">
        <v>40</v>
      </c>
      <c r="QL25" s="75">
        <v>40</v>
      </c>
      <c r="QM25" s="75">
        <v>40</v>
      </c>
      <c r="QN25" s="75">
        <v>40</v>
      </c>
      <c r="QO25" s="75">
        <v>40</v>
      </c>
      <c r="QP25" s="75">
        <v>40</v>
      </c>
      <c r="QQ25" s="75"/>
      <c r="QR25" s="75">
        <v>40</v>
      </c>
      <c r="QS25" s="75">
        <v>40</v>
      </c>
      <c r="QT25" s="75">
        <v>40</v>
      </c>
      <c r="QU25" s="75">
        <v>40</v>
      </c>
      <c r="QV25" s="75">
        <v>40</v>
      </c>
      <c r="QW25" s="75">
        <v>40</v>
      </c>
      <c r="QX25" s="75"/>
      <c r="QY25" s="75">
        <v>40</v>
      </c>
      <c r="QZ25" s="75">
        <v>40</v>
      </c>
      <c r="RA25" s="75">
        <v>40</v>
      </c>
      <c r="RB25" s="75">
        <v>30</v>
      </c>
      <c r="RC25" s="75">
        <v>20</v>
      </c>
      <c r="RD25" s="75">
        <v>20</v>
      </c>
      <c r="RE25" s="75"/>
      <c r="RF25" s="75">
        <v>20</v>
      </c>
      <c r="RG25" s="75">
        <v>20</v>
      </c>
      <c r="RH25" s="75">
        <v>20</v>
      </c>
      <c r="RI25" s="75">
        <v>20</v>
      </c>
      <c r="RJ25" s="75">
        <v>20</v>
      </c>
      <c r="RK25" s="75">
        <v>20</v>
      </c>
      <c r="RL25" s="75"/>
      <c r="RM25" s="75">
        <v>20</v>
      </c>
      <c r="RN25" s="75">
        <v>20</v>
      </c>
      <c r="RO25" s="75">
        <v>20</v>
      </c>
      <c r="RP25" s="75">
        <v>20</v>
      </c>
      <c r="RQ25" s="75">
        <v>20</v>
      </c>
      <c r="RR25" s="75">
        <v>20</v>
      </c>
      <c r="RS25" s="75"/>
      <c r="RT25" s="75">
        <v>10</v>
      </c>
      <c r="RU25" s="75"/>
      <c r="RV25" s="75"/>
      <c r="RW25" s="75"/>
      <c r="RX25" s="75"/>
      <c r="RY25" s="75"/>
      <c r="RZ25" s="75"/>
      <c r="SA25" s="75"/>
      <c r="SB25" s="75"/>
      <c r="SC25" s="75"/>
      <c r="SD25" s="75"/>
      <c r="SE25" s="75"/>
      <c r="SF25" s="75"/>
      <c r="SG25" s="75"/>
      <c r="SH25" s="75"/>
      <c r="SI25" s="75"/>
      <c r="SJ25" s="75"/>
      <c r="SK25" s="75"/>
      <c r="SL25" s="75"/>
      <c r="SM25" s="75"/>
      <c r="SN25" s="75"/>
      <c r="SO25" s="75"/>
      <c r="SP25" s="75"/>
      <c r="SQ25" s="75"/>
      <c r="SR25" s="75">
        <v>6</v>
      </c>
      <c r="SS25" s="75">
        <v>30</v>
      </c>
      <c r="ST25" s="75">
        <v>30</v>
      </c>
      <c r="SU25" s="75"/>
      <c r="SV25" s="75">
        <v>30</v>
      </c>
      <c r="SW25" s="75">
        <v>30</v>
      </c>
      <c r="SX25" s="75">
        <v>30</v>
      </c>
      <c r="SY25" s="75">
        <v>30</v>
      </c>
      <c r="SZ25" s="75">
        <v>31</v>
      </c>
      <c r="TA25" s="75">
        <v>34</v>
      </c>
      <c r="TB25" s="75"/>
      <c r="TC25" s="75">
        <v>34</v>
      </c>
      <c r="TD25" s="75">
        <v>34</v>
      </c>
      <c r="TE25" s="75">
        <v>34</v>
      </c>
      <c r="TF25" s="75">
        <v>34</v>
      </c>
      <c r="TG25" s="75">
        <v>34</v>
      </c>
      <c r="TH25" s="75">
        <v>34</v>
      </c>
      <c r="TI25" s="75"/>
      <c r="TJ25" s="75">
        <v>34</v>
      </c>
      <c r="TK25" s="75">
        <v>34</v>
      </c>
      <c r="TL25" s="75">
        <v>34</v>
      </c>
      <c r="TM25" s="75">
        <v>34</v>
      </c>
      <c r="TN25" s="75">
        <v>34</v>
      </c>
      <c r="TO25" s="75">
        <v>32</v>
      </c>
      <c r="TP25" s="75"/>
      <c r="TQ25" s="75">
        <v>24</v>
      </c>
      <c r="TR25" s="75">
        <v>27</v>
      </c>
      <c r="TS25" s="75">
        <v>40</v>
      </c>
      <c r="TT25" s="75">
        <v>40</v>
      </c>
      <c r="TU25" s="75">
        <v>40</v>
      </c>
      <c r="TV25" s="75">
        <v>40</v>
      </c>
      <c r="TW25" s="75"/>
      <c r="TX25" s="75">
        <v>40</v>
      </c>
      <c r="TY25" s="75">
        <v>40</v>
      </c>
      <c r="TZ25" s="75">
        <v>40</v>
      </c>
      <c r="UA25" s="75">
        <v>40</v>
      </c>
      <c r="UB25" s="75">
        <v>40</v>
      </c>
      <c r="UC25" s="75">
        <v>40</v>
      </c>
      <c r="UD25" s="75"/>
      <c r="UE25" s="75">
        <v>40</v>
      </c>
      <c r="UF25" s="75">
        <v>40</v>
      </c>
      <c r="UG25" s="75">
        <v>42</v>
      </c>
      <c r="UH25" s="75">
        <v>50</v>
      </c>
      <c r="UI25" s="75">
        <v>48</v>
      </c>
      <c r="UJ25" s="75">
        <v>40</v>
      </c>
      <c r="UK25" s="75"/>
      <c r="UL25" s="75">
        <v>40</v>
      </c>
      <c r="UM25" s="75">
        <v>40</v>
      </c>
      <c r="UN25" s="75">
        <v>40</v>
      </c>
      <c r="UO25" s="75">
        <v>40</v>
      </c>
      <c r="UP25" s="75">
        <v>40</v>
      </c>
      <c r="UQ25" s="75">
        <v>40</v>
      </c>
      <c r="UR25" s="75"/>
      <c r="US25" s="75">
        <v>40</v>
      </c>
      <c r="UT25" s="75">
        <v>40</v>
      </c>
      <c r="UU25" s="75">
        <v>38</v>
      </c>
      <c r="UV25" s="75">
        <v>30</v>
      </c>
      <c r="UW25" s="75">
        <v>30</v>
      </c>
      <c r="UX25" s="75">
        <v>30</v>
      </c>
      <c r="UY25" s="75"/>
      <c r="UZ25" s="75">
        <v>30</v>
      </c>
      <c r="VA25" s="75">
        <v>30</v>
      </c>
      <c r="VB25" s="75">
        <v>30</v>
      </c>
      <c r="VC25" s="75">
        <v>30</v>
      </c>
      <c r="VD25" s="75">
        <v>27</v>
      </c>
      <c r="VE25" s="75">
        <v>13</v>
      </c>
      <c r="VF25" s="75"/>
      <c r="VG25" s="75">
        <v>13</v>
      </c>
      <c r="VH25" s="75">
        <v>13</v>
      </c>
      <c r="VI25" s="75">
        <v>15</v>
      </c>
      <c r="VJ25" s="75">
        <v>21</v>
      </c>
      <c r="VK25" s="75">
        <v>22</v>
      </c>
      <c r="VL25" s="75">
        <v>27</v>
      </c>
      <c r="VM25" s="75"/>
      <c r="VN25" s="75">
        <v>27</v>
      </c>
      <c r="VO25" s="75">
        <v>27</v>
      </c>
      <c r="VP25" s="75">
        <v>27</v>
      </c>
      <c r="VQ25" s="75">
        <v>27</v>
      </c>
      <c r="VR25" s="75">
        <v>24</v>
      </c>
      <c r="VS25" s="75">
        <v>14</v>
      </c>
      <c r="VT25" s="75"/>
      <c r="VU25" s="75">
        <v>12</v>
      </c>
      <c r="VV25" s="75">
        <v>6</v>
      </c>
      <c r="VW25" s="75">
        <v>6</v>
      </c>
      <c r="VX25" s="75">
        <v>6</v>
      </c>
      <c r="VY25" s="75">
        <v>6</v>
      </c>
      <c r="VZ25" s="75">
        <v>6</v>
      </c>
      <c r="WA25" s="75"/>
      <c r="WB25" s="75">
        <v>5</v>
      </c>
      <c r="WC25" s="75"/>
      <c r="WD25" s="75"/>
      <c r="WE25" s="75"/>
      <c r="WF25" s="75"/>
      <c r="WG25" s="75"/>
      <c r="WH25" s="75"/>
      <c r="WI25" s="75"/>
      <c r="WJ25" s="75"/>
      <c r="WK25" s="75"/>
      <c r="WL25" s="75"/>
      <c r="WM25" s="75"/>
      <c r="WN25" s="75"/>
      <c r="WO25" s="75"/>
      <c r="WP25" s="75"/>
      <c r="WQ25" s="75"/>
      <c r="WR25" s="75"/>
      <c r="WS25" s="75"/>
      <c r="WT25" s="75"/>
      <c r="WU25" s="75"/>
      <c r="WV25" s="75"/>
      <c r="WW25" s="75"/>
      <c r="WX25" s="75"/>
      <c r="WY25" s="75"/>
      <c r="WZ25" s="75"/>
      <c r="XA25" s="75"/>
      <c r="XB25" s="75"/>
      <c r="XC25" s="75"/>
      <c r="XD25" s="75"/>
      <c r="XE25" s="75"/>
      <c r="XF25" s="75"/>
      <c r="XG25" s="75"/>
      <c r="XH25" s="75"/>
      <c r="XI25" s="75"/>
      <c r="XJ25" s="75"/>
      <c r="XK25" s="75"/>
      <c r="XL25" s="75"/>
      <c r="XM25" s="75"/>
      <c r="XN25" s="75"/>
      <c r="XO25" s="75"/>
      <c r="XP25" s="75"/>
      <c r="XQ25" s="75"/>
      <c r="XR25" s="75"/>
      <c r="XS25" s="75"/>
      <c r="XT25" s="75"/>
      <c r="XU25" s="75"/>
      <c r="XV25" s="75"/>
      <c r="XW25" s="75"/>
      <c r="XX25" s="75"/>
      <c r="XY25" s="75"/>
      <c r="XZ25" s="75"/>
      <c r="YA25" s="75"/>
      <c r="YB25" s="75"/>
      <c r="YC25" s="75"/>
      <c r="YD25" s="75"/>
      <c r="YE25" s="75"/>
      <c r="YF25" s="75"/>
      <c r="YG25" s="75"/>
      <c r="YH25" s="75"/>
      <c r="YI25" s="75"/>
      <c r="YJ25" s="75"/>
      <c r="YK25" s="75"/>
      <c r="YL25" s="75"/>
      <c r="YM25" s="75"/>
      <c r="YN25" s="75"/>
      <c r="YO25" s="75"/>
      <c r="YP25" s="75"/>
      <c r="YQ25" s="75"/>
      <c r="YR25" s="75"/>
      <c r="YS25" s="75"/>
      <c r="YT25" s="75"/>
      <c r="YU25" s="75"/>
      <c r="YV25" s="75"/>
      <c r="YW25" s="75"/>
      <c r="YX25" s="75"/>
      <c r="YY25" s="75"/>
      <c r="YZ25" s="75"/>
      <c r="ZA25" s="75"/>
      <c r="ZB25" s="75"/>
      <c r="ZC25" s="75"/>
      <c r="ZD25" s="75"/>
      <c r="ZE25" s="75"/>
      <c r="ZF25" s="75"/>
      <c r="ZG25" s="75"/>
      <c r="ZH25" s="75"/>
      <c r="ZI25" s="75"/>
      <c r="ZJ25" s="75"/>
      <c r="ZK25" s="75"/>
      <c r="ZL25" s="75"/>
      <c r="ZM25" s="75"/>
      <c r="ZN25" s="75"/>
      <c r="ZO25" s="75"/>
      <c r="ZP25" s="75"/>
      <c r="ZQ25" s="75"/>
      <c r="ZR25" s="75"/>
      <c r="ZS25" s="75"/>
      <c r="ZT25" s="75"/>
      <c r="ZU25" s="75"/>
      <c r="ZV25" s="75"/>
      <c r="ZW25" s="75"/>
      <c r="ZX25" s="75"/>
      <c r="ZY25" s="75"/>
      <c r="ZZ25" s="75"/>
      <c r="AAA25" s="75"/>
      <c r="AAB25" s="75"/>
      <c r="AAC25" s="75"/>
      <c r="AAD25" s="75"/>
      <c r="AAE25" s="75"/>
      <c r="AAF25" s="75"/>
      <c r="AAG25" s="75"/>
      <c r="AAH25" s="75"/>
      <c r="AAI25" s="75"/>
      <c r="AAJ25" s="75"/>
      <c r="AAK25" s="75"/>
      <c r="AAL25" s="75"/>
      <c r="AAM25" s="75"/>
      <c r="AAN25" s="75"/>
      <c r="AAO25" s="75"/>
      <c r="AAP25" s="75"/>
      <c r="AAQ25" s="75"/>
      <c r="AAR25" s="75"/>
      <c r="AAS25" s="75"/>
      <c r="AAT25" s="75"/>
      <c r="AAU25" s="75"/>
      <c r="AAV25" s="75"/>
      <c r="AAW25" s="75"/>
      <c r="AAX25" s="75"/>
      <c r="AAY25" s="75"/>
      <c r="AAZ25" s="75"/>
      <c r="ABA25" s="75"/>
      <c r="ABB25" s="75"/>
      <c r="ABC25" s="75"/>
    </row>
    <row r="26" spans="1:731">
      <c r="A26" s="75" t="s">
        <v>63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75"/>
      <c r="BL26" s="75"/>
      <c r="BM26" s="75"/>
      <c r="BN26" s="75"/>
      <c r="BO26" s="75"/>
      <c r="BP26" s="75"/>
      <c r="BQ26" s="75"/>
      <c r="BR26" s="75"/>
      <c r="BS26" s="75"/>
      <c r="BT26" s="75"/>
      <c r="BU26" s="75"/>
      <c r="BV26" s="75"/>
      <c r="BW26" s="75"/>
      <c r="BX26" s="75"/>
      <c r="BY26" s="75"/>
      <c r="BZ26" s="75"/>
      <c r="CA26" s="75"/>
      <c r="CB26" s="75"/>
      <c r="CC26" s="75"/>
      <c r="CD26" s="75"/>
      <c r="CE26" s="75"/>
      <c r="CF26" s="75"/>
      <c r="CG26" s="75"/>
      <c r="CH26" s="75"/>
      <c r="CI26" s="75"/>
      <c r="CJ26" s="75"/>
      <c r="CK26" s="75"/>
      <c r="CL26" s="75"/>
      <c r="CM26" s="75"/>
      <c r="CN26" s="75"/>
      <c r="CO26" s="75"/>
      <c r="CP26" s="75"/>
      <c r="CQ26" s="75"/>
      <c r="CR26" s="75"/>
      <c r="CS26" s="75"/>
      <c r="CT26" s="75"/>
      <c r="CU26" s="75"/>
      <c r="CV26" s="75"/>
      <c r="CW26" s="75"/>
      <c r="CX26" s="75"/>
      <c r="CY26" s="75"/>
      <c r="CZ26" s="75"/>
      <c r="DA26" s="75"/>
      <c r="DB26" s="75"/>
      <c r="DC26" s="75"/>
      <c r="DD26" s="75"/>
      <c r="DE26" s="75"/>
      <c r="DF26" s="75"/>
      <c r="DG26" s="75"/>
      <c r="DH26" s="75"/>
      <c r="DI26" s="75"/>
      <c r="DJ26" s="75"/>
      <c r="DK26" s="75"/>
      <c r="DL26" s="75"/>
      <c r="DM26" s="75"/>
      <c r="DN26" s="75"/>
      <c r="DO26" s="75"/>
      <c r="DP26" s="75"/>
      <c r="DQ26" s="75"/>
      <c r="DR26" s="75"/>
      <c r="DS26" s="75"/>
      <c r="DT26" s="75"/>
      <c r="DU26" s="75"/>
      <c r="DV26" s="75"/>
      <c r="DW26" s="75"/>
      <c r="DX26" s="75"/>
      <c r="DY26" s="75"/>
      <c r="DZ26" s="75"/>
      <c r="EA26" s="75"/>
      <c r="EB26" s="75"/>
      <c r="EC26" s="75"/>
      <c r="ED26" s="75"/>
      <c r="EE26" s="75"/>
      <c r="EF26" s="75"/>
      <c r="EG26" s="75"/>
      <c r="EH26" s="75"/>
      <c r="EI26" s="75"/>
      <c r="EJ26" s="75"/>
      <c r="EK26" s="75"/>
      <c r="EL26" s="75"/>
      <c r="EM26" s="75"/>
      <c r="EN26" s="75"/>
      <c r="EO26" s="75"/>
      <c r="EP26" s="75"/>
      <c r="EQ26" s="75"/>
      <c r="ER26" s="75"/>
      <c r="ES26" s="75"/>
      <c r="ET26" s="75"/>
      <c r="EU26" s="75"/>
      <c r="EV26" s="75"/>
      <c r="EW26" s="75"/>
      <c r="EX26" s="75"/>
      <c r="EY26" s="75"/>
      <c r="EZ26" s="75"/>
      <c r="FA26" s="75"/>
      <c r="FB26" s="75"/>
      <c r="FC26" s="75"/>
      <c r="FD26" s="75"/>
      <c r="FE26" s="75"/>
      <c r="FF26" s="75"/>
      <c r="FG26" s="75"/>
      <c r="FH26" s="75"/>
      <c r="FI26" s="75"/>
      <c r="FJ26" s="75"/>
      <c r="FK26" s="75"/>
      <c r="FL26" s="75"/>
      <c r="FM26" s="75"/>
      <c r="FN26" s="75"/>
      <c r="FO26" s="75"/>
      <c r="FP26" s="75"/>
      <c r="FQ26" s="75"/>
      <c r="FR26" s="75"/>
      <c r="FS26" s="75"/>
      <c r="FT26" s="75"/>
      <c r="FU26" s="75"/>
      <c r="FV26" s="75"/>
      <c r="FW26" s="75"/>
      <c r="FX26" s="75"/>
      <c r="FY26" s="75"/>
      <c r="FZ26" s="75"/>
      <c r="GA26" s="75"/>
      <c r="GB26" s="75"/>
      <c r="GC26" s="75"/>
      <c r="GD26" s="75"/>
      <c r="GE26" s="75"/>
      <c r="GF26" s="75"/>
      <c r="GG26" s="75"/>
      <c r="GH26" s="75"/>
      <c r="GI26" s="75"/>
      <c r="GJ26" s="75"/>
      <c r="GK26" s="75"/>
      <c r="GL26" s="75"/>
      <c r="GM26" s="75"/>
      <c r="GN26" s="75"/>
      <c r="GO26" s="75"/>
      <c r="GP26" s="75"/>
      <c r="GQ26" s="75"/>
      <c r="GR26" s="75"/>
      <c r="GS26" s="75"/>
      <c r="GT26" s="75"/>
      <c r="GU26" s="75"/>
      <c r="GV26" s="75"/>
      <c r="GW26" s="75"/>
      <c r="GX26" s="75"/>
      <c r="GY26" s="75"/>
      <c r="GZ26" s="75"/>
      <c r="HA26" s="75"/>
      <c r="HB26" s="75"/>
      <c r="HC26" s="75"/>
      <c r="HD26" s="75"/>
      <c r="HE26" s="75"/>
      <c r="HF26" s="75"/>
      <c r="HG26" s="75"/>
      <c r="HH26" s="75"/>
      <c r="HI26" s="75"/>
      <c r="HJ26" s="75"/>
      <c r="HK26" s="75"/>
      <c r="HL26" s="75"/>
      <c r="HM26" s="75"/>
      <c r="HN26" s="75"/>
      <c r="HO26" s="75"/>
      <c r="HP26" s="75"/>
      <c r="HQ26" s="75"/>
      <c r="HR26" s="75"/>
      <c r="HS26" s="75"/>
      <c r="HT26" s="75"/>
      <c r="HU26" s="75"/>
      <c r="HV26" s="75"/>
      <c r="HW26" s="75"/>
      <c r="HX26" s="75"/>
      <c r="HY26" s="75"/>
      <c r="HZ26" s="75"/>
      <c r="IA26" s="75"/>
      <c r="IB26" s="75"/>
      <c r="IC26" s="75"/>
      <c r="ID26" s="75"/>
      <c r="IE26" s="75"/>
      <c r="IF26" s="75"/>
      <c r="IG26" s="75"/>
      <c r="IH26" s="75"/>
      <c r="II26" s="75"/>
      <c r="IJ26" s="75"/>
      <c r="IK26" s="75"/>
      <c r="IL26" s="75"/>
      <c r="IM26" s="75"/>
      <c r="IN26" s="75"/>
      <c r="IO26" s="75"/>
      <c r="IP26" s="75"/>
      <c r="IQ26" s="75"/>
      <c r="IR26" s="75"/>
      <c r="IS26" s="75"/>
      <c r="IT26" s="75"/>
      <c r="IU26" s="75"/>
      <c r="IV26" s="75"/>
      <c r="IW26" s="75"/>
      <c r="IX26" s="75"/>
      <c r="IY26" s="75"/>
      <c r="IZ26" s="75"/>
      <c r="JA26" s="75"/>
      <c r="JB26" s="75"/>
      <c r="JC26" s="75"/>
      <c r="JD26" s="75"/>
      <c r="JE26" s="75"/>
      <c r="JF26" s="75"/>
      <c r="JG26" s="75"/>
      <c r="JH26" s="75"/>
      <c r="JI26" s="75"/>
      <c r="JJ26" s="75"/>
      <c r="JK26" s="75"/>
      <c r="JL26" s="75"/>
      <c r="JM26" s="75"/>
      <c r="JN26" s="75"/>
      <c r="JO26" s="75"/>
      <c r="JP26" s="75"/>
      <c r="JQ26" s="75"/>
      <c r="JR26" s="75"/>
      <c r="JS26" s="75"/>
      <c r="JT26" s="75"/>
      <c r="JU26" s="75"/>
      <c r="JV26" s="75"/>
      <c r="JW26" s="75"/>
      <c r="JX26" s="75"/>
      <c r="JY26" s="75"/>
      <c r="JZ26" s="75"/>
      <c r="KA26" s="75"/>
      <c r="KB26" s="75"/>
      <c r="KC26" s="75"/>
      <c r="KD26" s="75"/>
      <c r="KE26" s="75"/>
      <c r="KF26" s="75"/>
      <c r="KG26" s="75"/>
      <c r="KH26" s="75"/>
      <c r="KI26" s="75"/>
      <c r="KJ26" s="75"/>
      <c r="KK26" s="75"/>
      <c r="KL26" s="75"/>
      <c r="KM26" s="75"/>
      <c r="KN26" s="75"/>
      <c r="KO26" s="75"/>
      <c r="KP26" s="75"/>
      <c r="KQ26" s="75"/>
      <c r="KR26" s="75"/>
      <c r="KS26" s="75"/>
      <c r="KT26" s="75"/>
      <c r="KU26" s="75"/>
      <c r="KV26" s="75"/>
      <c r="KW26" s="75"/>
      <c r="KX26" s="75"/>
      <c r="KY26" s="75"/>
      <c r="KZ26" s="75"/>
      <c r="LA26" s="75"/>
      <c r="LB26" s="75"/>
      <c r="LC26" s="75"/>
      <c r="LD26" s="75"/>
      <c r="LE26" s="75"/>
      <c r="LF26" s="75"/>
      <c r="LG26" s="75"/>
      <c r="LH26" s="75"/>
      <c r="LI26" s="75"/>
      <c r="LJ26" s="75"/>
      <c r="LK26" s="75"/>
      <c r="LL26" s="75"/>
      <c r="LM26" s="75"/>
      <c r="LN26" s="75"/>
      <c r="LO26" s="75"/>
      <c r="LP26" s="75"/>
      <c r="LQ26" s="75"/>
      <c r="LR26" s="75"/>
      <c r="LS26" s="75"/>
      <c r="LT26" s="75"/>
      <c r="LU26" s="75"/>
      <c r="LV26" s="75"/>
      <c r="LW26" s="75"/>
      <c r="LX26" s="75"/>
      <c r="LY26" s="75"/>
      <c r="LZ26" s="75"/>
      <c r="MA26" s="75"/>
      <c r="MB26" s="75"/>
      <c r="MC26" s="75"/>
      <c r="MD26" s="75"/>
      <c r="ME26" s="75"/>
      <c r="MF26" s="75"/>
      <c r="MG26" s="75"/>
      <c r="MH26" s="75"/>
      <c r="MI26" s="75"/>
      <c r="MJ26" s="75"/>
      <c r="MK26" s="75"/>
      <c r="ML26" s="75"/>
      <c r="MM26" s="75"/>
      <c r="MN26" s="75"/>
      <c r="MO26" s="75"/>
      <c r="MP26" s="75"/>
      <c r="MQ26" s="75"/>
      <c r="MR26" s="75"/>
      <c r="MS26" s="75"/>
      <c r="MT26" s="75"/>
      <c r="MU26" s="75"/>
      <c r="MV26" s="75"/>
      <c r="MW26" s="75"/>
      <c r="MX26" s="75"/>
      <c r="MY26" s="75"/>
      <c r="MZ26" s="75"/>
      <c r="NA26" s="75"/>
      <c r="NB26" s="75"/>
      <c r="NC26" s="75"/>
      <c r="ND26" s="75"/>
      <c r="NE26" s="75"/>
      <c r="NF26" s="75"/>
      <c r="NG26" s="75"/>
      <c r="NH26" s="75"/>
      <c r="NI26" s="75"/>
      <c r="NJ26" s="75"/>
      <c r="NK26" s="75"/>
      <c r="NL26" s="75"/>
      <c r="NM26" s="75"/>
      <c r="NN26" s="75"/>
      <c r="NO26" s="75"/>
      <c r="NP26" s="75"/>
      <c r="NQ26" s="75"/>
      <c r="NR26" s="75"/>
      <c r="NS26" s="75"/>
      <c r="NT26" s="75"/>
      <c r="NU26" s="75"/>
      <c r="NV26" s="75"/>
      <c r="NW26" s="75"/>
      <c r="NX26" s="75"/>
      <c r="NY26" s="75"/>
      <c r="NZ26" s="75"/>
      <c r="OA26" s="75"/>
      <c r="OB26" s="75"/>
      <c r="OC26" s="75"/>
      <c r="OD26" s="75"/>
      <c r="OE26" s="75"/>
      <c r="OF26" s="75"/>
      <c r="OG26" s="75"/>
      <c r="OH26" s="75"/>
      <c r="OI26" s="75"/>
      <c r="OJ26" s="75"/>
      <c r="OK26" s="75"/>
      <c r="OL26" s="75"/>
      <c r="OM26" s="75"/>
      <c r="ON26" s="75"/>
      <c r="OO26" s="75"/>
      <c r="OP26" s="75"/>
      <c r="OQ26" s="75"/>
      <c r="OR26" s="75"/>
      <c r="OS26" s="75"/>
      <c r="OT26" s="75"/>
      <c r="OU26" s="75"/>
      <c r="OV26" s="75"/>
      <c r="OW26" s="75"/>
      <c r="OX26" s="75"/>
      <c r="OY26" s="75"/>
      <c r="OZ26" s="75"/>
      <c r="PA26" s="75"/>
      <c r="PB26" s="75"/>
      <c r="PC26" s="75"/>
      <c r="PD26" s="75"/>
      <c r="PE26" s="75"/>
      <c r="PF26" s="75"/>
      <c r="PG26" s="75"/>
      <c r="PH26" s="75"/>
      <c r="PI26" s="75"/>
      <c r="PJ26" s="75"/>
      <c r="PK26" s="75"/>
      <c r="PL26" s="75"/>
      <c r="PM26" s="75"/>
      <c r="PN26" s="75"/>
      <c r="PO26" s="75"/>
      <c r="PP26" s="75"/>
      <c r="PQ26" s="75"/>
      <c r="PR26" s="75"/>
      <c r="PS26" s="75"/>
      <c r="PT26" s="75"/>
      <c r="PU26" s="75"/>
      <c r="PV26" s="75"/>
      <c r="PW26" s="75"/>
      <c r="PX26" s="75"/>
      <c r="PY26" s="75"/>
      <c r="PZ26" s="75"/>
      <c r="QA26" s="75"/>
      <c r="QB26" s="75"/>
      <c r="QC26" s="75"/>
      <c r="QD26" s="75"/>
      <c r="QE26" s="75"/>
      <c r="QF26" s="75"/>
      <c r="QG26" s="75"/>
      <c r="QH26" s="75"/>
      <c r="QI26" s="75"/>
      <c r="QJ26" s="75"/>
      <c r="QK26" s="75"/>
      <c r="QL26" s="75"/>
      <c r="QM26" s="75"/>
      <c r="QN26" s="75"/>
      <c r="QO26" s="75"/>
      <c r="QP26" s="75"/>
      <c r="QQ26" s="75"/>
      <c r="QR26" s="75"/>
      <c r="QS26" s="75"/>
      <c r="QT26" s="75"/>
      <c r="QU26" s="75"/>
      <c r="QV26" s="75"/>
      <c r="QW26" s="75"/>
      <c r="QX26" s="75"/>
      <c r="QY26" s="75"/>
      <c r="QZ26" s="75"/>
      <c r="RA26" s="75"/>
      <c r="RB26" s="75"/>
      <c r="RC26" s="75"/>
      <c r="RD26" s="75"/>
      <c r="RE26" s="75"/>
      <c r="RF26" s="75"/>
      <c r="RG26" s="75"/>
      <c r="RH26" s="75"/>
      <c r="RI26" s="75"/>
      <c r="RJ26" s="75"/>
      <c r="RK26" s="75"/>
      <c r="RL26" s="75"/>
      <c r="RM26" s="75"/>
      <c r="RN26" s="75"/>
      <c r="RO26" s="75"/>
      <c r="RP26" s="75"/>
      <c r="RQ26" s="75"/>
      <c r="RR26" s="75"/>
      <c r="RS26" s="75"/>
      <c r="RT26" s="75"/>
      <c r="RU26" s="75"/>
      <c r="RV26" s="75"/>
      <c r="RW26" s="75"/>
      <c r="RX26" s="75"/>
      <c r="RY26" s="75"/>
      <c r="RZ26" s="75"/>
      <c r="SA26" s="75"/>
      <c r="SB26" s="75"/>
      <c r="SC26" s="75"/>
      <c r="SD26" s="75"/>
      <c r="SE26" s="75"/>
      <c r="SF26" s="75"/>
      <c r="SG26" s="75"/>
      <c r="SH26" s="75"/>
      <c r="SI26" s="75"/>
      <c r="SJ26" s="75"/>
      <c r="SK26" s="75"/>
      <c r="SL26" s="75"/>
      <c r="SM26" s="75"/>
      <c r="SN26" s="75"/>
      <c r="SO26" s="75"/>
      <c r="SP26" s="75"/>
      <c r="SQ26" s="75"/>
      <c r="SR26" s="75"/>
      <c r="SS26" s="75"/>
      <c r="ST26" s="75"/>
      <c r="SU26" s="75"/>
      <c r="SV26" s="75"/>
      <c r="SW26" s="75"/>
      <c r="SX26" s="75"/>
      <c r="SY26" s="75"/>
      <c r="SZ26" s="75"/>
      <c r="TA26" s="75"/>
      <c r="TB26" s="75"/>
      <c r="TC26" s="75"/>
      <c r="TD26" s="75"/>
      <c r="TE26" s="75"/>
      <c r="TF26" s="75"/>
      <c r="TG26" s="75"/>
      <c r="TH26" s="75"/>
      <c r="TI26" s="75"/>
      <c r="TJ26" s="75"/>
      <c r="TK26" s="75"/>
      <c r="TL26" s="75"/>
      <c r="TM26" s="75"/>
      <c r="TN26" s="75"/>
      <c r="TO26" s="75"/>
      <c r="TP26" s="75"/>
      <c r="TQ26" s="75"/>
      <c r="TR26" s="75"/>
      <c r="TS26" s="75"/>
      <c r="TT26" s="75"/>
      <c r="TU26" s="75"/>
      <c r="TV26" s="75"/>
      <c r="TW26" s="75"/>
      <c r="TX26" s="75"/>
      <c r="TY26" s="75"/>
      <c r="TZ26" s="75"/>
      <c r="UA26" s="75"/>
      <c r="UB26" s="75"/>
      <c r="UC26" s="75"/>
      <c r="UD26" s="75"/>
      <c r="UE26" s="75"/>
      <c r="UF26" s="75"/>
      <c r="UG26" s="75"/>
      <c r="UH26" s="75"/>
      <c r="UI26" s="75"/>
      <c r="UJ26" s="75"/>
      <c r="UK26" s="75"/>
      <c r="UL26" s="75"/>
      <c r="UM26" s="75"/>
      <c r="UN26" s="75"/>
      <c r="UO26" s="75"/>
      <c r="UP26" s="75"/>
      <c r="UQ26" s="75"/>
      <c r="UR26" s="75"/>
      <c r="US26" s="75"/>
      <c r="UT26" s="75"/>
      <c r="UU26" s="75"/>
      <c r="UV26" s="75"/>
      <c r="UW26" s="75"/>
      <c r="UX26" s="75"/>
      <c r="UY26" s="75"/>
      <c r="UZ26" s="75"/>
      <c r="VA26" s="75"/>
      <c r="VB26" s="75"/>
      <c r="VC26" s="75"/>
      <c r="VD26" s="75"/>
      <c r="VE26" s="75"/>
      <c r="VF26" s="75"/>
      <c r="VG26" s="75"/>
      <c r="VH26" s="75"/>
      <c r="VI26" s="75"/>
      <c r="VJ26" s="75"/>
      <c r="VK26" s="75"/>
      <c r="VL26" s="75"/>
      <c r="VM26" s="75"/>
      <c r="VN26" s="75"/>
      <c r="VO26" s="75"/>
      <c r="VP26" s="75"/>
      <c r="VQ26" s="75"/>
      <c r="VR26" s="75"/>
      <c r="VS26" s="75">
        <v>1</v>
      </c>
      <c r="VT26" s="75"/>
      <c r="VU26" s="75">
        <v>6</v>
      </c>
      <c r="VV26" s="75">
        <v>9</v>
      </c>
      <c r="VW26" s="75">
        <v>9</v>
      </c>
      <c r="VX26" s="75">
        <v>11</v>
      </c>
      <c r="VY26" s="75">
        <v>13</v>
      </c>
      <c r="VZ26" s="75">
        <v>13</v>
      </c>
      <c r="WA26" s="75"/>
      <c r="WB26" s="75">
        <v>13</v>
      </c>
      <c r="WC26" s="75">
        <v>13</v>
      </c>
      <c r="WD26" s="75">
        <v>13</v>
      </c>
      <c r="WE26" s="75">
        <v>13</v>
      </c>
      <c r="WF26" s="75">
        <v>7</v>
      </c>
      <c r="WG26" s="75">
        <v>4</v>
      </c>
      <c r="WH26" s="75"/>
      <c r="WI26" s="75">
        <v>9</v>
      </c>
      <c r="WJ26" s="75">
        <v>7</v>
      </c>
      <c r="WK26" s="75">
        <v>5</v>
      </c>
      <c r="WL26" s="75">
        <v>5</v>
      </c>
      <c r="WM26" s="75">
        <v>5</v>
      </c>
      <c r="WN26" s="75">
        <v>5</v>
      </c>
      <c r="WO26" s="75"/>
      <c r="WP26" s="75">
        <v>5</v>
      </c>
      <c r="WQ26" s="75">
        <v>5</v>
      </c>
      <c r="WR26" s="75">
        <v>5</v>
      </c>
      <c r="WS26" s="75">
        <v>5</v>
      </c>
      <c r="WT26" s="75"/>
      <c r="WU26" s="75"/>
      <c r="WV26" s="75"/>
      <c r="WW26" s="75"/>
      <c r="WX26" s="75"/>
      <c r="WY26" s="75"/>
      <c r="WZ26" s="75"/>
      <c r="XA26" s="75"/>
      <c r="XB26" s="75"/>
      <c r="XC26" s="75"/>
      <c r="XD26" s="75"/>
      <c r="XE26" s="75"/>
      <c r="XF26" s="75"/>
      <c r="XG26" s="75"/>
      <c r="XH26" s="75"/>
      <c r="XI26" s="75"/>
      <c r="XJ26" s="75"/>
      <c r="XK26" s="75"/>
      <c r="XL26" s="75"/>
      <c r="XM26" s="75"/>
      <c r="XN26" s="75"/>
      <c r="XO26" s="75"/>
      <c r="XP26" s="75"/>
      <c r="XQ26" s="75"/>
      <c r="XR26" s="75"/>
      <c r="XS26" s="75"/>
      <c r="XT26" s="75"/>
      <c r="XU26" s="75"/>
      <c r="XV26" s="75"/>
      <c r="XW26" s="75"/>
      <c r="XX26" s="75"/>
      <c r="XY26" s="75"/>
      <c r="XZ26" s="75"/>
      <c r="YA26" s="75"/>
      <c r="YB26" s="75"/>
      <c r="YC26" s="75"/>
      <c r="YD26" s="75"/>
      <c r="YE26" s="75"/>
      <c r="YF26" s="75"/>
      <c r="YG26" s="75"/>
      <c r="YH26" s="75"/>
      <c r="YI26" s="75"/>
      <c r="YJ26" s="75"/>
      <c r="YK26" s="75"/>
      <c r="YL26" s="75"/>
      <c r="YM26" s="75"/>
      <c r="YN26" s="75"/>
      <c r="YO26" s="75"/>
      <c r="YP26" s="75"/>
      <c r="YQ26" s="75"/>
      <c r="YR26" s="75"/>
      <c r="YS26" s="75"/>
      <c r="YT26" s="75"/>
      <c r="YU26" s="75"/>
      <c r="YV26" s="75"/>
      <c r="YW26" s="75"/>
      <c r="YX26" s="75"/>
      <c r="YY26" s="75"/>
      <c r="YZ26" s="75"/>
      <c r="ZA26" s="75"/>
      <c r="ZB26" s="75"/>
      <c r="ZC26" s="75"/>
      <c r="ZD26" s="75"/>
      <c r="ZE26" s="75"/>
      <c r="ZF26" s="75"/>
      <c r="ZG26" s="75"/>
      <c r="ZH26" s="75"/>
      <c r="ZI26" s="75"/>
      <c r="ZJ26" s="75"/>
      <c r="ZK26" s="75"/>
      <c r="ZL26" s="75"/>
      <c r="ZM26" s="75"/>
      <c r="ZN26" s="75"/>
      <c r="ZO26" s="75"/>
      <c r="ZP26" s="75"/>
      <c r="ZQ26" s="75"/>
      <c r="ZR26" s="75"/>
      <c r="ZS26" s="75"/>
      <c r="ZT26" s="75"/>
      <c r="ZU26" s="75"/>
      <c r="ZV26" s="75"/>
      <c r="ZW26" s="75"/>
      <c r="ZX26" s="75"/>
      <c r="ZY26" s="75"/>
      <c r="ZZ26" s="75"/>
      <c r="AAA26" s="75"/>
      <c r="AAB26" s="75"/>
      <c r="AAC26" s="75"/>
      <c r="AAD26" s="75"/>
      <c r="AAE26" s="75"/>
      <c r="AAF26" s="75"/>
      <c r="AAG26" s="75"/>
      <c r="AAH26" s="75"/>
      <c r="AAI26" s="75"/>
      <c r="AAJ26" s="75"/>
      <c r="AAK26" s="75"/>
      <c r="AAL26" s="75"/>
      <c r="AAM26" s="75"/>
      <c r="AAN26" s="75"/>
      <c r="AAO26" s="75"/>
      <c r="AAP26" s="75"/>
      <c r="AAQ26" s="75"/>
      <c r="AAR26" s="75"/>
      <c r="AAS26" s="75"/>
      <c r="AAT26" s="75"/>
      <c r="AAU26" s="75"/>
      <c r="AAV26" s="75"/>
      <c r="AAW26" s="75"/>
      <c r="AAX26" s="75"/>
      <c r="AAY26" s="75"/>
      <c r="AAZ26" s="75"/>
      <c r="ABA26" s="75"/>
      <c r="ABB26" s="75"/>
      <c r="ABC26" s="75"/>
    </row>
    <row r="27" spans="1:731">
      <c r="A27" s="75" t="s">
        <v>64</v>
      </c>
      <c r="B27" s="75">
        <v>0</v>
      </c>
      <c r="C27" s="75">
        <v>0</v>
      </c>
      <c r="D27" s="75">
        <v>0</v>
      </c>
      <c r="E27" s="75">
        <v>0</v>
      </c>
      <c r="F27" s="75">
        <v>0</v>
      </c>
      <c r="G27" s="75">
        <v>0</v>
      </c>
      <c r="H27" s="75">
        <v>0</v>
      </c>
      <c r="I27" s="75">
        <v>0</v>
      </c>
      <c r="J27" s="75">
        <v>0</v>
      </c>
      <c r="K27" s="75">
        <v>0</v>
      </c>
      <c r="L27" s="75">
        <v>0</v>
      </c>
      <c r="M27" s="75">
        <v>0</v>
      </c>
      <c r="N27" s="75">
        <v>0</v>
      </c>
      <c r="O27" s="75">
        <v>0</v>
      </c>
      <c r="P27" s="75">
        <v>0</v>
      </c>
      <c r="Q27" s="75">
        <v>0</v>
      </c>
      <c r="R27" s="75">
        <v>0</v>
      </c>
      <c r="S27" s="75">
        <v>0</v>
      </c>
      <c r="T27" s="75">
        <v>0</v>
      </c>
      <c r="U27" s="75">
        <v>0</v>
      </c>
      <c r="V27" s="75">
        <v>0</v>
      </c>
      <c r="W27" s="75">
        <v>0</v>
      </c>
      <c r="X27" s="75">
        <v>0</v>
      </c>
      <c r="Y27" s="75">
        <v>0</v>
      </c>
      <c r="Z27" s="75">
        <v>0</v>
      </c>
      <c r="AA27" s="75">
        <v>0</v>
      </c>
      <c r="AB27" s="75">
        <v>0</v>
      </c>
      <c r="AC27" s="75">
        <v>0</v>
      </c>
      <c r="AD27" s="75">
        <v>0</v>
      </c>
      <c r="AE27" s="75">
        <v>0</v>
      </c>
      <c r="AF27" s="75">
        <v>0</v>
      </c>
      <c r="AG27" s="75">
        <v>0</v>
      </c>
      <c r="AH27" s="75">
        <v>0</v>
      </c>
      <c r="AI27" s="75">
        <v>0</v>
      </c>
      <c r="AJ27" s="75">
        <v>0</v>
      </c>
      <c r="AK27" s="75">
        <v>0</v>
      </c>
      <c r="AL27" s="75">
        <v>0</v>
      </c>
      <c r="AM27" s="75">
        <v>0</v>
      </c>
      <c r="AN27" s="75">
        <v>0</v>
      </c>
      <c r="AO27" s="75">
        <v>0</v>
      </c>
      <c r="AP27" s="75">
        <v>0</v>
      </c>
      <c r="AQ27" s="75">
        <v>0</v>
      </c>
      <c r="AR27" s="75">
        <v>0</v>
      </c>
      <c r="AS27" s="75">
        <v>0</v>
      </c>
      <c r="AT27" s="75">
        <v>0</v>
      </c>
      <c r="AU27" s="75">
        <v>0</v>
      </c>
      <c r="AV27" s="75">
        <v>0</v>
      </c>
      <c r="AW27" s="75">
        <v>0</v>
      </c>
      <c r="AX27" s="75">
        <v>0</v>
      </c>
      <c r="AY27" s="75">
        <v>0</v>
      </c>
      <c r="AZ27" s="75">
        <v>0</v>
      </c>
      <c r="BA27" s="75">
        <v>0</v>
      </c>
      <c r="BB27" s="75">
        <v>0</v>
      </c>
      <c r="BC27" s="75">
        <v>0</v>
      </c>
      <c r="BD27" s="75">
        <v>0</v>
      </c>
      <c r="BE27" s="75">
        <v>0</v>
      </c>
      <c r="BF27" s="75">
        <v>0</v>
      </c>
      <c r="BG27" s="75">
        <v>0</v>
      </c>
      <c r="BH27" s="75">
        <v>0</v>
      </c>
      <c r="BI27" s="75">
        <v>0</v>
      </c>
      <c r="BJ27" s="75">
        <v>0</v>
      </c>
      <c r="BK27" s="75">
        <v>0</v>
      </c>
      <c r="BL27" s="75">
        <v>0</v>
      </c>
      <c r="BM27" s="75">
        <v>0</v>
      </c>
      <c r="BN27" s="75">
        <v>0</v>
      </c>
      <c r="BO27" s="75">
        <v>0</v>
      </c>
      <c r="BP27" s="75">
        <v>0</v>
      </c>
      <c r="BQ27" s="75">
        <v>0</v>
      </c>
      <c r="BR27" s="75">
        <v>0</v>
      </c>
      <c r="BS27" s="75">
        <v>0</v>
      </c>
      <c r="BT27" s="75">
        <v>0</v>
      </c>
      <c r="BU27" s="75">
        <v>0</v>
      </c>
      <c r="BV27" s="75">
        <v>0</v>
      </c>
      <c r="BW27" s="75">
        <v>0</v>
      </c>
      <c r="BX27" s="75">
        <v>0</v>
      </c>
      <c r="BY27" s="75">
        <v>0</v>
      </c>
      <c r="BZ27" s="75">
        <v>0</v>
      </c>
      <c r="CA27" s="75">
        <v>0</v>
      </c>
      <c r="CB27" s="75">
        <v>0</v>
      </c>
      <c r="CC27" s="75">
        <v>0</v>
      </c>
      <c r="CD27" s="75">
        <v>0</v>
      </c>
      <c r="CE27" s="75">
        <v>0</v>
      </c>
      <c r="CF27" s="75">
        <v>0</v>
      </c>
      <c r="CG27" s="75">
        <v>0</v>
      </c>
      <c r="CH27" s="75">
        <v>0</v>
      </c>
      <c r="CI27" s="75">
        <v>0</v>
      </c>
      <c r="CJ27" s="75">
        <v>0</v>
      </c>
      <c r="CK27" s="75">
        <v>0</v>
      </c>
      <c r="CL27" s="75">
        <v>0</v>
      </c>
      <c r="CM27" s="75">
        <v>0</v>
      </c>
      <c r="CN27" s="75">
        <v>0</v>
      </c>
      <c r="CO27" s="75">
        <v>0</v>
      </c>
      <c r="CP27" s="75">
        <v>0</v>
      </c>
      <c r="CQ27" s="75">
        <v>0</v>
      </c>
      <c r="CR27" s="75">
        <v>0</v>
      </c>
      <c r="CS27" s="75">
        <v>0</v>
      </c>
      <c r="CT27" s="75">
        <v>0</v>
      </c>
      <c r="CU27" s="75">
        <v>0</v>
      </c>
      <c r="CV27" s="75">
        <v>0</v>
      </c>
      <c r="CW27" s="75">
        <v>0</v>
      </c>
      <c r="CX27" s="75">
        <v>0</v>
      </c>
      <c r="CY27" s="75">
        <v>0</v>
      </c>
      <c r="CZ27" s="75">
        <v>0</v>
      </c>
      <c r="DA27" s="75">
        <v>0</v>
      </c>
      <c r="DB27" s="75">
        <v>0</v>
      </c>
      <c r="DC27" s="75">
        <v>0</v>
      </c>
      <c r="DD27" s="75">
        <v>0</v>
      </c>
      <c r="DE27" s="75">
        <v>0</v>
      </c>
      <c r="DF27" s="75">
        <v>0</v>
      </c>
      <c r="DG27" s="75">
        <v>0</v>
      </c>
      <c r="DH27" s="75">
        <v>0</v>
      </c>
      <c r="DI27" s="75">
        <v>0</v>
      </c>
      <c r="DJ27" s="75">
        <v>0</v>
      </c>
      <c r="DK27" s="75">
        <v>0</v>
      </c>
      <c r="DL27" s="75">
        <v>0</v>
      </c>
      <c r="DM27" s="75">
        <v>0</v>
      </c>
      <c r="DN27" s="75">
        <v>0</v>
      </c>
      <c r="DO27" s="75">
        <v>0</v>
      </c>
      <c r="DP27" s="75">
        <v>0</v>
      </c>
      <c r="DQ27" s="75">
        <v>0</v>
      </c>
      <c r="DR27" s="75">
        <v>0</v>
      </c>
      <c r="DS27" s="75">
        <v>0</v>
      </c>
      <c r="DT27" s="75">
        <v>0</v>
      </c>
      <c r="DU27" s="75">
        <v>0</v>
      </c>
      <c r="DV27" s="75">
        <v>0</v>
      </c>
      <c r="DW27" s="75">
        <v>0</v>
      </c>
      <c r="DX27" s="75">
        <v>0</v>
      </c>
      <c r="DY27" s="75">
        <v>0</v>
      </c>
      <c r="DZ27" s="75">
        <v>0</v>
      </c>
      <c r="EA27" s="75">
        <v>0</v>
      </c>
      <c r="EB27" s="75">
        <v>0</v>
      </c>
      <c r="EC27" s="75">
        <v>0</v>
      </c>
      <c r="ED27" s="75">
        <v>0</v>
      </c>
      <c r="EE27" s="75">
        <v>0</v>
      </c>
      <c r="EF27" s="75">
        <v>0</v>
      </c>
      <c r="EG27" s="75">
        <v>0</v>
      </c>
      <c r="EH27" s="75">
        <v>0</v>
      </c>
      <c r="EI27" s="75">
        <v>0</v>
      </c>
      <c r="EJ27" s="75">
        <v>0</v>
      </c>
      <c r="EK27" s="75">
        <v>0</v>
      </c>
      <c r="EL27" s="75">
        <v>0</v>
      </c>
      <c r="EM27" s="75">
        <v>0</v>
      </c>
      <c r="EN27" s="75">
        <v>0</v>
      </c>
      <c r="EO27" s="75">
        <v>0</v>
      </c>
      <c r="EP27" s="75">
        <v>0</v>
      </c>
      <c r="EQ27" s="75">
        <v>0</v>
      </c>
      <c r="ER27" s="75">
        <v>0</v>
      </c>
      <c r="ES27" s="75">
        <v>0</v>
      </c>
      <c r="ET27" s="75">
        <v>0</v>
      </c>
      <c r="EU27" s="75">
        <v>0</v>
      </c>
      <c r="EV27" s="75">
        <v>0</v>
      </c>
      <c r="EW27" s="75">
        <v>0</v>
      </c>
      <c r="EX27" s="75">
        <v>0</v>
      </c>
      <c r="EY27" s="75">
        <v>0</v>
      </c>
      <c r="EZ27" s="75">
        <v>0</v>
      </c>
      <c r="FA27" s="75">
        <v>0</v>
      </c>
      <c r="FB27" s="75">
        <v>0</v>
      </c>
      <c r="FC27" s="75">
        <v>0</v>
      </c>
      <c r="FD27" s="75">
        <v>0</v>
      </c>
      <c r="FE27" s="75">
        <v>0</v>
      </c>
      <c r="FF27" s="75">
        <v>0</v>
      </c>
      <c r="FG27" s="75">
        <v>0</v>
      </c>
      <c r="FH27" s="75">
        <v>0</v>
      </c>
      <c r="FI27" s="75">
        <v>0</v>
      </c>
      <c r="FJ27" s="75">
        <v>0</v>
      </c>
      <c r="FK27" s="75">
        <v>0</v>
      </c>
      <c r="FL27" s="75">
        <v>0</v>
      </c>
      <c r="FM27" s="75">
        <v>0</v>
      </c>
      <c r="FN27" s="75">
        <v>0</v>
      </c>
      <c r="FO27" s="75">
        <v>0</v>
      </c>
      <c r="FP27" s="75">
        <v>0</v>
      </c>
      <c r="FQ27" s="75">
        <v>0</v>
      </c>
      <c r="FR27" s="75">
        <v>0</v>
      </c>
      <c r="FS27" s="75">
        <v>0</v>
      </c>
      <c r="FT27" s="75">
        <v>0</v>
      </c>
      <c r="FU27" s="75">
        <v>0</v>
      </c>
      <c r="FV27" s="75">
        <v>0</v>
      </c>
      <c r="FW27" s="75">
        <v>0</v>
      </c>
      <c r="FX27" s="75">
        <v>0</v>
      </c>
      <c r="FY27" s="75">
        <v>0</v>
      </c>
      <c r="FZ27" s="75">
        <v>0</v>
      </c>
      <c r="GA27" s="75">
        <v>0</v>
      </c>
      <c r="GB27" s="75">
        <v>0</v>
      </c>
      <c r="GC27" s="75">
        <v>0</v>
      </c>
      <c r="GD27" s="75">
        <v>0</v>
      </c>
      <c r="GE27" s="75">
        <v>0</v>
      </c>
      <c r="GF27" s="75">
        <v>0</v>
      </c>
      <c r="GG27" s="75">
        <v>0</v>
      </c>
      <c r="GH27" s="75">
        <v>0</v>
      </c>
      <c r="GI27" s="75">
        <v>0</v>
      </c>
      <c r="GJ27" s="75">
        <v>0</v>
      </c>
      <c r="GK27" s="75">
        <v>0</v>
      </c>
      <c r="GL27" s="75">
        <v>0</v>
      </c>
      <c r="GM27" s="75">
        <v>0</v>
      </c>
      <c r="GN27" s="75">
        <v>0</v>
      </c>
      <c r="GO27" s="75">
        <v>0</v>
      </c>
      <c r="GP27" s="75">
        <v>0</v>
      </c>
      <c r="GQ27" s="75">
        <v>0</v>
      </c>
      <c r="GR27" s="75">
        <v>0</v>
      </c>
      <c r="GS27" s="75">
        <v>0</v>
      </c>
      <c r="GT27" s="75">
        <v>0</v>
      </c>
      <c r="GU27" s="75">
        <v>0</v>
      </c>
      <c r="GV27" s="75">
        <v>0</v>
      </c>
      <c r="GW27" s="75">
        <v>0</v>
      </c>
      <c r="GX27" s="75">
        <v>0</v>
      </c>
      <c r="GY27" s="75">
        <v>0</v>
      </c>
      <c r="GZ27" s="75">
        <v>0</v>
      </c>
      <c r="HA27" s="75">
        <v>0</v>
      </c>
      <c r="HB27" s="75">
        <v>0</v>
      </c>
      <c r="HC27" s="75">
        <v>0</v>
      </c>
      <c r="HD27" s="75">
        <v>0</v>
      </c>
      <c r="HE27" s="75">
        <v>0</v>
      </c>
      <c r="HF27" s="75">
        <v>0</v>
      </c>
      <c r="HG27" s="75">
        <v>0</v>
      </c>
      <c r="HH27" s="75">
        <v>0</v>
      </c>
      <c r="HI27" s="75">
        <v>0</v>
      </c>
      <c r="HJ27" s="75">
        <v>0</v>
      </c>
      <c r="HK27" s="75">
        <v>0</v>
      </c>
      <c r="HL27" s="75">
        <v>0</v>
      </c>
      <c r="HM27" s="75">
        <v>0</v>
      </c>
      <c r="HN27" s="75">
        <v>0</v>
      </c>
      <c r="HO27" s="75">
        <v>0</v>
      </c>
      <c r="HP27" s="75">
        <v>0</v>
      </c>
      <c r="HQ27" s="75">
        <v>0</v>
      </c>
      <c r="HR27" s="75">
        <v>0</v>
      </c>
      <c r="HS27" s="75">
        <v>0</v>
      </c>
      <c r="HT27" s="75">
        <v>0</v>
      </c>
      <c r="HU27" s="75">
        <v>0</v>
      </c>
      <c r="HV27" s="75">
        <v>0</v>
      </c>
      <c r="HW27" s="75">
        <v>0</v>
      </c>
      <c r="HX27" s="75">
        <v>0</v>
      </c>
      <c r="HY27" s="75">
        <v>0</v>
      </c>
      <c r="HZ27" s="75">
        <v>0</v>
      </c>
      <c r="IA27" s="75">
        <v>0</v>
      </c>
      <c r="IB27" s="75">
        <v>0</v>
      </c>
      <c r="IC27" s="75">
        <v>0</v>
      </c>
      <c r="ID27" s="75">
        <v>0</v>
      </c>
      <c r="IE27" s="75">
        <v>0</v>
      </c>
      <c r="IF27" s="75">
        <v>0</v>
      </c>
      <c r="IG27" s="75">
        <v>0</v>
      </c>
      <c r="IH27" s="75">
        <v>0</v>
      </c>
      <c r="II27" s="75">
        <v>0</v>
      </c>
      <c r="IJ27" s="75">
        <v>4</v>
      </c>
      <c r="IK27" s="75">
        <v>10</v>
      </c>
      <c r="IL27" s="75">
        <v>10</v>
      </c>
      <c r="IM27" s="75">
        <v>10</v>
      </c>
      <c r="IN27" s="75">
        <v>10</v>
      </c>
      <c r="IO27" s="75">
        <v>0</v>
      </c>
      <c r="IP27" s="75">
        <v>6</v>
      </c>
      <c r="IQ27" s="75">
        <v>0</v>
      </c>
      <c r="IR27" s="75">
        <v>0</v>
      </c>
      <c r="IS27" s="75">
        <v>0</v>
      </c>
      <c r="IT27" s="75">
        <v>0</v>
      </c>
      <c r="IU27" s="75">
        <v>0</v>
      </c>
      <c r="IV27" s="75">
        <v>0</v>
      </c>
      <c r="IW27" s="75">
        <v>4</v>
      </c>
      <c r="IX27" s="75">
        <v>10</v>
      </c>
      <c r="IY27" s="75">
        <v>10</v>
      </c>
      <c r="IZ27" s="75">
        <v>10</v>
      </c>
      <c r="JA27" s="75">
        <v>10</v>
      </c>
      <c r="JB27" s="75">
        <v>6</v>
      </c>
      <c r="JC27" s="75">
        <v>0</v>
      </c>
      <c r="JD27" s="75">
        <v>0</v>
      </c>
      <c r="JE27" s="75">
        <v>0</v>
      </c>
      <c r="JF27" s="75">
        <v>0</v>
      </c>
      <c r="JG27" s="75">
        <v>0</v>
      </c>
      <c r="JH27" s="75">
        <v>0</v>
      </c>
      <c r="JI27" s="75">
        <v>0</v>
      </c>
      <c r="JJ27" s="75">
        <v>0</v>
      </c>
      <c r="JK27" s="75">
        <v>0</v>
      </c>
      <c r="JL27" s="75">
        <v>0</v>
      </c>
      <c r="JM27" s="75">
        <v>0</v>
      </c>
      <c r="JN27" s="75">
        <v>4</v>
      </c>
      <c r="JO27" s="75">
        <v>10</v>
      </c>
      <c r="JP27" s="75">
        <v>10</v>
      </c>
      <c r="JQ27" s="75">
        <v>0</v>
      </c>
      <c r="JR27" s="75">
        <v>0</v>
      </c>
      <c r="JS27" s="75">
        <v>0</v>
      </c>
      <c r="JT27" s="75">
        <v>0</v>
      </c>
      <c r="JU27" s="75">
        <v>0</v>
      </c>
      <c r="JV27" s="75">
        <v>10</v>
      </c>
      <c r="JW27" s="75">
        <v>10</v>
      </c>
      <c r="JX27" s="75">
        <v>0</v>
      </c>
      <c r="JY27" s="75">
        <v>10</v>
      </c>
      <c r="JZ27" s="75">
        <v>10</v>
      </c>
      <c r="KA27" s="75">
        <v>14</v>
      </c>
      <c r="KB27" s="75">
        <v>16</v>
      </c>
      <c r="KC27" s="75">
        <v>10</v>
      </c>
      <c r="KD27" s="75">
        <v>10</v>
      </c>
      <c r="KE27" s="75">
        <v>0</v>
      </c>
      <c r="KF27" s="75">
        <v>10</v>
      </c>
      <c r="KG27" s="75">
        <v>10</v>
      </c>
      <c r="KH27" s="75">
        <v>6</v>
      </c>
      <c r="KI27" s="75">
        <v>0</v>
      </c>
      <c r="KJ27" s="75">
        <v>0</v>
      </c>
      <c r="KK27" s="75">
        <v>0</v>
      </c>
      <c r="KL27" s="75">
        <v>0</v>
      </c>
      <c r="KM27" s="75">
        <v>0</v>
      </c>
      <c r="KN27" s="75">
        <v>1</v>
      </c>
      <c r="KO27" s="75">
        <v>10</v>
      </c>
      <c r="KP27" s="75">
        <v>10</v>
      </c>
      <c r="KQ27" s="75">
        <v>10</v>
      </c>
      <c r="KR27" s="75">
        <v>10</v>
      </c>
      <c r="KS27" s="75">
        <v>0</v>
      </c>
      <c r="KT27" s="75">
        <v>10</v>
      </c>
      <c r="KU27" s="75">
        <v>0</v>
      </c>
      <c r="KV27" s="75">
        <v>0</v>
      </c>
      <c r="KW27" s="75">
        <v>3</v>
      </c>
      <c r="KX27" s="75">
        <v>10</v>
      </c>
      <c r="KY27" s="75">
        <v>10</v>
      </c>
      <c r="KZ27" s="75">
        <v>0</v>
      </c>
      <c r="LA27" s="75">
        <v>13</v>
      </c>
      <c r="LB27" s="75">
        <v>20</v>
      </c>
      <c r="LC27" s="75">
        <v>18</v>
      </c>
      <c r="LD27" s="75">
        <v>10</v>
      </c>
      <c r="LE27" s="75">
        <v>10</v>
      </c>
      <c r="LF27" s="75">
        <v>8</v>
      </c>
      <c r="LG27" s="75">
        <v>0</v>
      </c>
      <c r="LH27" s="75">
        <v>0</v>
      </c>
      <c r="LI27" s="75">
        <v>5</v>
      </c>
      <c r="LJ27" s="75">
        <v>15</v>
      </c>
      <c r="LK27" s="75">
        <v>16</v>
      </c>
      <c r="LL27" s="75">
        <v>16</v>
      </c>
      <c r="LM27" s="75">
        <v>16</v>
      </c>
      <c r="LN27" s="75">
        <v>0</v>
      </c>
      <c r="LO27" s="75">
        <v>16</v>
      </c>
      <c r="LP27" s="75">
        <v>8</v>
      </c>
      <c r="LQ27" s="75">
        <v>6</v>
      </c>
      <c r="LR27" s="75">
        <v>32</v>
      </c>
      <c r="LS27" s="75">
        <v>67</v>
      </c>
      <c r="LT27" s="75">
        <v>68</v>
      </c>
      <c r="LU27" s="75">
        <v>0</v>
      </c>
      <c r="LV27" s="75">
        <v>77</v>
      </c>
      <c r="LW27" s="75">
        <v>78</v>
      </c>
      <c r="LX27" s="75">
        <v>52</v>
      </c>
      <c r="LY27" s="75">
        <v>18</v>
      </c>
      <c r="LZ27" s="75">
        <v>11</v>
      </c>
      <c r="MA27" s="75">
        <v>2</v>
      </c>
      <c r="MB27" s="75">
        <v>0</v>
      </c>
      <c r="MC27" s="75">
        <v>16</v>
      </c>
      <c r="MD27" s="75">
        <v>52</v>
      </c>
      <c r="ME27" s="75">
        <v>61</v>
      </c>
      <c r="MF27" s="75">
        <v>62</v>
      </c>
      <c r="MG27" s="75">
        <v>0</v>
      </c>
      <c r="MH27" s="75">
        <v>0</v>
      </c>
      <c r="MI27" s="75">
        <v>0</v>
      </c>
      <c r="MJ27" s="75">
        <v>0</v>
      </c>
      <c r="MK27" s="75">
        <v>0</v>
      </c>
      <c r="ML27" s="75">
        <v>0</v>
      </c>
      <c r="MM27" s="75">
        <v>62</v>
      </c>
      <c r="MN27" s="75">
        <v>46</v>
      </c>
      <c r="MO27" s="75">
        <v>10</v>
      </c>
      <c r="MP27" s="75">
        <v>0</v>
      </c>
      <c r="MQ27" s="75">
        <v>6</v>
      </c>
      <c r="MR27" s="75">
        <v>4</v>
      </c>
      <c r="MS27" s="75">
        <v>4</v>
      </c>
      <c r="MT27" s="75">
        <v>6</v>
      </c>
      <c r="MU27" s="75">
        <v>22</v>
      </c>
      <c r="MV27" s="75">
        <v>72</v>
      </c>
      <c r="MW27" s="75">
        <v>0</v>
      </c>
      <c r="MX27" s="75">
        <v>72</v>
      </c>
      <c r="MY27" s="75">
        <v>72</v>
      </c>
      <c r="MZ27" s="75">
        <v>72</v>
      </c>
      <c r="NA27" s="75">
        <v>67</v>
      </c>
      <c r="NB27" s="75">
        <v>18</v>
      </c>
      <c r="NC27" s="75">
        <v>32</v>
      </c>
      <c r="ND27" s="75">
        <v>10</v>
      </c>
      <c r="NE27" s="75">
        <v>109</v>
      </c>
      <c r="NF27" s="75">
        <v>109</v>
      </c>
      <c r="NG27" s="75">
        <v>115</v>
      </c>
      <c r="NH27" s="75">
        <v>155</v>
      </c>
      <c r="NI27" s="75">
        <v>153</v>
      </c>
      <c r="NJ27" s="75">
        <v>143</v>
      </c>
      <c r="NK27" s="75">
        <v>8</v>
      </c>
      <c r="NL27" s="75">
        <v>102</v>
      </c>
      <c r="NM27" s="75">
        <v>94</v>
      </c>
      <c r="NN27" s="75">
        <v>44</v>
      </c>
      <c r="NO27" s="75">
        <v>48</v>
      </c>
      <c r="NP27" s="75">
        <v>70</v>
      </c>
      <c r="NQ27" s="75">
        <v>62</v>
      </c>
      <c r="NR27" s="75">
        <v>12</v>
      </c>
      <c r="NS27" s="75">
        <v>70</v>
      </c>
      <c r="NT27" s="75">
        <v>72</v>
      </c>
      <c r="NU27" s="75">
        <v>72</v>
      </c>
      <c r="NV27" s="75">
        <v>34</v>
      </c>
      <c r="NW27" s="75">
        <v>30</v>
      </c>
      <c r="NX27" s="75">
        <v>29</v>
      </c>
      <c r="NY27" s="75">
        <v>10</v>
      </c>
      <c r="NZ27" s="75">
        <v>34</v>
      </c>
      <c r="OA27" s="75">
        <v>53</v>
      </c>
      <c r="OB27" s="75">
        <v>67</v>
      </c>
      <c r="OC27" s="75">
        <v>68</v>
      </c>
      <c r="OD27" s="75">
        <v>68</v>
      </c>
      <c r="OE27" s="75">
        <v>66</v>
      </c>
      <c r="OF27" s="75">
        <v>18</v>
      </c>
      <c r="OG27" s="75">
        <v>54</v>
      </c>
      <c r="OH27" s="75">
        <v>61</v>
      </c>
      <c r="OI27" s="75">
        <v>53</v>
      </c>
      <c r="OJ27" s="75">
        <v>44</v>
      </c>
      <c r="OK27" s="75">
        <v>36</v>
      </c>
      <c r="OL27" s="75">
        <v>33</v>
      </c>
      <c r="OM27" s="75">
        <v>10</v>
      </c>
      <c r="ON27" s="75">
        <v>44</v>
      </c>
      <c r="OO27" s="75">
        <v>60</v>
      </c>
      <c r="OP27" s="75">
        <v>58</v>
      </c>
      <c r="OQ27" s="75">
        <v>56</v>
      </c>
      <c r="OR27" s="75">
        <v>50</v>
      </c>
      <c r="OS27" s="75">
        <v>64</v>
      </c>
      <c r="OT27" s="75">
        <v>12</v>
      </c>
      <c r="OU27" s="75">
        <v>67</v>
      </c>
      <c r="OV27" s="75">
        <v>68</v>
      </c>
      <c r="OW27" s="75">
        <v>58</v>
      </c>
      <c r="OX27" s="75">
        <v>58</v>
      </c>
      <c r="OY27" s="75">
        <v>68</v>
      </c>
      <c r="OZ27" s="75">
        <v>52</v>
      </c>
      <c r="PA27" s="75">
        <v>2</v>
      </c>
      <c r="PB27" s="75">
        <v>65</v>
      </c>
      <c r="PC27" s="75">
        <v>69</v>
      </c>
      <c r="PD27" s="75">
        <v>77</v>
      </c>
      <c r="PE27" s="75">
        <v>81</v>
      </c>
      <c r="PF27" s="75">
        <v>90</v>
      </c>
      <c r="PG27" s="75">
        <v>96</v>
      </c>
      <c r="PH27" s="75">
        <v>2</v>
      </c>
      <c r="PI27" s="75">
        <v>115</v>
      </c>
      <c r="PJ27" s="75">
        <v>118</v>
      </c>
      <c r="PK27" s="75">
        <v>125</v>
      </c>
      <c r="PL27" s="75">
        <v>124</v>
      </c>
      <c r="PM27" s="75">
        <v>130</v>
      </c>
      <c r="PN27" s="75">
        <v>133</v>
      </c>
      <c r="PO27" s="75">
        <v>10</v>
      </c>
      <c r="PP27" s="75">
        <v>147</v>
      </c>
      <c r="PQ27" s="75">
        <v>134</v>
      </c>
      <c r="PR27" s="75">
        <v>124</v>
      </c>
      <c r="PS27" s="75">
        <v>116</v>
      </c>
      <c r="PT27" s="75">
        <v>126</v>
      </c>
      <c r="PU27" s="75">
        <v>138</v>
      </c>
      <c r="PV27" s="75">
        <v>11</v>
      </c>
      <c r="PW27" s="75">
        <v>125</v>
      </c>
      <c r="PX27" s="75">
        <v>125</v>
      </c>
      <c r="PY27" s="75">
        <v>123</v>
      </c>
      <c r="PZ27" s="75">
        <v>113</v>
      </c>
      <c r="QA27" s="75">
        <v>122</v>
      </c>
      <c r="QB27" s="75">
        <v>129</v>
      </c>
      <c r="QC27" s="75">
        <v>0</v>
      </c>
      <c r="QD27" s="75">
        <v>148</v>
      </c>
      <c r="QE27" s="75">
        <v>144</v>
      </c>
      <c r="QF27" s="75">
        <v>152</v>
      </c>
      <c r="QG27" s="75">
        <v>153</v>
      </c>
      <c r="QH27" s="75">
        <v>155</v>
      </c>
      <c r="QI27" s="75">
        <v>161</v>
      </c>
      <c r="QJ27" s="75">
        <v>0</v>
      </c>
      <c r="QK27" s="75">
        <v>172</v>
      </c>
      <c r="QL27" s="75">
        <v>264</v>
      </c>
      <c r="QM27" s="75">
        <v>328</v>
      </c>
      <c r="QN27" s="75">
        <v>329</v>
      </c>
      <c r="QO27" s="75">
        <v>329</v>
      </c>
      <c r="QP27" s="75">
        <v>325</v>
      </c>
      <c r="QQ27" s="75">
        <v>0</v>
      </c>
      <c r="QR27" s="75">
        <v>312</v>
      </c>
      <c r="QS27" s="75">
        <v>288</v>
      </c>
      <c r="QT27" s="75">
        <v>283</v>
      </c>
      <c r="QU27" s="75">
        <v>291</v>
      </c>
      <c r="QV27" s="75">
        <v>295</v>
      </c>
      <c r="QW27" s="75">
        <v>297</v>
      </c>
      <c r="QX27" s="75">
        <v>0</v>
      </c>
      <c r="QY27" s="75">
        <v>306</v>
      </c>
      <c r="QZ27" s="75">
        <v>303</v>
      </c>
      <c r="RA27" s="75">
        <v>313</v>
      </c>
      <c r="RB27" s="75">
        <v>322</v>
      </c>
      <c r="RC27" s="75">
        <v>258</v>
      </c>
      <c r="RD27" s="75">
        <v>208</v>
      </c>
      <c r="RE27" s="75">
        <v>0</v>
      </c>
      <c r="RF27" s="75">
        <v>245</v>
      </c>
      <c r="RG27" s="75">
        <v>274</v>
      </c>
      <c r="RH27" s="75">
        <v>335</v>
      </c>
      <c r="RI27" s="75">
        <v>425</v>
      </c>
      <c r="RJ27" s="75">
        <v>445</v>
      </c>
      <c r="RK27" s="75">
        <v>557</v>
      </c>
      <c r="RL27" s="75">
        <v>0</v>
      </c>
      <c r="RM27" s="75">
        <v>579</v>
      </c>
      <c r="RN27" s="75">
        <v>584</v>
      </c>
      <c r="RO27" s="75">
        <v>560</v>
      </c>
      <c r="RP27" s="75">
        <v>530</v>
      </c>
      <c r="RQ27" s="75">
        <v>541</v>
      </c>
      <c r="RR27" s="75">
        <v>591</v>
      </c>
      <c r="RS27" s="75">
        <v>0</v>
      </c>
      <c r="RT27" s="75">
        <v>611</v>
      </c>
      <c r="RU27" s="75">
        <v>619</v>
      </c>
      <c r="RV27" s="75">
        <v>631</v>
      </c>
      <c r="RW27" s="75">
        <v>728</v>
      </c>
      <c r="RX27" s="75">
        <v>739</v>
      </c>
      <c r="RY27" s="75">
        <v>696</v>
      </c>
      <c r="RZ27" s="75">
        <v>0</v>
      </c>
      <c r="SA27" s="75">
        <v>623</v>
      </c>
      <c r="SB27" s="75">
        <v>621</v>
      </c>
      <c r="SC27" s="75">
        <v>508</v>
      </c>
      <c r="SD27" s="75">
        <v>468</v>
      </c>
      <c r="SE27" s="75">
        <v>458</v>
      </c>
      <c r="SF27" s="75">
        <v>475</v>
      </c>
      <c r="SG27" s="75">
        <v>0</v>
      </c>
      <c r="SH27" s="75">
        <v>451</v>
      </c>
      <c r="SI27" s="75">
        <v>448</v>
      </c>
      <c r="SJ27" s="75">
        <v>447</v>
      </c>
      <c r="SK27" s="75">
        <v>444</v>
      </c>
      <c r="SL27" s="75">
        <v>446</v>
      </c>
      <c r="SM27" s="75">
        <v>486</v>
      </c>
      <c r="SN27" s="75">
        <v>0</v>
      </c>
      <c r="SO27" s="75">
        <v>387</v>
      </c>
      <c r="SP27" s="75">
        <v>362</v>
      </c>
      <c r="SQ27" s="75">
        <v>364</v>
      </c>
      <c r="SR27" s="75">
        <v>357</v>
      </c>
      <c r="SS27" s="75">
        <v>367</v>
      </c>
      <c r="ST27" s="75">
        <v>367</v>
      </c>
      <c r="SU27" s="75">
        <v>0</v>
      </c>
      <c r="SV27" s="75">
        <v>381</v>
      </c>
      <c r="SW27" s="75">
        <v>423</v>
      </c>
      <c r="SX27" s="75">
        <v>407</v>
      </c>
      <c r="SY27" s="75">
        <v>399</v>
      </c>
      <c r="SZ27" s="75">
        <v>389</v>
      </c>
      <c r="TA27" s="75">
        <v>340</v>
      </c>
      <c r="TB27" s="75">
        <v>0</v>
      </c>
      <c r="TC27" s="75">
        <v>354</v>
      </c>
      <c r="TD27" s="75">
        <v>376</v>
      </c>
      <c r="TE27" s="75">
        <v>367</v>
      </c>
      <c r="TF27" s="75">
        <v>369</v>
      </c>
      <c r="TG27" s="75">
        <v>371</v>
      </c>
      <c r="TH27" s="75">
        <v>374</v>
      </c>
      <c r="TI27" s="75">
        <v>0</v>
      </c>
      <c r="TJ27" s="75">
        <v>385</v>
      </c>
      <c r="TK27" s="75">
        <v>386</v>
      </c>
      <c r="TL27" s="75">
        <v>417</v>
      </c>
      <c r="TM27" s="75">
        <v>451</v>
      </c>
      <c r="TN27" s="75">
        <v>405</v>
      </c>
      <c r="TO27" s="75">
        <v>389</v>
      </c>
      <c r="TP27" s="75">
        <v>0</v>
      </c>
      <c r="TQ27" s="75">
        <v>384</v>
      </c>
      <c r="TR27" s="75">
        <v>379</v>
      </c>
      <c r="TS27" s="75">
        <v>363</v>
      </c>
      <c r="TT27" s="75">
        <v>376</v>
      </c>
      <c r="TU27" s="75">
        <v>370</v>
      </c>
      <c r="TV27" s="75">
        <v>363</v>
      </c>
      <c r="TW27" s="75">
        <v>0</v>
      </c>
      <c r="TX27" s="75">
        <v>385</v>
      </c>
      <c r="TY27" s="75">
        <v>415</v>
      </c>
      <c r="TZ27" s="75">
        <v>432</v>
      </c>
      <c r="UA27" s="75">
        <v>464</v>
      </c>
      <c r="UB27" s="75">
        <v>468</v>
      </c>
      <c r="UC27" s="75">
        <v>464</v>
      </c>
      <c r="UD27" s="75">
        <v>0</v>
      </c>
      <c r="UE27" s="75">
        <v>446</v>
      </c>
      <c r="UF27" s="75">
        <v>440</v>
      </c>
      <c r="UG27" s="75">
        <v>459</v>
      </c>
      <c r="UH27" s="75">
        <v>479</v>
      </c>
      <c r="UI27" s="75">
        <v>507</v>
      </c>
      <c r="UJ27" s="75">
        <v>500</v>
      </c>
      <c r="UK27" s="75">
        <v>0</v>
      </c>
      <c r="UL27" s="75">
        <v>480</v>
      </c>
      <c r="UM27" s="75">
        <v>454</v>
      </c>
      <c r="UN27" s="75">
        <v>462</v>
      </c>
      <c r="UO27" s="75">
        <v>442</v>
      </c>
      <c r="UP27" s="75">
        <v>439</v>
      </c>
      <c r="UQ27" s="75">
        <v>426</v>
      </c>
      <c r="UR27" s="75">
        <v>0</v>
      </c>
      <c r="US27" s="75">
        <v>427</v>
      </c>
      <c r="UT27" s="75">
        <v>424</v>
      </c>
      <c r="UU27" s="75">
        <v>398</v>
      </c>
      <c r="UV27" s="75">
        <v>375</v>
      </c>
      <c r="UW27" s="75">
        <v>371</v>
      </c>
      <c r="UX27" s="75">
        <v>347</v>
      </c>
      <c r="UY27" s="75">
        <v>0</v>
      </c>
      <c r="UZ27" s="75">
        <v>336</v>
      </c>
      <c r="VA27" s="75">
        <v>298</v>
      </c>
      <c r="VB27" s="75">
        <v>281</v>
      </c>
      <c r="VC27" s="75">
        <v>245</v>
      </c>
      <c r="VD27" s="75">
        <v>226</v>
      </c>
      <c r="VE27" s="75">
        <v>181</v>
      </c>
      <c r="VF27" s="75">
        <v>0</v>
      </c>
      <c r="VG27" s="75">
        <v>165</v>
      </c>
      <c r="VH27" s="75">
        <v>98</v>
      </c>
      <c r="VI27" s="75">
        <v>98</v>
      </c>
      <c r="VJ27" s="75">
        <v>98</v>
      </c>
      <c r="VK27" s="75">
        <v>99</v>
      </c>
      <c r="VL27" s="75">
        <v>103</v>
      </c>
      <c r="VM27" s="75">
        <v>0</v>
      </c>
      <c r="VN27" s="75">
        <v>141</v>
      </c>
      <c r="VO27" s="75">
        <v>144</v>
      </c>
      <c r="VP27" s="75">
        <v>165</v>
      </c>
      <c r="VQ27" s="75">
        <v>169</v>
      </c>
      <c r="VR27" s="75">
        <v>183</v>
      </c>
      <c r="VS27" s="75">
        <v>175</v>
      </c>
      <c r="VT27" s="75">
        <v>0</v>
      </c>
      <c r="VU27" s="75">
        <v>176</v>
      </c>
      <c r="VV27" s="75">
        <v>185</v>
      </c>
      <c r="VW27" s="75">
        <v>189</v>
      </c>
      <c r="VX27" s="75">
        <v>211</v>
      </c>
      <c r="VY27" s="75">
        <v>217</v>
      </c>
      <c r="VZ27" s="75">
        <v>199</v>
      </c>
      <c r="WA27" s="75">
        <v>0</v>
      </c>
      <c r="WB27" s="75">
        <v>141</v>
      </c>
      <c r="WC27" s="75">
        <v>148</v>
      </c>
      <c r="WD27" s="75">
        <v>140</v>
      </c>
      <c r="WE27" s="75">
        <v>110</v>
      </c>
      <c r="WF27" s="75">
        <v>117</v>
      </c>
      <c r="WG27" s="75">
        <v>152</v>
      </c>
      <c r="WH27" s="75">
        <v>0</v>
      </c>
      <c r="WI27" s="75">
        <v>162</v>
      </c>
      <c r="WJ27" s="75">
        <v>150</v>
      </c>
      <c r="WK27" s="75">
        <v>180</v>
      </c>
      <c r="WL27" s="75">
        <v>179</v>
      </c>
      <c r="WM27" s="75">
        <v>170</v>
      </c>
      <c r="WN27" s="75">
        <v>166</v>
      </c>
      <c r="WO27" s="75">
        <v>0</v>
      </c>
      <c r="WP27" s="75">
        <v>144</v>
      </c>
      <c r="WQ27" s="75">
        <v>140</v>
      </c>
      <c r="WR27" s="75">
        <v>158</v>
      </c>
      <c r="WS27" s="75">
        <v>137</v>
      </c>
      <c r="WT27" s="75">
        <v>140</v>
      </c>
      <c r="WU27" s="75">
        <v>140</v>
      </c>
      <c r="WV27" s="75">
        <v>0</v>
      </c>
      <c r="WW27" s="75">
        <v>130</v>
      </c>
      <c r="WX27" s="75">
        <v>122</v>
      </c>
      <c r="WY27" s="75">
        <v>90</v>
      </c>
      <c r="WZ27" s="75">
        <v>90</v>
      </c>
      <c r="XA27" s="75">
        <v>90</v>
      </c>
      <c r="XB27" s="75">
        <v>50</v>
      </c>
      <c r="XC27" s="75">
        <v>0</v>
      </c>
      <c r="XD27" s="75">
        <v>30</v>
      </c>
      <c r="XE27" s="75">
        <v>30</v>
      </c>
      <c r="XF27" s="75">
        <v>30</v>
      </c>
      <c r="XG27" s="75">
        <v>30</v>
      </c>
      <c r="XH27" s="75">
        <v>30</v>
      </c>
      <c r="XI27" s="75">
        <v>0</v>
      </c>
      <c r="XJ27" s="75">
        <v>0</v>
      </c>
      <c r="XK27" s="75">
        <v>0</v>
      </c>
      <c r="XL27" s="75">
        <v>0</v>
      </c>
      <c r="XM27" s="75">
        <v>0</v>
      </c>
      <c r="XN27" s="75">
        <v>30</v>
      </c>
      <c r="XO27" s="75">
        <v>30</v>
      </c>
      <c r="XP27" s="75">
        <v>0</v>
      </c>
      <c r="XQ27" s="75">
        <v>0</v>
      </c>
      <c r="XR27" s="75">
        <v>0</v>
      </c>
      <c r="XS27" s="75">
        <v>0</v>
      </c>
      <c r="XT27" s="75">
        <v>0</v>
      </c>
      <c r="XU27" s="75">
        <v>0</v>
      </c>
      <c r="XV27" s="75">
        <v>0</v>
      </c>
      <c r="XW27" s="75">
        <v>0</v>
      </c>
      <c r="XX27" s="75">
        <v>0</v>
      </c>
      <c r="XY27" s="75">
        <v>0</v>
      </c>
      <c r="XZ27" s="75">
        <v>0</v>
      </c>
      <c r="YA27" s="75">
        <v>0</v>
      </c>
      <c r="YB27" s="75">
        <v>0</v>
      </c>
      <c r="YC27" s="75">
        <v>0</v>
      </c>
      <c r="YD27" s="75">
        <v>0</v>
      </c>
      <c r="YE27" s="75">
        <v>0</v>
      </c>
      <c r="YF27" s="75">
        <v>0</v>
      </c>
      <c r="YG27" s="75">
        <v>0</v>
      </c>
      <c r="YH27" s="75">
        <v>0</v>
      </c>
      <c r="YI27" s="75">
        <v>0</v>
      </c>
      <c r="YJ27" s="75">
        <v>0</v>
      </c>
      <c r="YK27" s="75">
        <v>0</v>
      </c>
      <c r="YL27" s="75">
        <v>0</v>
      </c>
      <c r="YM27" s="75">
        <v>0</v>
      </c>
      <c r="YN27" s="75">
        <v>0</v>
      </c>
      <c r="YO27" s="75">
        <v>0</v>
      </c>
      <c r="YP27" s="75">
        <v>0</v>
      </c>
      <c r="YQ27" s="75">
        <v>0</v>
      </c>
      <c r="YR27" s="75">
        <v>0</v>
      </c>
      <c r="YS27" s="75">
        <v>0</v>
      </c>
      <c r="YT27" s="75">
        <v>0</v>
      </c>
      <c r="YU27" s="75">
        <v>0</v>
      </c>
      <c r="YV27" s="75">
        <v>0</v>
      </c>
      <c r="YW27" s="75">
        <v>0</v>
      </c>
      <c r="YX27" s="75">
        <v>0</v>
      </c>
      <c r="YY27" s="75">
        <v>0</v>
      </c>
      <c r="YZ27" s="75">
        <v>0</v>
      </c>
      <c r="ZA27" s="75">
        <v>0</v>
      </c>
      <c r="ZB27" s="75">
        <v>0</v>
      </c>
      <c r="ZC27" s="75">
        <v>0</v>
      </c>
      <c r="ZD27" s="75">
        <v>0</v>
      </c>
      <c r="ZE27" s="75">
        <v>0</v>
      </c>
      <c r="ZF27" s="75">
        <v>0</v>
      </c>
      <c r="ZG27" s="75">
        <v>0</v>
      </c>
      <c r="ZH27" s="75">
        <v>0</v>
      </c>
      <c r="ZI27" s="75">
        <v>0</v>
      </c>
      <c r="ZJ27" s="75">
        <v>0</v>
      </c>
      <c r="ZK27" s="75">
        <v>0</v>
      </c>
      <c r="ZL27" s="75">
        <v>0</v>
      </c>
      <c r="ZM27" s="75">
        <v>0</v>
      </c>
      <c r="ZN27" s="75">
        <v>0</v>
      </c>
      <c r="ZO27" s="75">
        <v>0</v>
      </c>
      <c r="ZP27" s="75">
        <v>0</v>
      </c>
      <c r="ZQ27" s="75">
        <v>0</v>
      </c>
      <c r="ZR27" s="75">
        <v>0</v>
      </c>
      <c r="ZS27" s="75">
        <v>0</v>
      </c>
      <c r="ZT27" s="75">
        <v>0</v>
      </c>
      <c r="ZU27" s="75">
        <v>0</v>
      </c>
      <c r="ZV27" s="75">
        <v>0</v>
      </c>
      <c r="ZW27" s="75">
        <v>0</v>
      </c>
      <c r="ZX27" s="75">
        <v>0</v>
      </c>
      <c r="ZY27" s="75">
        <v>0</v>
      </c>
      <c r="ZZ27" s="75">
        <v>0</v>
      </c>
      <c r="AAA27" s="75">
        <v>0</v>
      </c>
      <c r="AAB27" s="75">
        <v>0</v>
      </c>
      <c r="AAC27" s="75">
        <v>0</v>
      </c>
      <c r="AAD27" s="75">
        <v>0</v>
      </c>
      <c r="AAE27" s="75">
        <v>0</v>
      </c>
      <c r="AAF27" s="75">
        <v>0</v>
      </c>
      <c r="AAG27" s="75">
        <v>0</v>
      </c>
      <c r="AAH27" s="75">
        <v>0</v>
      </c>
      <c r="AAI27" s="75">
        <v>0</v>
      </c>
      <c r="AAJ27" s="75">
        <v>0</v>
      </c>
      <c r="AAK27" s="75">
        <v>0</v>
      </c>
      <c r="AAL27" s="75">
        <v>0</v>
      </c>
      <c r="AAM27" s="75">
        <v>0</v>
      </c>
      <c r="AAN27" s="75">
        <v>0</v>
      </c>
      <c r="AAO27" s="75">
        <v>0</v>
      </c>
      <c r="AAP27" s="75">
        <v>0</v>
      </c>
      <c r="AAQ27" s="75">
        <v>0</v>
      </c>
      <c r="AAR27" s="75">
        <v>0</v>
      </c>
      <c r="AAS27" s="75">
        <v>0</v>
      </c>
      <c r="AAT27" s="75">
        <v>0</v>
      </c>
      <c r="AAU27" s="75">
        <v>0</v>
      </c>
      <c r="AAV27" s="75">
        <v>0</v>
      </c>
      <c r="AAW27" s="75">
        <v>0</v>
      </c>
      <c r="AAX27" s="75">
        <v>0</v>
      </c>
      <c r="AAY27" s="75">
        <v>0</v>
      </c>
      <c r="AAZ27" s="75">
        <v>0</v>
      </c>
      <c r="ABA27" s="75">
        <v>0</v>
      </c>
      <c r="ABB27" s="75">
        <v>0</v>
      </c>
      <c r="ABC27" s="75">
        <v>0</v>
      </c>
    </row>
    <row r="28" spans="1:731">
      <c r="A28" s="75" t="s">
        <v>65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75"/>
      <c r="BI28" s="75"/>
      <c r="BJ28" s="75"/>
      <c r="BK28" s="75"/>
      <c r="BL28" s="75"/>
      <c r="BM28" s="75"/>
      <c r="BN28" s="75"/>
      <c r="BO28" s="75"/>
      <c r="BP28" s="75"/>
      <c r="BQ28" s="75"/>
      <c r="BR28" s="75"/>
      <c r="BS28" s="75"/>
      <c r="BT28" s="75"/>
      <c r="BU28" s="75"/>
      <c r="BV28" s="75"/>
      <c r="BW28" s="75"/>
      <c r="BX28" s="75"/>
      <c r="BY28" s="75"/>
      <c r="BZ28" s="75"/>
      <c r="CA28" s="75"/>
      <c r="CB28" s="75"/>
      <c r="CC28" s="75"/>
      <c r="CD28" s="75"/>
      <c r="CE28" s="75"/>
      <c r="CF28" s="75"/>
      <c r="CG28" s="75"/>
      <c r="CH28" s="75"/>
      <c r="CI28" s="75"/>
      <c r="CJ28" s="75"/>
      <c r="CK28" s="75"/>
      <c r="CL28" s="75"/>
      <c r="CM28" s="75"/>
      <c r="CN28" s="75"/>
      <c r="CO28" s="75"/>
      <c r="CP28" s="75"/>
      <c r="CQ28" s="75"/>
      <c r="CR28" s="75"/>
      <c r="CS28" s="75"/>
      <c r="CT28" s="75"/>
      <c r="CU28" s="75"/>
      <c r="CV28" s="75"/>
      <c r="CW28" s="75"/>
      <c r="CX28" s="75"/>
      <c r="CY28" s="75"/>
      <c r="CZ28" s="75"/>
      <c r="DA28" s="75"/>
      <c r="DB28" s="75"/>
      <c r="DC28" s="75"/>
      <c r="DD28" s="75"/>
      <c r="DE28" s="75"/>
      <c r="DF28" s="75"/>
      <c r="DG28" s="75"/>
      <c r="DH28" s="75"/>
      <c r="DI28" s="75"/>
      <c r="DJ28" s="75"/>
      <c r="DK28" s="75"/>
      <c r="DL28" s="75"/>
      <c r="DM28" s="75"/>
      <c r="DN28" s="75"/>
      <c r="DO28" s="75"/>
      <c r="DP28" s="75"/>
      <c r="DQ28" s="75"/>
      <c r="DR28" s="75"/>
      <c r="DS28" s="75"/>
      <c r="DT28" s="75"/>
      <c r="DU28" s="75"/>
      <c r="DV28" s="75"/>
      <c r="DW28" s="75"/>
      <c r="DX28" s="75"/>
      <c r="DY28" s="75"/>
      <c r="DZ28" s="75"/>
      <c r="EA28" s="75"/>
      <c r="EB28" s="75"/>
      <c r="EC28" s="75"/>
      <c r="ED28" s="75"/>
      <c r="EE28" s="75"/>
      <c r="EF28" s="75"/>
      <c r="EG28" s="75"/>
      <c r="EH28" s="75"/>
      <c r="EI28" s="75"/>
      <c r="EJ28" s="75"/>
      <c r="EK28" s="75"/>
      <c r="EL28" s="75"/>
      <c r="EM28" s="75"/>
      <c r="EN28" s="75"/>
      <c r="EO28" s="75"/>
      <c r="EP28" s="75"/>
      <c r="EQ28" s="75"/>
      <c r="ER28" s="75"/>
      <c r="ES28" s="75"/>
      <c r="ET28" s="75"/>
      <c r="EU28" s="75"/>
      <c r="EV28" s="75"/>
      <c r="EW28" s="75"/>
      <c r="EX28" s="75"/>
      <c r="EY28" s="75"/>
      <c r="EZ28" s="75"/>
      <c r="FA28" s="75"/>
      <c r="FB28" s="75"/>
      <c r="FC28" s="75"/>
      <c r="FD28" s="75"/>
      <c r="FE28" s="75"/>
      <c r="FF28" s="75"/>
      <c r="FG28" s="75"/>
      <c r="FH28" s="75"/>
      <c r="FI28" s="75"/>
      <c r="FJ28" s="75"/>
      <c r="FK28" s="75"/>
      <c r="FL28" s="75"/>
      <c r="FM28" s="75"/>
      <c r="FN28" s="75"/>
      <c r="FO28" s="75"/>
      <c r="FP28" s="75"/>
      <c r="FQ28" s="75"/>
      <c r="FR28" s="75"/>
      <c r="FS28" s="75"/>
      <c r="FT28" s="75"/>
      <c r="FU28" s="75"/>
      <c r="FV28" s="75"/>
      <c r="FW28" s="75"/>
      <c r="FX28" s="75"/>
      <c r="FY28" s="75"/>
      <c r="FZ28" s="75"/>
      <c r="GA28" s="75"/>
      <c r="GB28" s="75"/>
      <c r="GC28" s="75"/>
      <c r="GD28" s="75"/>
      <c r="GE28" s="75"/>
      <c r="GF28" s="75"/>
      <c r="GG28" s="75"/>
      <c r="GH28" s="75"/>
      <c r="GI28" s="75"/>
      <c r="GJ28" s="75"/>
      <c r="GK28" s="75"/>
      <c r="GL28" s="75"/>
      <c r="GM28" s="75"/>
      <c r="GN28" s="75"/>
      <c r="GO28" s="75"/>
      <c r="GP28" s="75"/>
      <c r="GQ28" s="75">
        <v>0</v>
      </c>
      <c r="GR28" s="75"/>
      <c r="GS28" s="75">
        <v>4</v>
      </c>
      <c r="GT28" s="75">
        <v>4</v>
      </c>
      <c r="GU28" s="75">
        <v>4</v>
      </c>
      <c r="GV28" s="75">
        <v>4</v>
      </c>
      <c r="GW28" s="75">
        <v>4</v>
      </c>
      <c r="GX28" s="75">
        <v>4</v>
      </c>
      <c r="GY28" s="75"/>
      <c r="GZ28" s="75">
        <v>4</v>
      </c>
      <c r="HA28" s="75">
        <v>4</v>
      </c>
      <c r="HB28" s="75">
        <v>4</v>
      </c>
      <c r="HC28" s="75">
        <v>4</v>
      </c>
      <c r="HD28" s="75">
        <v>4</v>
      </c>
      <c r="HE28" s="75">
        <v>4</v>
      </c>
      <c r="HF28" s="75"/>
      <c r="HG28" s="75">
        <v>4</v>
      </c>
      <c r="HH28" s="75">
        <v>4</v>
      </c>
      <c r="HI28" s="75">
        <v>2</v>
      </c>
      <c r="HJ28" s="75">
        <v>5</v>
      </c>
      <c r="HK28" s="75">
        <v>5</v>
      </c>
      <c r="HL28" s="75">
        <v>5</v>
      </c>
      <c r="HM28" s="75"/>
      <c r="HN28" s="75">
        <v>5</v>
      </c>
      <c r="HO28" s="75">
        <v>5</v>
      </c>
      <c r="HP28" s="75">
        <v>5</v>
      </c>
      <c r="HQ28" s="75">
        <v>5</v>
      </c>
      <c r="HR28" s="75">
        <v>4</v>
      </c>
      <c r="HS28" s="75">
        <v>4</v>
      </c>
      <c r="HT28" s="75"/>
      <c r="HU28" s="75">
        <v>4</v>
      </c>
      <c r="HV28" s="75">
        <v>4</v>
      </c>
      <c r="HW28" s="75">
        <v>5</v>
      </c>
      <c r="HX28" s="75">
        <v>9</v>
      </c>
      <c r="HY28" s="75">
        <v>9</v>
      </c>
      <c r="HZ28" s="75">
        <v>10</v>
      </c>
      <c r="IA28" s="75"/>
      <c r="IB28" s="75">
        <v>14</v>
      </c>
      <c r="IC28" s="75">
        <v>14</v>
      </c>
      <c r="ID28" s="75">
        <v>14</v>
      </c>
      <c r="IE28" s="75">
        <v>14</v>
      </c>
      <c r="IF28" s="75">
        <v>14</v>
      </c>
      <c r="IG28" s="75">
        <v>14</v>
      </c>
      <c r="IH28" s="75"/>
      <c r="II28" s="75">
        <v>13</v>
      </c>
      <c r="IJ28" s="75">
        <v>10</v>
      </c>
      <c r="IK28" s="75">
        <v>10</v>
      </c>
      <c r="IL28" s="75">
        <v>10</v>
      </c>
      <c r="IM28" s="75">
        <v>10</v>
      </c>
      <c r="IN28" s="75">
        <v>10</v>
      </c>
      <c r="IO28" s="75"/>
      <c r="IP28" s="75">
        <v>5</v>
      </c>
      <c r="IQ28" s="75">
        <v>5</v>
      </c>
      <c r="IR28" s="75">
        <v>4</v>
      </c>
      <c r="IS28" s="75"/>
      <c r="IT28" s="75"/>
      <c r="IU28" s="75"/>
      <c r="IV28" s="75"/>
      <c r="IW28" s="75"/>
      <c r="IX28" s="75"/>
      <c r="IY28" s="75"/>
      <c r="IZ28" s="75"/>
      <c r="JA28" s="75"/>
      <c r="JB28" s="75"/>
      <c r="JC28" s="75"/>
      <c r="JD28" s="75"/>
      <c r="JE28" s="75"/>
      <c r="JF28" s="75"/>
      <c r="JG28" s="75"/>
      <c r="JH28" s="75"/>
      <c r="JI28" s="75"/>
      <c r="JJ28" s="75"/>
      <c r="JK28" s="75"/>
      <c r="JL28" s="75"/>
      <c r="JM28" s="75"/>
      <c r="JN28" s="75"/>
      <c r="JO28" s="75"/>
      <c r="JP28" s="75"/>
      <c r="JQ28" s="75"/>
      <c r="JR28" s="75"/>
      <c r="JS28" s="75"/>
      <c r="JT28" s="75"/>
      <c r="JU28" s="75"/>
      <c r="JV28" s="75"/>
      <c r="JW28" s="75"/>
      <c r="JX28" s="75"/>
      <c r="JY28" s="75"/>
      <c r="JZ28" s="75"/>
      <c r="KA28" s="75"/>
      <c r="KB28" s="75"/>
      <c r="KC28" s="75"/>
      <c r="KD28" s="75"/>
      <c r="KE28" s="75"/>
      <c r="KF28" s="75"/>
      <c r="KG28" s="75"/>
      <c r="KH28" s="75"/>
      <c r="KI28" s="75"/>
      <c r="KJ28" s="75"/>
      <c r="KK28" s="75"/>
      <c r="KL28" s="75"/>
      <c r="KM28" s="75"/>
      <c r="KN28" s="75"/>
      <c r="KO28" s="75"/>
      <c r="KP28" s="75"/>
      <c r="KQ28" s="75"/>
      <c r="KR28" s="75"/>
      <c r="KS28" s="75"/>
      <c r="KT28" s="75"/>
      <c r="KU28" s="75"/>
      <c r="KV28" s="75"/>
      <c r="KW28" s="75"/>
      <c r="KX28" s="75"/>
      <c r="KY28" s="75"/>
      <c r="KZ28" s="75"/>
      <c r="LA28" s="75"/>
      <c r="LB28" s="75"/>
      <c r="LC28" s="75"/>
      <c r="LD28" s="75"/>
      <c r="LE28" s="75"/>
      <c r="LF28" s="75"/>
      <c r="LG28" s="75"/>
      <c r="LH28" s="75"/>
      <c r="LI28" s="75">
        <v>5</v>
      </c>
      <c r="LJ28" s="75">
        <v>6</v>
      </c>
      <c r="LK28" s="75">
        <v>6</v>
      </c>
      <c r="LL28" s="75">
        <v>6</v>
      </c>
      <c r="LM28" s="75">
        <v>6</v>
      </c>
      <c r="LN28" s="75"/>
      <c r="LO28" s="75">
        <v>6</v>
      </c>
      <c r="LP28" s="75">
        <v>12</v>
      </c>
      <c r="LQ28" s="75">
        <v>12</v>
      </c>
      <c r="LR28" s="75">
        <v>12</v>
      </c>
      <c r="LS28" s="75">
        <v>12</v>
      </c>
      <c r="LT28" s="75">
        <v>12</v>
      </c>
      <c r="LU28" s="75"/>
      <c r="LV28" s="75">
        <v>12</v>
      </c>
      <c r="LW28" s="75">
        <v>12</v>
      </c>
      <c r="LX28" s="75">
        <v>12</v>
      </c>
      <c r="LY28" s="75">
        <v>12</v>
      </c>
      <c r="LZ28" s="75">
        <v>7</v>
      </c>
      <c r="MA28" s="75">
        <v>6</v>
      </c>
      <c r="MB28" s="75"/>
      <c r="MC28" s="75">
        <v>6</v>
      </c>
      <c r="MD28" s="75">
        <v>6</v>
      </c>
      <c r="ME28" s="75">
        <v>6</v>
      </c>
      <c r="MF28" s="75">
        <v>6</v>
      </c>
      <c r="MG28" s="75"/>
      <c r="MH28" s="75"/>
      <c r="MI28" s="75"/>
      <c r="MJ28" s="75"/>
      <c r="MK28" s="75"/>
      <c r="ML28" s="75"/>
      <c r="MM28" s="75">
        <v>6</v>
      </c>
      <c r="MN28" s="75">
        <v>6</v>
      </c>
      <c r="MO28" s="75">
        <v>6</v>
      </c>
      <c r="MP28" s="75"/>
      <c r="MQ28" s="75">
        <v>6</v>
      </c>
      <c r="MR28" s="75">
        <v>12</v>
      </c>
      <c r="MS28" s="75">
        <v>12</v>
      </c>
      <c r="MT28" s="75">
        <v>12</v>
      </c>
      <c r="MU28" s="75">
        <v>17</v>
      </c>
      <c r="MV28" s="75">
        <v>22</v>
      </c>
      <c r="MW28" s="75"/>
      <c r="MX28" s="75">
        <v>23</v>
      </c>
      <c r="MY28" s="75">
        <v>21</v>
      </c>
      <c r="MZ28" s="75">
        <v>21</v>
      </c>
      <c r="NA28" s="75">
        <v>26</v>
      </c>
      <c r="NB28" s="75">
        <v>31</v>
      </c>
      <c r="NC28" s="75">
        <v>25</v>
      </c>
      <c r="ND28" s="75"/>
      <c r="NE28" s="75">
        <v>25</v>
      </c>
      <c r="NF28" s="75">
        <v>35</v>
      </c>
      <c r="NG28" s="75">
        <v>35</v>
      </c>
      <c r="NH28" s="75">
        <v>55</v>
      </c>
      <c r="NI28" s="75">
        <v>74</v>
      </c>
      <c r="NJ28" s="75">
        <v>73</v>
      </c>
      <c r="NK28" s="75"/>
      <c r="NL28" s="75">
        <v>85</v>
      </c>
      <c r="NM28" s="75">
        <v>85</v>
      </c>
      <c r="NN28" s="75">
        <v>85</v>
      </c>
      <c r="NO28" s="75">
        <v>85</v>
      </c>
      <c r="NP28" s="75">
        <v>85</v>
      </c>
      <c r="NQ28" s="75">
        <v>85</v>
      </c>
      <c r="NR28" s="75"/>
      <c r="NS28" s="75">
        <v>85</v>
      </c>
      <c r="NT28" s="75">
        <v>84</v>
      </c>
      <c r="NU28" s="75">
        <v>84</v>
      </c>
      <c r="NV28" s="75">
        <v>84</v>
      </c>
      <c r="NW28" s="75">
        <v>78</v>
      </c>
      <c r="NX28" s="75">
        <v>82</v>
      </c>
      <c r="NY28" s="75"/>
      <c r="NZ28" s="75">
        <v>62</v>
      </c>
      <c r="OA28" s="75">
        <v>42</v>
      </c>
      <c r="OB28" s="75">
        <v>52</v>
      </c>
      <c r="OC28" s="75">
        <v>59</v>
      </c>
      <c r="OD28" s="75">
        <v>54</v>
      </c>
      <c r="OE28" s="75">
        <v>50</v>
      </c>
      <c r="OF28" s="75"/>
      <c r="OG28" s="75">
        <v>50</v>
      </c>
      <c r="OH28" s="75">
        <v>53</v>
      </c>
      <c r="OI28" s="75">
        <v>60</v>
      </c>
      <c r="OJ28" s="75">
        <v>56</v>
      </c>
      <c r="OK28" s="75">
        <v>56</v>
      </c>
      <c r="OL28" s="75">
        <v>56</v>
      </c>
      <c r="OM28" s="75"/>
      <c r="ON28" s="75">
        <v>46</v>
      </c>
      <c r="OO28" s="75">
        <v>37</v>
      </c>
      <c r="OP28" s="75">
        <v>37</v>
      </c>
      <c r="OQ28" s="75">
        <v>37</v>
      </c>
      <c r="OR28" s="75">
        <v>43</v>
      </c>
      <c r="OS28" s="75">
        <v>49</v>
      </c>
      <c r="OT28" s="75"/>
      <c r="OU28" s="75">
        <v>61</v>
      </c>
      <c r="OV28" s="75">
        <v>61</v>
      </c>
      <c r="OW28" s="75">
        <v>61</v>
      </c>
      <c r="OX28" s="75">
        <v>64</v>
      </c>
      <c r="OY28" s="75">
        <v>73</v>
      </c>
      <c r="OZ28" s="75">
        <v>66</v>
      </c>
      <c r="PA28" s="75"/>
      <c r="PB28" s="75">
        <v>64</v>
      </c>
      <c r="PC28" s="75">
        <v>69</v>
      </c>
      <c r="PD28" s="75">
        <v>88</v>
      </c>
      <c r="PE28" s="75">
        <v>114</v>
      </c>
      <c r="PF28" s="75">
        <v>136</v>
      </c>
      <c r="PG28" s="75">
        <v>154</v>
      </c>
      <c r="PH28" s="75"/>
      <c r="PI28" s="75">
        <v>174</v>
      </c>
      <c r="PJ28" s="75">
        <v>190</v>
      </c>
      <c r="PK28" s="75">
        <v>190</v>
      </c>
      <c r="PL28" s="75">
        <v>200</v>
      </c>
      <c r="PM28" s="75">
        <v>202</v>
      </c>
      <c r="PN28" s="75">
        <v>205</v>
      </c>
      <c r="PO28" s="75"/>
      <c r="PP28" s="75">
        <v>209</v>
      </c>
      <c r="PQ28" s="75">
        <v>215</v>
      </c>
      <c r="PR28" s="75">
        <v>241</v>
      </c>
      <c r="PS28" s="75">
        <v>227</v>
      </c>
      <c r="PT28" s="75">
        <v>246</v>
      </c>
      <c r="PU28" s="75">
        <v>281</v>
      </c>
      <c r="PV28" s="75"/>
      <c r="PW28" s="75">
        <v>275</v>
      </c>
      <c r="PX28" s="75">
        <v>275</v>
      </c>
      <c r="PY28" s="75">
        <v>275</v>
      </c>
      <c r="PZ28" s="75">
        <v>268</v>
      </c>
      <c r="QA28" s="75">
        <v>270</v>
      </c>
      <c r="QB28" s="75">
        <v>268</v>
      </c>
      <c r="QC28" s="75"/>
      <c r="QD28" s="75">
        <v>282</v>
      </c>
      <c r="QE28" s="75">
        <v>295</v>
      </c>
      <c r="QF28" s="75">
        <v>299</v>
      </c>
      <c r="QG28" s="75">
        <v>296</v>
      </c>
      <c r="QH28" s="75">
        <v>305</v>
      </c>
      <c r="QI28" s="75">
        <v>307</v>
      </c>
      <c r="QJ28" s="75"/>
      <c r="QK28" s="75">
        <v>294</v>
      </c>
      <c r="QL28" s="75">
        <v>300</v>
      </c>
      <c r="QM28" s="75">
        <v>292</v>
      </c>
      <c r="QN28" s="75">
        <v>324</v>
      </c>
      <c r="QO28" s="75">
        <v>296</v>
      </c>
      <c r="QP28" s="75">
        <v>281</v>
      </c>
      <c r="QQ28" s="75"/>
      <c r="QR28" s="75">
        <v>273</v>
      </c>
      <c r="QS28" s="75">
        <v>273</v>
      </c>
      <c r="QT28" s="75">
        <v>282</v>
      </c>
      <c r="QU28" s="75">
        <v>281</v>
      </c>
      <c r="QV28" s="75">
        <v>288</v>
      </c>
      <c r="QW28" s="75">
        <v>287</v>
      </c>
      <c r="QX28" s="75"/>
      <c r="QY28" s="75">
        <v>276</v>
      </c>
      <c r="QZ28" s="75">
        <v>283</v>
      </c>
      <c r="RA28" s="75">
        <v>265</v>
      </c>
      <c r="RB28" s="75">
        <v>265</v>
      </c>
      <c r="RC28" s="75">
        <v>247</v>
      </c>
      <c r="RD28" s="75">
        <v>216</v>
      </c>
      <c r="RE28" s="75"/>
      <c r="RF28" s="75">
        <v>194</v>
      </c>
      <c r="RG28" s="75">
        <v>186</v>
      </c>
      <c r="RH28" s="75">
        <v>172</v>
      </c>
      <c r="RI28" s="75">
        <v>161</v>
      </c>
      <c r="RJ28" s="75">
        <v>170</v>
      </c>
      <c r="RK28" s="75">
        <v>141</v>
      </c>
      <c r="RL28" s="75"/>
      <c r="RM28" s="75">
        <v>165</v>
      </c>
      <c r="RN28" s="75">
        <v>199</v>
      </c>
      <c r="RO28" s="75">
        <v>209</v>
      </c>
      <c r="RP28" s="75">
        <v>213</v>
      </c>
      <c r="RQ28" s="75">
        <v>201</v>
      </c>
      <c r="RR28" s="75">
        <v>218</v>
      </c>
      <c r="RS28" s="75"/>
      <c r="RT28" s="75">
        <v>240</v>
      </c>
      <c r="RU28" s="75">
        <v>234</v>
      </c>
      <c r="RV28" s="75">
        <v>241</v>
      </c>
      <c r="RW28" s="75">
        <v>221</v>
      </c>
      <c r="RX28" s="75">
        <v>213</v>
      </c>
      <c r="RY28" s="75">
        <v>219</v>
      </c>
      <c r="RZ28" s="75"/>
      <c r="SA28" s="75">
        <v>264</v>
      </c>
      <c r="SB28" s="75">
        <v>282</v>
      </c>
      <c r="SC28" s="75">
        <v>297</v>
      </c>
      <c r="SD28" s="75">
        <v>293</v>
      </c>
      <c r="SE28" s="75">
        <v>295</v>
      </c>
      <c r="SF28" s="75">
        <v>302</v>
      </c>
      <c r="SG28" s="75"/>
      <c r="SH28" s="75">
        <v>304</v>
      </c>
      <c r="SI28" s="75">
        <v>312</v>
      </c>
      <c r="SJ28" s="75">
        <v>317</v>
      </c>
      <c r="SK28" s="75">
        <v>314</v>
      </c>
      <c r="SL28" s="75">
        <v>306</v>
      </c>
      <c r="SM28" s="75">
        <v>264</v>
      </c>
      <c r="SN28" s="75"/>
      <c r="SO28" s="75">
        <v>264</v>
      </c>
      <c r="SP28" s="75">
        <v>286</v>
      </c>
      <c r="SQ28" s="75">
        <v>314</v>
      </c>
      <c r="SR28" s="75">
        <v>269</v>
      </c>
      <c r="SS28" s="75">
        <v>284</v>
      </c>
      <c r="ST28" s="75">
        <v>286</v>
      </c>
      <c r="SU28" s="75"/>
      <c r="SV28" s="75">
        <v>295</v>
      </c>
      <c r="SW28" s="75">
        <v>283</v>
      </c>
      <c r="SX28" s="75">
        <v>291</v>
      </c>
      <c r="SY28" s="75">
        <v>316</v>
      </c>
      <c r="SZ28" s="75">
        <v>325</v>
      </c>
      <c r="TA28" s="75">
        <v>318</v>
      </c>
      <c r="TB28" s="75"/>
      <c r="TC28" s="75">
        <v>302</v>
      </c>
      <c r="TD28" s="75">
        <v>296</v>
      </c>
      <c r="TE28" s="75">
        <v>312</v>
      </c>
      <c r="TF28" s="75">
        <v>312</v>
      </c>
      <c r="TG28" s="75">
        <v>333</v>
      </c>
      <c r="TH28" s="75">
        <v>376</v>
      </c>
      <c r="TI28" s="75"/>
      <c r="TJ28" s="75">
        <v>387</v>
      </c>
      <c r="TK28" s="75">
        <v>346</v>
      </c>
      <c r="TL28" s="75">
        <v>356</v>
      </c>
      <c r="TM28" s="75">
        <v>361</v>
      </c>
      <c r="TN28" s="75">
        <v>335</v>
      </c>
      <c r="TO28" s="75">
        <v>319</v>
      </c>
      <c r="TP28" s="75"/>
      <c r="TQ28" s="75">
        <v>316</v>
      </c>
      <c r="TR28" s="75">
        <v>310</v>
      </c>
      <c r="TS28" s="75">
        <v>293</v>
      </c>
      <c r="TT28" s="75">
        <v>296</v>
      </c>
      <c r="TU28" s="75">
        <v>295</v>
      </c>
      <c r="TV28" s="75">
        <v>269</v>
      </c>
      <c r="TW28" s="75"/>
      <c r="TX28" s="75">
        <v>273</v>
      </c>
      <c r="TY28" s="75">
        <v>249</v>
      </c>
      <c r="TZ28" s="75">
        <v>223</v>
      </c>
      <c r="UA28" s="75">
        <v>251</v>
      </c>
      <c r="UB28" s="75">
        <v>227</v>
      </c>
      <c r="UC28" s="75">
        <v>205</v>
      </c>
      <c r="UD28" s="75"/>
      <c r="UE28" s="75">
        <v>184</v>
      </c>
      <c r="UF28" s="75">
        <v>200</v>
      </c>
      <c r="UG28" s="75">
        <v>200</v>
      </c>
      <c r="UH28" s="75">
        <v>200</v>
      </c>
      <c r="UI28" s="75">
        <v>188</v>
      </c>
      <c r="UJ28" s="75">
        <v>170</v>
      </c>
      <c r="UK28" s="75"/>
      <c r="UL28" s="75">
        <v>170</v>
      </c>
      <c r="UM28" s="75">
        <v>174</v>
      </c>
      <c r="UN28" s="75">
        <v>186</v>
      </c>
      <c r="UO28" s="75">
        <v>170</v>
      </c>
      <c r="UP28" s="75">
        <v>170</v>
      </c>
      <c r="UQ28" s="75">
        <v>170</v>
      </c>
      <c r="UR28" s="75"/>
      <c r="US28" s="75">
        <v>136</v>
      </c>
      <c r="UT28" s="75">
        <v>120</v>
      </c>
      <c r="UU28" s="75">
        <v>112</v>
      </c>
      <c r="UV28" s="75">
        <v>87</v>
      </c>
      <c r="UW28" s="75">
        <v>65</v>
      </c>
      <c r="UX28" s="75">
        <v>60</v>
      </c>
      <c r="UY28" s="75"/>
      <c r="UZ28" s="75">
        <v>76</v>
      </c>
      <c r="VA28" s="75">
        <v>74</v>
      </c>
      <c r="VB28" s="75">
        <v>58</v>
      </c>
      <c r="VC28" s="75">
        <v>63</v>
      </c>
      <c r="VD28" s="75">
        <v>82</v>
      </c>
      <c r="VE28" s="75">
        <v>82</v>
      </c>
      <c r="VF28" s="75"/>
      <c r="VG28" s="75">
        <v>92</v>
      </c>
      <c r="VH28" s="75">
        <v>100</v>
      </c>
      <c r="VI28" s="75">
        <v>100</v>
      </c>
      <c r="VJ28" s="75">
        <v>102</v>
      </c>
      <c r="VK28" s="75">
        <v>101</v>
      </c>
      <c r="VL28" s="75">
        <v>100</v>
      </c>
      <c r="VM28" s="75"/>
      <c r="VN28" s="75">
        <v>100</v>
      </c>
      <c r="VO28" s="75">
        <v>103</v>
      </c>
      <c r="VP28" s="75">
        <v>123</v>
      </c>
      <c r="VQ28" s="75">
        <v>133</v>
      </c>
      <c r="VR28" s="75">
        <v>133</v>
      </c>
      <c r="VS28" s="75">
        <v>153</v>
      </c>
      <c r="VT28" s="75"/>
      <c r="VU28" s="75">
        <v>148</v>
      </c>
      <c r="VV28" s="75">
        <v>131</v>
      </c>
      <c r="VW28" s="75">
        <v>149</v>
      </c>
      <c r="VX28" s="75">
        <v>161</v>
      </c>
      <c r="VY28" s="75">
        <v>145</v>
      </c>
      <c r="VZ28" s="75">
        <v>143</v>
      </c>
      <c r="WA28" s="75"/>
      <c r="WB28" s="75">
        <v>135</v>
      </c>
      <c r="WC28" s="75">
        <v>133</v>
      </c>
      <c r="WD28" s="75">
        <v>126</v>
      </c>
      <c r="WE28" s="75">
        <v>110</v>
      </c>
      <c r="WF28" s="75">
        <v>111</v>
      </c>
      <c r="WG28" s="75">
        <v>110</v>
      </c>
      <c r="WH28" s="75"/>
      <c r="WI28" s="75">
        <v>100</v>
      </c>
      <c r="WJ28" s="75">
        <v>110</v>
      </c>
      <c r="WK28" s="75">
        <v>100</v>
      </c>
      <c r="WL28" s="75">
        <v>103</v>
      </c>
      <c r="WM28" s="75">
        <v>114</v>
      </c>
      <c r="WN28" s="75">
        <v>96</v>
      </c>
      <c r="WO28" s="75"/>
      <c r="WP28" s="75">
        <v>73</v>
      </c>
      <c r="WQ28" s="75">
        <v>80</v>
      </c>
      <c r="WR28" s="75">
        <v>80</v>
      </c>
      <c r="WS28" s="75">
        <v>80</v>
      </c>
      <c r="WT28" s="75">
        <v>90</v>
      </c>
      <c r="WU28" s="75">
        <v>90</v>
      </c>
      <c r="WV28" s="75"/>
      <c r="WW28" s="75">
        <v>90</v>
      </c>
      <c r="WX28" s="75">
        <v>86</v>
      </c>
      <c r="WY28" s="75">
        <v>70</v>
      </c>
      <c r="WZ28" s="75">
        <v>70</v>
      </c>
      <c r="XA28" s="75">
        <v>55</v>
      </c>
      <c r="XB28" s="75">
        <v>40</v>
      </c>
      <c r="XC28" s="75"/>
      <c r="XD28" s="75">
        <v>37</v>
      </c>
      <c r="XE28" s="75">
        <v>24</v>
      </c>
      <c r="XF28" s="75">
        <v>14</v>
      </c>
      <c r="XG28" s="75"/>
      <c r="XH28" s="75"/>
      <c r="XI28" s="75"/>
      <c r="XJ28" s="75"/>
      <c r="XK28" s="75"/>
      <c r="XL28" s="75"/>
      <c r="XM28" s="75"/>
      <c r="XN28" s="75"/>
      <c r="XO28" s="75"/>
      <c r="XP28" s="75"/>
      <c r="XQ28" s="75"/>
      <c r="XR28" s="75"/>
      <c r="XS28" s="75"/>
      <c r="XT28" s="75"/>
      <c r="XU28" s="75"/>
      <c r="XV28" s="75"/>
      <c r="XW28" s="75"/>
      <c r="XX28" s="75"/>
      <c r="XY28" s="75"/>
      <c r="XZ28" s="75"/>
      <c r="YA28" s="75"/>
      <c r="YB28" s="75"/>
      <c r="YC28" s="75"/>
      <c r="YD28" s="75"/>
      <c r="YE28" s="75"/>
      <c r="YF28" s="75"/>
      <c r="YG28" s="75"/>
      <c r="YH28" s="75"/>
      <c r="YI28" s="75"/>
      <c r="YJ28" s="75"/>
      <c r="YK28" s="75"/>
      <c r="YL28" s="75"/>
      <c r="YM28" s="75"/>
      <c r="YN28" s="75"/>
      <c r="YO28" s="75"/>
      <c r="YP28" s="75"/>
      <c r="YQ28" s="75"/>
      <c r="YR28" s="75"/>
      <c r="YS28" s="75"/>
      <c r="YT28" s="75"/>
      <c r="YU28" s="75"/>
      <c r="YV28" s="75"/>
      <c r="YW28" s="75"/>
      <c r="YX28" s="75"/>
      <c r="YY28" s="75"/>
      <c r="YZ28" s="75"/>
      <c r="ZA28" s="75"/>
      <c r="ZB28" s="75"/>
      <c r="ZC28" s="75"/>
      <c r="ZD28" s="75"/>
      <c r="ZE28" s="75"/>
      <c r="ZF28" s="75"/>
      <c r="ZG28" s="75"/>
      <c r="ZH28" s="75"/>
      <c r="ZI28" s="75"/>
      <c r="ZJ28" s="75"/>
      <c r="ZK28" s="75"/>
      <c r="ZL28" s="75"/>
      <c r="ZM28" s="75"/>
      <c r="ZN28" s="75"/>
      <c r="ZO28" s="75"/>
      <c r="ZP28" s="75"/>
      <c r="ZQ28" s="75"/>
      <c r="ZR28" s="75"/>
      <c r="ZS28" s="75"/>
      <c r="ZT28" s="75"/>
      <c r="ZU28" s="75"/>
      <c r="ZV28" s="75"/>
      <c r="ZW28" s="75"/>
      <c r="ZX28" s="75"/>
      <c r="ZY28" s="75"/>
      <c r="ZZ28" s="75"/>
      <c r="AAA28" s="75"/>
      <c r="AAB28" s="75"/>
      <c r="AAC28" s="75"/>
      <c r="AAD28" s="75"/>
      <c r="AAE28" s="75"/>
      <c r="AAF28" s="75"/>
      <c r="AAG28" s="75"/>
      <c r="AAH28" s="75"/>
      <c r="AAI28" s="75"/>
      <c r="AAJ28" s="75"/>
      <c r="AAK28" s="75"/>
      <c r="AAL28" s="75"/>
      <c r="AAM28" s="75"/>
      <c r="AAN28" s="75"/>
      <c r="AAO28" s="75"/>
      <c r="AAP28" s="75"/>
      <c r="AAQ28" s="75"/>
      <c r="AAR28" s="75"/>
      <c r="AAS28" s="75"/>
      <c r="AAT28" s="75"/>
      <c r="AAU28" s="75"/>
      <c r="AAV28" s="75"/>
      <c r="AAW28" s="75"/>
      <c r="AAX28" s="75"/>
      <c r="AAY28" s="75"/>
      <c r="AAZ28" s="75"/>
      <c r="ABA28" s="75"/>
      <c r="ABB28" s="75"/>
      <c r="ABC28" s="75"/>
    </row>
    <row r="29" spans="1:731">
      <c r="A29" s="75" t="s">
        <v>66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5"/>
      <c r="BF29" s="75"/>
      <c r="BG29" s="75"/>
      <c r="BH29" s="75"/>
      <c r="BI29" s="75"/>
      <c r="BJ29" s="75"/>
      <c r="BK29" s="75"/>
      <c r="BL29" s="75"/>
      <c r="BM29" s="75"/>
      <c r="BN29" s="75"/>
      <c r="BO29" s="75"/>
      <c r="BP29" s="75"/>
      <c r="BQ29" s="75"/>
      <c r="BR29" s="75"/>
      <c r="BS29" s="75"/>
      <c r="BT29" s="75"/>
      <c r="BU29" s="75"/>
      <c r="BV29" s="75"/>
      <c r="BW29" s="75"/>
      <c r="BX29" s="75"/>
      <c r="BY29" s="75"/>
      <c r="BZ29" s="75"/>
      <c r="CA29" s="75"/>
      <c r="CB29" s="75"/>
      <c r="CC29" s="75"/>
      <c r="CD29" s="75"/>
      <c r="CE29" s="75"/>
      <c r="CF29" s="75"/>
      <c r="CG29" s="75"/>
      <c r="CH29" s="75"/>
      <c r="CI29" s="75"/>
      <c r="CJ29" s="75"/>
      <c r="CK29" s="75"/>
      <c r="CL29" s="75"/>
      <c r="CM29" s="75"/>
      <c r="CN29" s="75"/>
      <c r="CO29" s="75"/>
      <c r="CP29" s="75"/>
      <c r="CQ29" s="75"/>
      <c r="CR29" s="75"/>
      <c r="CS29" s="75"/>
      <c r="CT29" s="75"/>
      <c r="CU29" s="75"/>
      <c r="CV29" s="75"/>
      <c r="CW29" s="75"/>
      <c r="CX29" s="75"/>
      <c r="CY29" s="75"/>
      <c r="CZ29" s="75"/>
      <c r="DA29" s="75"/>
      <c r="DB29" s="75"/>
      <c r="DC29" s="75"/>
      <c r="DD29" s="75"/>
      <c r="DE29" s="75"/>
      <c r="DF29" s="75"/>
      <c r="DG29" s="75"/>
      <c r="DH29" s="75"/>
      <c r="DI29" s="75"/>
      <c r="DJ29" s="75"/>
      <c r="DK29" s="75"/>
      <c r="DL29" s="75"/>
      <c r="DM29" s="75"/>
      <c r="DN29" s="75"/>
      <c r="DO29" s="75"/>
      <c r="DP29" s="75"/>
      <c r="DQ29" s="75"/>
      <c r="DR29" s="75"/>
      <c r="DS29" s="75"/>
      <c r="DT29" s="75"/>
      <c r="DU29" s="75"/>
      <c r="DV29" s="75"/>
      <c r="DW29" s="75"/>
      <c r="DX29" s="75"/>
      <c r="DY29" s="75"/>
      <c r="DZ29" s="75"/>
      <c r="EA29" s="75"/>
      <c r="EB29" s="75"/>
      <c r="EC29" s="75"/>
      <c r="ED29" s="75"/>
      <c r="EE29" s="75"/>
      <c r="EF29" s="75"/>
      <c r="EG29" s="75"/>
      <c r="EH29" s="75"/>
      <c r="EI29" s="75"/>
      <c r="EJ29" s="75"/>
      <c r="EK29" s="75"/>
      <c r="EL29" s="75"/>
      <c r="EM29" s="75"/>
      <c r="EN29" s="75"/>
      <c r="EO29" s="75"/>
      <c r="EP29" s="75"/>
      <c r="EQ29" s="75"/>
      <c r="ER29" s="75"/>
      <c r="ES29" s="75"/>
      <c r="ET29" s="75"/>
      <c r="EU29" s="75"/>
      <c r="EV29" s="75"/>
      <c r="EW29" s="75"/>
      <c r="EX29" s="75"/>
      <c r="EY29" s="75"/>
      <c r="EZ29" s="75"/>
      <c r="FA29" s="75"/>
      <c r="FB29" s="75"/>
      <c r="FC29" s="75"/>
      <c r="FD29" s="75"/>
      <c r="FE29" s="75"/>
      <c r="FF29" s="75"/>
      <c r="FG29" s="75"/>
      <c r="FH29" s="75"/>
      <c r="FI29" s="75"/>
      <c r="FJ29" s="75"/>
      <c r="FK29" s="75"/>
      <c r="FL29" s="75"/>
      <c r="FM29" s="75"/>
      <c r="FN29" s="75"/>
      <c r="FO29" s="75"/>
      <c r="FP29" s="75"/>
      <c r="FQ29" s="75"/>
      <c r="FR29" s="75"/>
      <c r="FS29" s="75"/>
      <c r="FT29" s="75"/>
      <c r="FU29" s="75"/>
      <c r="FV29" s="75"/>
      <c r="FW29" s="75"/>
      <c r="FX29" s="75"/>
      <c r="FY29" s="75"/>
      <c r="FZ29" s="75"/>
      <c r="GA29" s="75"/>
      <c r="GB29" s="75"/>
      <c r="GC29" s="75"/>
      <c r="GD29" s="75"/>
      <c r="GE29" s="75"/>
      <c r="GF29" s="75"/>
      <c r="GG29" s="75"/>
      <c r="GH29" s="75"/>
      <c r="GI29" s="75"/>
      <c r="GJ29" s="75"/>
      <c r="GK29" s="75"/>
      <c r="GL29" s="75"/>
      <c r="GM29" s="75"/>
      <c r="GN29" s="75"/>
      <c r="GO29" s="75"/>
      <c r="GP29" s="75"/>
      <c r="GQ29" s="75"/>
      <c r="GR29" s="75"/>
      <c r="GS29" s="75"/>
      <c r="GT29" s="75"/>
      <c r="GU29" s="75"/>
      <c r="GV29" s="75"/>
      <c r="GW29" s="75"/>
      <c r="GX29" s="75"/>
      <c r="GY29" s="75"/>
      <c r="GZ29" s="75"/>
      <c r="HA29" s="75"/>
      <c r="HB29" s="75"/>
      <c r="HC29" s="75"/>
      <c r="HD29" s="75"/>
      <c r="HE29" s="75"/>
      <c r="HF29" s="75"/>
      <c r="HG29" s="75"/>
      <c r="HH29" s="75"/>
      <c r="HI29" s="75"/>
      <c r="HJ29" s="75"/>
      <c r="HK29" s="75"/>
      <c r="HL29" s="75"/>
      <c r="HM29" s="75"/>
      <c r="HN29" s="75"/>
      <c r="HO29" s="75"/>
      <c r="HP29" s="75"/>
      <c r="HQ29" s="75"/>
      <c r="HR29" s="75"/>
      <c r="HS29" s="75"/>
      <c r="HT29" s="75"/>
      <c r="HU29" s="75"/>
      <c r="HV29" s="75"/>
      <c r="HW29" s="75"/>
      <c r="HX29" s="75"/>
      <c r="HY29" s="75"/>
      <c r="HZ29" s="75"/>
      <c r="IA29" s="75"/>
      <c r="IB29" s="75"/>
      <c r="IC29" s="75"/>
      <c r="ID29" s="75"/>
      <c r="IE29" s="75"/>
      <c r="IF29" s="75"/>
      <c r="IG29" s="75"/>
      <c r="IH29" s="75"/>
      <c r="II29" s="75"/>
      <c r="IJ29" s="75"/>
      <c r="IK29" s="75"/>
      <c r="IL29" s="75"/>
      <c r="IM29" s="75"/>
      <c r="IN29" s="75"/>
      <c r="IO29" s="75"/>
      <c r="IP29" s="75"/>
      <c r="IQ29" s="75"/>
      <c r="IR29" s="75"/>
      <c r="IS29" s="75"/>
      <c r="IT29" s="75"/>
      <c r="IU29" s="75"/>
      <c r="IV29" s="75"/>
      <c r="IW29" s="75"/>
      <c r="IX29" s="75"/>
      <c r="IY29" s="75"/>
      <c r="IZ29" s="75"/>
      <c r="JA29" s="75"/>
      <c r="JB29" s="75"/>
      <c r="JC29" s="75"/>
      <c r="JD29" s="75"/>
      <c r="JE29" s="75"/>
      <c r="JF29" s="75"/>
      <c r="JG29" s="75"/>
      <c r="JH29" s="75"/>
      <c r="JI29" s="75"/>
      <c r="JJ29" s="75"/>
      <c r="JK29" s="75"/>
      <c r="JL29" s="75"/>
      <c r="JM29" s="75"/>
      <c r="JN29" s="75"/>
      <c r="JO29" s="75"/>
      <c r="JP29" s="75"/>
      <c r="JQ29" s="75"/>
      <c r="JR29" s="75"/>
      <c r="JS29" s="75"/>
      <c r="JT29" s="75"/>
      <c r="JU29" s="75"/>
      <c r="JV29" s="75"/>
      <c r="JW29" s="75"/>
      <c r="JX29" s="75"/>
      <c r="JY29" s="75"/>
      <c r="JZ29" s="75"/>
      <c r="KA29" s="75"/>
      <c r="KB29" s="75"/>
      <c r="KC29" s="75"/>
      <c r="KD29" s="75"/>
      <c r="KE29" s="75"/>
      <c r="KF29" s="75"/>
      <c r="KG29" s="75"/>
      <c r="KH29" s="75"/>
      <c r="KI29" s="75"/>
      <c r="KJ29" s="75"/>
      <c r="KK29" s="75"/>
      <c r="KL29" s="75"/>
      <c r="KM29" s="75"/>
      <c r="KN29" s="75"/>
      <c r="KO29" s="75"/>
      <c r="KP29" s="75"/>
      <c r="KQ29" s="75"/>
      <c r="KR29" s="75"/>
      <c r="KS29" s="75"/>
      <c r="KT29" s="75"/>
      <c r="KU29" s="75"/>
      <c r="KV29" s="75"/>
      <c r="KW29" s="75"/>
      <c r="KX29" s="75"/>
      <c r="KY29" s="75"/>
      <c r="KZ29" s="75"/>
      <c r="LA29" s="75"/>
      <c r="LB29" s="75"/>
      <c r="LC29" s="75"/>
      <c r="LD29" s="75"/>
      <c r="LE29" s="75"/>
      <c r="LF29" s="75"/>
      <c r="LG29" s="75"/>
      <c r="LH29" s="75"/>
      <c r="LI29" s="75"/>
      <c r="LJ29" s="75"/>
      <c r="LK29" s="75"/>
      <c r="LL29" s="75"/>
      <c r="LM29" s="75"/>
      <c r="LN29" s="75"/>
      <c r="LO29" s="75"/>
      <c r="LP29" s="75"/>
      <c r="LQ29" s="75"/>
      <c r="LR29" s="75"/>
      <c r="LS29" s="75"/>
      <c r="LT29" s="75"/>
      <c r="LU29" s="75"/>
      <c r="LV29" s="75"/>
      <c r="LW29" s="75"/>
      <c r="LX29" s="75"/>
      <c r="LY29" s="75"/>
      <c r="LZ29" s="75"/>
      <c r="MA29" s="75"/>
      <c r="MB29" s="75"/>
      <c r="MC29" s="75"/>
      <c r="MD29" s="75"/>
      <c r="ME29" s="75"/>
      <c r="MF29" s="75">
        <v>1</v>
      </c>
      <c r="MG29" s="75"/>
      <c r="MH29" s="75"/>
      <c r="MI29" s="75"/>
      <c r="MJ29" s="75"/>
      <c r="MK29" s="75"/>
      <c r="ML29" s="75"/>
      <c r="MM29" s="75">
        <v>6</v>
      </c>
      <c r="MN29" s="75">
        <v>6</v>
      </c>
      <c r="MO29" s="75">
        <v>6</v>
      </c>
      <c r="MP29" s="75"/>
      <c r="MQ29" s="75">
        <v>6</v>
      </c>
      <c r="MR29" s="75">
        <v>6</v>
      </c>
      <c r="MS29" s="75">
        <v>6</v>
      </c>
      <c r="MT29" s="75">
        <v>6</v>
      </c>
      <c r="MU29" s="75">
        <v>6</v>
      </c>
      <c r="MV29" s="75">
        <v>6</v>
      </c>
      <c r="MW29" s="75"/>
      <c r="MX29" s="75">
        <v>6</v>
      </c>
      <c r="MY29" s="75">
        <v>6</v>
      </c>
      <c r="MZ29" s="75">
        <v>6</v>
      </c>
      <c r="NA29" s="75">
        <v>6</v>
      </c>
      <c r="NB29" s="75">
        <v>6</v>
      </c>
      <c r="NC29" s="75">
        <v>5</v>
      </c>
      <c r="ND29" s="75"/>
      <c r="NE29" s="75"/>
      <c r="NF29" s="75">
        <v>9</v>
      </c>
      <c r="NG29" s="75">
        <v>25</v>
      </c>
      <c r="NH29" s="75">
        <v>30</v>
      </c>
      <c r="NI29" s="75">
        <v>36</v>
      </c>
      <c r="NJ29" s="75">
        <v>39</v>
      </c>
      <c r="NK29" s="75"/>
      <c r="NL29" s="75">
        <v>42</v>
      </c>
      <c r="NM29" s="75">
        <v>46</v>
      </c>
      <c r="NN29" s="75">
        <v>57</v>
      </c>
      <c r="NO29" s="75">
        <v>62</v>
      </c>
      <c r="NP29" s="75">
        <v>72</v>
      </c>
      <c r="NQ29" s="75">
        <v>72</v>
      </c>
      <c r="NR29" s="75"/>
      <c r="NS29" s="75">
        <v>71</v>
      </c>
      <c r="NT29" s="75">
        <v>72</v>
      </c>
      <c r="NU29" s="75">
        <v>66</v>
      </c>
      <c r="NV29" s="75">
        <v>76</v>
      </c>
      <c r="NW29" s="75">
        <v>68</v>
      </c>
      <c r="NX29" s="75">
        <v>56</v>
      </c>
      <c r="NY29" s="75"/>
      <c r="NZ29" s="75">
        <v>51</v>
      </c>
      <c r="OA29" s="75">
        <v>46</v>
      </c>
      <c r="OB29" s="75">
        <v>43</v>
      </c>
      <c r="OC29" s="75">
        <v>50</v>
      </c>
      <c r="OD29" s="75">
        <v>43</v>
      </c>
      <c r="OE29" s="75">
        <v>30</v>
      </c>
      <c r="OF29" s="75"/>
      <c r="OG29" s="75">
        <v>30</v>
      </c>
      <c r="OH29" s="75">
        <v>44</v>
      </c>
      <c r="OI29" s="75">
        <v>52</v>
      </c>
      <c r="OJ29" s="75">
        <v>56</v>
      </c>
      <c r="OK29" s="75">
        <v>61</v>
      </c>
      <c r="OL29" s="75">
        <v>68</v>
      </c>
      <c r="OM29" s="75"/>
      <c r="ON29" s="75">
        <v>66</v>
      </c>
      <c r="OO29" s="75">
        <v>56</v>
      </c>
      <c r="OP29" s="75">
        <v>66</v>
      </c>
      <c r="OQ29" s="75">
        <v>64</v>
      </c>
      <c r="OR29" s="75">
        <v>64</v>
      </c>
      <c r="OS29" s="75">
        <v>57</v>
      </c>
      <c r="OT29" s="75"/>
      <c r="OU29" s="75">
        <v>76</v>
      </c>
      <c r="OV29" s="75">
        <v>76</v>
      </c>
      <c r="OW29" s="75">
        <v>71</v>
      </c>
      <c r="OX29" s="75">
        <v>66</v>
      </c>
      <c r="OY29" s="75">
        <v>59</v>
      </c>
      <c r="OZ29" s="75">
        <v>62</v>
      </c>
      <c r="PA29" s="75"/>
      <c r="PB29" s="75">
        <v>58</v>
      </c>
      <c r="PC29" s="75">
        <v>58</v>
      </c>
      <c r="PD29" s="75">
        <v>68</v>
      </c>
      <c r="PE29" s="75">
        <v>81</v>
      </c>
      <c r="PF29" s="75">
        <v>78</v>
      </c>
      <c r="PG29" s="75">
        <v>88</v>
      </c>
      <c r="PH29" s="75"/>
      <c r="PI29" s="75">
        <v>88</v>
      </c>
      <c r="PJ29" s="75">
        <v>96</v>
      </c>
      <c r="PK29" s="75">
        <v>118</v>
      </c>
      <c r="PL29" s="75">
        <v>104</v>
      </c>
      <c r="PM29" s="75">
        <v>102</v>
      </c>
      <c r="PN29" s="75">
        <v>106</v>
      </c>
      <c r="PO29" s="75"/>
      <c r="PP29" s="75">
        <v>106</v>
      </c>
      <c r="PQ29" s="75">
        <v>118</v>
      </c>
      <c r="PR29" s="75">
        <v>158</v>
      </c>
      <c r="PS29" s="75">
        <v>156</v>
      </c>
      <c r="PT29" s="75">
        <v>160</v>
      </c>
      <c r="PU29" s="75">
        <v>169</v>
      </c>
      <c r="PV29" s="75"/>
      <c r="PW29" s="75">
        <v>152</v>
      </c>
      <c r="PX29" s="75">
        <v>148</v>
      </c>
      <c r="PY29" s="75">
        <v>154</v>
      </c>
      <c r="PZ29" s="75">
        <v>173</v>
      </c>
      <c r="QA29" s="75">
        <v>194</v>
      </c>
      <c r="QB29" s="75">
        <v>217</v>
      </c>
      <c r="QC29" s="75"/>
      <c r="QD29" s="75">
        <v>220</v>
      </c>
      <c r="QE29" s="75">
        <v>228</v>
      </c>
      <c r="QF29" s="75">
        <v>271</v>
      </c>
      <c r="QG29" s="75">
        <v>272</v>
      </c>
      <c r="QH29" s="75">
        <v>263</v>
      </c>
      <c r="QI29" s="75">
        <v>235</v>
      </c>
      <c r="QJ29" s="75"/>
      <c r="QK29" s="75">
        <v>252</v>
      </c>
      <c r="QL29" s="75">
        <v>239</v>
      </c>
      <c r="QM29" s="75">
        <v>249</v>
      </c>
      <c r="QN29" s="75">
        <v>259</v>
      </c>
      <c r="QO29" s="75">
        <v>266</v>
      </c>
      <c r="QP29" s="75">
        <v>259</v>
      </c>
      <c r="QQ29" s="75"/>
      <c r="QR29" s="75">
        <v>235</v>
      </c>
      <c r="QS29" s="75">
        <v>223</v>
      </c>
      <c r="QT29" s="75">
        <v>192</v>
      </c>
      <c r="QU29" s="75">
        <v>196</v>
      </c>
      <c r="QV29" s="75">
        <v>192</v>
      </c>
      <c r="QW29" s="75">
        <v>192</v>
      </c>
      <c r="QX29" s="75"/>
      <c r="QY29" s="75">
        <v>203</v>
      </c>
      <c r="QZ29" s="75">
        <v>222</v>
      </c>
      <c r="RA29" s="75">
        <v>221</v>
      </c>
      <c r="RB29" s="75">
        <v>185</v>
      </c>
      <c r="RC29" s="75">
        <v>189</v>
      </c>
      <c r="RD29" s="75">
        <v>175</v>
      </c>
      <c r="RE29" s="75"/>
      <c r="RF29" s="75">
        <v>170</v>
      </c>
      <c r="RG29" s="75">
        <v>172</v>
      </c>
      <c r="RH29" s="75">
        <v>178</v>
      </c>
      <c r="RI29" s="75">
        <v>192</v>
      </c>
      <c r="RJ29" s="75">
        <v>197</v>
      </c>
      <c r="RK29" s="75">
        <v>202</v>
      </c>
      <c r="RL29" s="75"/>
      <c r="RM29" s="75">
        <v>188</v>
      </c>
      <c r="RN29" s="75">
        <v>212</v>
      </c>
      <c r="RO29" s="75">
        <v>188</v>
      </c>
      <c r="RP29" s="75">
        <v>196</v>
      </c>
      <c r="RQ29" s="75">
        <v>175</v>
      </c>
      <c r="RR29" s="75">
        <v>159</v>
      </c>
      <c r="RS29" s="75"/>
      <c r="RT29" s="75">
        <v>163</v>
      </c>
      <c r="RU29" s="75">
        <v>158</v>
      </c>
      <c r="RV29" s="75">
        <v>170</v>
      </c>
      <c r="RW29" s="75">
        <v>228</v>
      </c>
      <c r="RX29" s="75">
        <v>276</v>
      </c>
      <c r="RY29" s="75">
        <v>266</v>
      </c>
      <c r="RZ29" s="75"/>
      <c r="SA29" s="75">
        <v>258</v>
      </c>
      <c r="SB29" s="75">
        <v>256</v>
      </c>
      <c r="SC29" s="75">
        <v>265</v>
      </c>
      <c r="SD29" s="75">
        <v>281</v>
      </c>
      <c r="SE29" s="75">
        <v>274</v>
      </c>
      <c r="SF29" s="75">
        <v>282</v>
      </c>
      <c r="SG29" s="75"/>
      <c r="SH29" s="75">
        <v>287</v>
      </c>
      <c r="SI29" s="75">
        <v>271</v>
      </c>
      <c r="SJ29" s="75">
        <v>288</v>
      </c>
      <c r="SK29" s="75">
        <v>290</v>
      </c>
      <c r="SL29" s="75">
        <v>274</v>
      </c>
      <c r="SM29" s="75">
        <v>263</v>
      </c>
      <c r="SN29" s="75"/>
      <c r="SO29" s="75">
        <v>226</v>
      </c>
      <c r="SP29" s="75">
        <v>199</v>
      </c>
      <c r="SQ29" s="75">
        <v>216</v>
      </c>
      <c r="SR29" s="75">
        <v>221</v>
      </c>
      <c r="SS29" s="75">
        <v>213</v>
      </c>
      <c r="ST29" s="75">
        <v>207</v>
      </c>
      <c r="SU29" s="75"/>
      <c r="SV29" s="75">
        <v>152</v>
      </c>
      <c r="SW29" s="75">
        <v>168</v>
      </c>
      <c r="SX29" s="75">
        <v>168</v>
      </c>
      <c r="SY29" s="75">
        <v>170</v>
      </c>
      <c r="SZ29" s="75">
        <v>179</v>
      </c>
      <c r="TA29" s="75">
        <v>184</v>
      </c>
      <c r="TB29" s="75"/>
      <c r="TC29" s="75">
        <v>189</v>
      </c>
      <c r="TD29" s="75">
        <v>195</v>
      </c>
      <c r="TE29" s="75">
        <v>199</v>
      </c>
      <c r="TF29" s="75">
        <v>209</v>
      </c>
      <c r="TG29" s="75">
        <v>253</v>
      </c>
      <c r="TH29" s="75">
        <v>240</v>
      </c>
      <c r="TI29" s="75"/>
      <c r="TJ29" s="75">
        <v>239</v>
      </c>
      <c r="TK29" s="75">
        <v>243</v>
      </c>
      <c r="TL29" s="75">
        <v>243</v>
      </c>
      <c r="TM29" s="75">
        <v>243</v>
      </c>
      <c r="TN29" s="75">
        <v>220</v>
      </c>
      <c r="TO29" s="75">
        <v>199</v>
      </c>
      <c r="TP29" s="75"/>
      <c r="TQ29" s="75">
        <v>204</v>
      </c>
      <c r="TR29" s="75">
        <v>175</v>
      </c>
      <c r="TS29" s="75">
        <v>171</v>
      </c>
      <c r="TT29" s="75">
        <v>168</v>
      </c>
      <c r="TU29" s="75">
        <v>138</v>
      </c>
      <c r="TV29" s="75">
        <v>126</v>
      </c>
      <c r="TW29" s="75"/>
      <c r="TX29" s="75">
        <v>158</v>
      </c>
      <c r="TY29" s="75">
        <v>126</v>
      </c>
      <c r="TZ29" s="75">
        <v>134</v>
      </c>
      <c r="UA29" s="75">
        <v>162</v>
      </c>
      <c r="UB29" s="75">
        <v>146</v>
      </c>
      <c r="UC29" s="75">
        <v>147</v>
      </c>
      <c r="UD29" s="75"/>
      <c r="UE29" s="75">
        <v>156</v>
      </c>
      <c r="UF29" s="75">
        <v>158</v>
      </c>
      <c r="UG29" s="75">
        <v>164</v>
      </c>
      <c r="UH29" s="75">
        <v>147</v>
      </c>
      <c r="UI29" s="75">
        <v>162</v>
      </c>
      <c r="UJ29" s="75">
        <v>160</v>
      </c>
      <c r="UK29" s="75"/>
      <c r="UL29" s="75">
        <v>150</v>
      </c>
      <c r="UM29" s="75">
        <v>152</v>
      </c>
      <c r="UN29" s="75">
        <v>159</v>
      </c>
      <c r="UO29" s="75">
        <v>112</v>
      </c>
      <c r="UP29" s="75">
        <v>120</v>
      </c>
      <c r="UQ29" s="75">
        <v>115</v>
      </c>
      <c r="UR29" s="75"/>
      <c r="US29" s="75">
        <v>95</v>
      </c>
      <c r="UT29" s="75">
        <v>96</v>
      </c>
      <c r="UU29" s="75">
        <v>99</v>
      </c>
      <c r="UV29" s="75">
        <v>91</v>
      </c>
      <c r="UW29" s="75">
        <v>95</v>
      </c>
      <c r="UX29" s="75">
        <v>95</v>
      </c>
      <c r="UY29" s="75"/>
      <c r="UZ29" s="75">
        <v>97</v>
      </c>
      <c r="VA29" s="75">
        <v>99</v>
      </c>
      <c r="VB29" s="75">
        <v>98</v>
      </c>
      <c r="VC29" s="75">
        <v>92</v>
      </c>
      <c r="VD29" s="75">
        <v>87</v>
      </c>
      <c r="VE29" s="75">
        <v>81</v>
      </c>
      <c r="VF29" s="75"/>
      <c r="VG29" s="75">
        <v>85</v>
      </c>
      <c r="VH29" s="75">
        <v>76</v>
      </c>
      <c r="VI29" s="75">
        <v>71</v>
      </c>
      <c r="VJ29" s="75">
        <v>72</v>
      </c>
      <c r="VK29" s="75">
        <v>71</v>
      </c>
      <c r="VL29" s="75">
        <v>68</v>
      </c>
      <c r="VM29" s="75"/>
      <c r="VN29" s="75">
        <v>65</v>
      </c>
      <c r="VO29" s="75">
        <v>54</v>
      </c>
      <c r="VP29" s="75">
        <v>59</v>
      </c>
      <c r="VQ29" s="75">
        <v>40</v>
      </c>
      <c r="VR29" s="75">
        <v>40</v>
      </c>
      <c r="VS29" s="75">
        <v>40</v>
      </c>
      <c r="VT29" s="75"/>
      <c r="VU29" s="75">
        <v>40</v>
      </c>
      <c r="VV29" s="75">
        <v>40</v>
      </c>
      <c r="VW29" s="75">
        <v>40</v>
      </c>
      <c r="VX29" s="75">
        <v>30</v>
      </c>
      <c r="VY29" s="75">
        <v>30</v>
      </c>
      <c r="VZ29" s="75">
        <v>29</v>
      </c>
      <c r="WA29" s="75"/>
      <c r="WB29" s="75">
        <v>20</v>
      </c>
      <c r="WC29" s="75">
        <v>10</v>
      </c>
      <c r="WD29" s="75">
        <v>10</v>
      </c>
      <c r="WE29" s="75">
        <v>10</v>
      </c>
      <c r="WF29" s="75">
        <v>10</v>
      </c>
      <c r="WG29" s="75"/>
      <c r="WH29" s="75"/>
      <c r="WI29" s="75"/>
      <c r="WJ29" s="75"/>
      <c r="WK29" s="75"/>
      <c r="WL29" s="75"/>
      <c r="WM29" s="75"/>
      <c r="WN29" s="75"/>
      <c r="WO29" s="75"/>
      <c r="WP29" s="75"/>
      <c r="WQ29" s="75"/>
      <c r="WR29" s="75"/>
      <c r="WS29" s="75"/>
      <c r="WT29" s="75"/>
      <c r="WU29" s="75"/>
      <c r="WV29" s="75"/>
      <c r="WW29" s="75"/>
      <c r="WX29" s="75"/>
      <c r="WY29" s="75"/>
      <c r="WZ29" s="75"/>
      <c r="XA29" s="75"/>
      <c r="XB29" s="75"/>
      <c r="XC29" s="75"/>
      <c r="XD29" s="75"/>
      <c r="XE29" s="75"/>
      <c r="XF29" s="75"/>
      <c r="XG29" s="75"/>
      <c r="XH29" s="75"/>
      <c r="XI29" s="75"/>
      <c r="XJ29" s="75"/>
      <c r="XK29" s="75"/>
      <c r="XL29" s="75"/>
      <c r="XM29" s="75"/>
      <c r="XN29" s="75"/>
      <c r="XO29" s="75"/>
      <c r="XP29" s="75"/>
      <c r="XQ29" s="75"/>
      <c r="XR29" s="75"/>
      <c r="XS29" s="75"/>
      <c r="XT29" s="75"/>
      <c r="XU29" s="75"/>
      <c r="XV29" s="75"/>
      <c r="XW29" s="75"/>
      <c r="XX29" s="75"/>
      <c r="XY29" s="75"/>
      <c r="XZ29" s="75"/>
      <c r="YA29" s="75"/>
      <c r="YB29" s="75"/>
      <c r="YC29" s="75"/>
      <c r="YD29" s="75"/>
      <c r="YE29" s="75"/>
      <c r="YF29" s="75"/>
      <c r="YG29" s="75"/>
      <c r="YH29" s="75"/>
      <c r="YI29" s="75"/>
      <c r="YJ29" s="75"/>
      <c r="YK29" s="75"/>
      <c r="YL29" s="75"/>
      <c r="YM29" s="75"/>
      <c r="YN29" s="75"/>
      <c r="YO29" s="75"/>
      <c r="YP29" s="75"/>
      <c r="YQ29" s="75"/>
      <c r="YR29" s="75"/>
      <c r="YS29" s="75"/>
      <c r="YT29" s="75"/>
      <c r="YU29" s="75"/>
      <c r="YV29" s="75"/>
      <c r="YW29" s="75"/>
      <c r="YX29" s="75"/>
      <c r="YY29" s="75"/>
      <c r="YZ29" s="75"/>
      <c r="ZA29" s="75"/>
      <c r="ZB29" s="75"/>
      <c r="ZC29" s="75"/>
      <c r="ZD29" s="75"/>
      <c r="ZE29" s="75"/>
      <c r="ZF29" s="75"/>
      <c r="ZG29" s="75"/>
      <c r="ZH29" s="75"/>
      <c r="ZI29" s="75"/>
      <c r="ZJ29" s="75"/>
      <c r="ZK29" s="75"/>
      <c r="ZL29" s="75"/>
      <c r="ZM29" s="75"/>
      <c r="ZN29" s="75"/>
      <c r="ZO29" s="75"/>
      <c r="ZP29" s="75"/>
      <c r="ZQ29" s="75"/>
      <c r="ZR29" s="75"/>
      <c r="ZS29" s="75"/>
      <c r="ZT29" s="75"/>
      <c r="ZU29" s="75"/>
      <c r="ZV29" s="75"/>
      <c r="ZW29" s="75"/>
      <c r="ZX29" s="75"/>
      <c r="ZY29" s="75"/>
      <c r="ZZ29" s="75"/>
      <c r="AAA29" s="75"/>
      <c r="AAB29" s="75"/>
      <c r="AAC29" s="75"/>
      <c r="AAD29" s="75"/>
      <c r="AAE29" s="75"/>
      <c r="AAF29" s="75"/>
      <c r="AAG29" s="75"/>
      <c r="AAH29" s="75"/>
      <c r="AAI29" s="75"/>
      <c r="AAJ29" s="75"/>
      <c r="AAK29" s="75"/>
      <c r="AAL29" s="75"/>
      <c r="AAM29" s="75"/>
      <c r="AAN29" s="75"/>
      <c r="AAO29" s="75"/>
      <c r="AAP29" s="75"/>
      <c r="AAQ29" s="75"/>
      <c r="AAR29" s="75"/>
      <c r="AAS29" s="75"/>
      <c r="AAT29" s="75"/>
      <c r="AAU29" s="75"/>
      <c r="AAV29" s="75"/>
      <c r="AAW29" s="75"/>
      <c r="AAX29" s="75"/>
      <c r="AAY29" s="75"/>
      <c r="AAZ29" s="75"/>
      <c r="ABA29" s="75"/>
      <c r="ABB29" s="75"/>
      <c r="ABC29" s="75"/>
    </row>
    <row r="30" spans="1:731">
      <c r="A30" s="75" t="s">
        <v>67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75"/>
      <c r="BL30" s="75"/>
      <c r="BM30" s="75"/>
      <c r="BN30" s="75"/>
      <c r="BO30" s="75"/>
      <c r="BP30" s="75"/>
      <c r="BQ30" s="75"/>
      <c r="BR30" s="75"/>
      <c r="BS30" s="75"/>
      <c r="BT30" s="75"/>
      <c r="BU30" s="75"/>
      <c r="BV30" s="75"/>
      <c r="BW30" s="75"/>
      <c r="BX30" s="75"/>
      <c r="BY30" s="75"/>
      <c r="BZ30" s="75"/>
      <c r="CA30" s="75"/>
      <c r="CB30" s="75"/>
      <c r="CC30" s="75"/>
      <c r="CD30" s="75"/>
      <c r="CE30" s="75"/>
      <c r="CF30" s="75"/>
      <c r="CG30" s="75"/>
      <c r="CH30" s="75"/>
      <c r="CI30" s="75"/>
      <c r="CJ30" s="75"/>
      <c r="CK30" s="75"/>
      <c r="CL30" s="75"/>
      <c r="CM30" s="75"/>
      <c r="CN30" s="75"/>
      <c r="CO30" s="75"/>
      <c r="CP30" s="75"/>
      <c r="CQ30" s="75"/>
      <c r="CR30" s="75"/>
      <c r="CS30" s="75"/>
      <c r="CT30" s="75"/>
      <c r="CU30" s="75"/>
      <c r="CV30" s="75"/>
      <c r="CW30" s="75"/>
      <c r="CX30" s="75"/>
      <c r="CY30" s="75"/>
      <c r="CZ30" s="75"/>
      <c r="DA30" s="75"/>
      <c r="DB30" s="75"/>
      <c r="DC30" s="75"/>
      <c r="DD30" s="75"/>
      <c r="DE30" s="75"/>
      <c r="DF30" s="75"/>
      <c r="DG30" s="75"/>
      <c r="DH30" s="75"/>
      <c r="DI30" s="75"/>
      <c r="DJ30" s="75"/>
      <c r="DK30" s="75"/>
      <c r="DL30" s="75"/>
      <c r="DM30" s="75"/>
      <c r="DN30" s="75"/>
      <c r="DO30" s="75"/>
      <c r="DP30" s="75"/>
      <c r="DQ30" s="75"/>
      <c r="DR30" s="75"/>
      <c r="DS30" s="75"/>
      <c r="DT30" s="75"/>
      <c r="DU30" s="75"/>
      <c r="DV30" s="75"/>
      <c r="DW30" s="75"/>
      <c r="DX30" s="75"/>
      <c r="DY30" s="75"/>
      <c r="DZ30" s="75"/>
      <c r="EA30" s="75"/>
      <c r="EB30" s="75"/>
      <c r="EC30" s="75"/>
      <c r="ED30" s="75"/>
      <c r="EE30" s="75"/>
      <c r="EF30" s="75"/>
      <c r="EG30" s="75"/>
      <c r="EH30" s="75"/>
      <c r="EI30" s="75"/>
      <c r="EJ30" s="75"/>
      <c r="EK30" s="75"/>
      <c r="EL30" s="75"/>
      <c r="EM30" s="75"/>
      <c r="EN30" s="75"/>
      <c r="EO30" s="75"/>
      <c r="EP30" s="75"/>
      <c r="EQ30" s="75"/>
      <c r="ER30" s="75"/>
      <c r="ES30" s="75"/>
      <c r="ET30" s="75"/>
      <c r="EU30" s="75"/>
      <c r="EV30" s="75"/>
      <c r="EW30" s="75"/>
      <c r="EX30" s="75"/>
      <c r="EY30" s="75"/>
      <c r="EZ30" s="75"/>
      <c r="FA30" s="75"/>
      <c r="FB30" s="75"/>
      <c r="FC30" s="75"/>
      <c r="FD30" s="75"/>
      <c r="FE30" s="75"/>
      <c r="FF30" s="75"/>
      <c r="FG30" s="75"/>
      <c r="FH30" s="75"/>
      <c r="FI30" s="75"/>
      <c r="FJ30" s="75"/>
      <c r="FK30" s="75"/>
      <c r="FL30" s="75"/>
      <c r="FM30" s="75"/>
      <c r="FN30" s="75"/>
      <c r="FO30" s="75"/>
      <c r="FP30" s="75"/>
      <c r="FQ30" s="75"/>
      <c r="FR30" s="75"/>
      <c r="FS30" s="75"/>
      <c r="FT30" s="75"/>
      <c r="FU30" s="75"/>
      <c r="FV30" s="75"/>
      <c r="FW30" s="75"/>
      <c r="FX30" s="75"/>
      <c r="FY30" s="75"/>
      <c r="FZ30" s="75"/>
      <c r="GA30" s="75"/>
      <c r="GB30" s="75"/>
      <c r="GC30" s="75"/>
      <c r="GD30" s="75"/>
      <c r="GE30" s="75"/>
      <c r="GF30" s="75"/>
      <c r="GG30" s="75"/>
      <c r="GH30" s="75"/>
      <c r="GI30" s="75"/>
      <c r="GJ30" s="75"/>
      <c r="GK30" s="75"/>
      <c r="GL30" s="75"/>
      <c r="GM30" s="75"/>
      <c r="GN30" s="75"/>
      <c r="GO30" s="75"/>
      <c r="GP30" s="75"/>
      <c r="GQ30" s="75"/>
      <c r="GR30" s="75"/>
      <c r="GS30" s="75"/>
      <c r="GT30" s="75"/>
      <c r="GU30" s="75"/>
      <c r="GV30" s="75"/>
      <c r="GW30" s="75"/>
      <c r="GX30" s="75"/>
      <c r="GY30" s="75"/>
      <c r="GZ30" s="75"/>
      <c r="HA30" s="75"/>
      <c r="HB30" s="75"/>
      <c r="HC30" s="75"/>
      <c r="HD30" s="75"/>
      <c r="HE30" s="75"/>
      <c r="HF30" s="75"/>
      <c r="HG30" s="75"/>
      <c r="HH30" s="75"/>
      <c r="HI30" s="75"/>
      <c r="HJ30" s="75"/>
      <c r="HK30" s="75"/>
      <c r="HL30" s="75"/>
      <c r="HM30" s="75"/>
      <c r="HN30" s="75"/>
      <c r="HO30" s="75"/>
      <c r="HP30" s="75"/>
      <c r="HQ30" s="75"/>
      <c r="HR30" s="75"/>
      <c r="HS30" s="75"/>
      <c r="HT30" s="75"/>
      <c r="HU30" s="75"/>
      <c r="HV30" s="75"/>
      <c r="HW30" s="75"/>
      <c r="HX30" s="75"/>
      <c r="HY30" s="75"/>
      <c r="HZ30" s="75"/>
      <c r="IA30" s="75"/>
      <c r="IB30" s="75"/>
      <c r="IC30" s="75"/>
      <c r="ID30" s="75"/>
      <c r="IE30" s="75"/>
      <c r="IF30" s="75"/>
      <c r="IG30" s="75"/>
      <c r="IH30" s="75"/>
      <c r="II30" s="75"/>
      <c r="IJ30" s="75"/>
      <c r="IK30" s="75"/>
      <c r="IL30" s="75"/>
      <c r="IM30" s="75"/>
      <c r="IN30" s="75"/>
      <c r="IO30" s="75"/>
      <c r="IP30" s="75"/>
      <c r="IQ30" s="75"/>
      <c r="IR30" s="75"/>
      <c r="IS30" s="75"/>
      <c r="IT30" s="75"/>
      <c r="IU30" s="75"/>
      <c r="IV30" s="75"/>
      <c r="IW30" s="75"/>
      <c r="IX30" s="75"/>
      <c r="IY30" s="75"/>
      <c r="IZ30" s="75"/>
      <c r="JA30" s="75"/>
      <c r="JB30" s="75"/>
      <c r="JC30" s="75"/>
      <c r="JD30" s="75"/>
      <c r="JE30" s="75"/>
      <c r="JF30" s="75"/>
      <c r="JG30" s="75"/>
      <c r="JH30" s="75"/>
      <c r="JI30" s="75"/>
      <c r="JJ30" s="75"/>
      <c r="JK30" s="75"/>
      <c r="JL30" s="75"/>
      <c r="JM30" s="75"/>
      <c r="JN30" s="75"/>
      <c r="JO30" s="75"/>
      <c r="JP30" s="75"/>
      <c r="JQ30" s="75"/>
      <c r="JR30" s="75"/>
      <c r="JS30" s="75"/>
      <c r="JT30" s="75"/>
      <c r="JU30" s="75"/>
      <c r="JV30" s="75"/>
      <c r="JW30" s="75"/>
      <c r="JX30" s="75"/>
      <c r="JY30" s="75"/>
      <c r="JZ30" s="75"/>
      <c r="KA30" s="75"/>
      <c r="KB30" s="75"/>
      <c r="KC30" s="75"/>
      <c r="KD30" s="75"/>
      <c r="KE30" s="75"/>
      <c r="KF30" s="75"/>
      <c r="KG30" s="75"/>
      <c r="KH30" s="75"/>
      <c r="KI30" s="75"/>
      <c r="KJ30" s="75"/>
      <c r="KK30" s="75"/>
      <c r="KL30" s="75"/>
      <c r="KM30" s="75"/>
      <c r="KN30" s="75"/>
      <c r="KO30" s="75"/>
      <c r="KP30" s="75"/>
      <c r="KQ30" s="75"/>
      <c r="KR30" s="75"/>
      <c r="KS30" s="75"/>
      <c r="KT30" s="75"/>
      <c r="KU30" s="75"/>
      <c r="KV30" s="75"/>
      <c r="KW30" s="75"/>
      <c r="KX30" s="75"/>
      <c r="KY30" s="75"/>
      <c r="KZ30" s="75"/>
      <c r="LA30" s="75"/>
      <c r="LB30" s="75"/>
      <c r="LC30" s="75"/>
      <c r="LD30" s="75"/>
      <c r="LE30" s="75"/>
      <c r="LF30" s="75"/>
      <c r="LG30" s="75"/>
      <c r="LH30" s="75"/>
      <c r="LI30" s="75"/>
      <c r="LJ30" s="75"/>
      <c r="LK30" s="75"/>
      <c r="LL30" s="75"/>
      <c r="LM30" s="75"/>
      <c r="LN30" s="75"/>
      <c r="LO30" s="75"/>
      <c r="LP30" s="75"/>
      <c r="LQ30" s="75"/>
      <c r="LR30" s="75"/>
      <c r="LS30" s="75"/>
      <c r="LT30" s="75"/>
      <c r="LU30" s="75"/>
      <c r="LV30" s="75"/>
      <c r="LW30" s="75"/>
      <c r="LX30" s="75"/>
      <c r="LY30" s="75"/>
      <c r="LZ30" s="75"/>
      <c r="MA30" s="75"/>
      <c r="MB30" s="75"/>
      <c r="MC30" s="75"/>
      <c r="MD30" s="75"/>
      <c r="ME30" s="75"/>
      <c r="MF30" s="75"/>
      <c r="MG30" s="75"/>
      <c r="MH30" s="75"/>
      <c r="MI30" s="75"/>
      <c r="MJ30" s="75"/>
      <c r="MK30" s="75"/>
      <c r="ML30" s="75"/>
      <c r="MM30" s="75"/>
      <c r="MN30" s="75"/>
      <c r="MO30" s="75"/>
      <c r="MP30" s="75"/>
      <c r="MQ30" s="75"/>
      <c r="MR30" s="75"/>
      <c r="MS30" s="75"/>
      <c r="MT30" s="75"/>
      <c r="MU30" s="75"/>
      <c r="MV30" s="75"/>
      <c r="MW30" s="75"/>
      <c r="MX30" s="75"/>
      <c r="MY30" s="75"/>
      <c r="MZ30" s="75"/>
      <c r="NA30" s="75"/>
      <c r="NB30" s="75"/>
      <c r="NC30" s="75"/>
      <c r="ND30" s="75"/>
      <c r="NE30" s="75"/>
      <c r="NF30" s="75"/>
      <c r="NG30" s="75"/>
      <c r="NH30" s="75"/>
      <c r="NI30" s="75"/>
      <c r="NJ30" s="75"/>
      <c r="NK30" s="75"/>
      <c r="NL30" s="75"/>
      <c r="NM30" s="75"/>
      <c r="NN30" s="75"/>
      <c r="NO30" s="75"/>
      <c r="NP30" s="75"/>
      <c r="NQ30" s="75"/>
      <c r="NR30" s="75"/>
      <c r="NS30" s="75"/>
      <c r="NT30" s="75"/>
      <c r="NU30" s="75"/>
      <c r="NV30" s="75"/>
      <c r="NW30" s="75"/>
      <c r="NX30" s="75"/>
      <c r="NY30" s="75"/>
      <c r="NZ30" s="75">
        <v>10</v>
      </c>
      <c r="OA30" s="75">
        <v>10</v>
      </c>
      <c r="OB30" s="75">
        <v>10</v>
      </c>
      <c r="OC30" s="75">
        <v>10</v>
      </c>
      <c r="OD30" s="75">
        <v>10</v>
      </c>
      <c r="OE30" s="75">
        <v>10</v>
      </c>
      <c r="OF30" s="75"/>
      <c r="OG30" s="75">
        <v>10</v>
      </c>
      <c r="OH30" s="75">
        <v>10</v>
      </c>
      <c r="OI30" s="75">
        <v>10</v>
      </c>
      <c r="OJ30" s="75">
        <v>10</v>
      </c>
      <c r="OK30" s="75">
        <v>10</v>
      </c>
      <c r="OL30" s="75">
        <v>10</v>
      </c>
      <c r="OM30" s="75"/>
      <c r="ON30" s="75">
        <v>10</v>
      </c>
      <c r="OO30" s="75">
        <v>10</v>
      </c>
      <c r="OP30" s="75">
        <v>10</v>
      </c>
      <c r="OQ30" s="75">
        <v>10</v>
      </c>
      <c r="OR30" s="75">
        <v>10</v>
      </c>
      <c r="OS30" s="75">
        <v>10</v>
      </c>
      <c r="OT30" s="75"/>
      <c r="OU30" s="75">
        <v>10</v>
      </c>
      <c r="OV30" s="75">
        <v>10</v>
      </c>
      <c r="OW30" s="75">
        <v>10</v>
      </c>
      <c r="OX30" s="75">
        <v>10</v>
      </c>
      <c r="OY30" s="75">
        <v>10</v>
      </c>
      <c r="OZ30" s="75">
        <v>10</v>
      </c>
      <c r="PA30" s="75"/>
      <c r="PB30" s="75">
        <v>10</v>
      </c>
      <c r="PC30" s="75">
        <v>10</v>
      </c>
      <c r="PD30" s="75">
        <v>10</v>
      </c>
      <c r="PE30" s="75">
        <v>10</v>
      </c>
      <c r="PF30" s="75">
        <v>10</v>
      </c>
      <c r="PG30" s="75">
        <v>10</v>
      </c>
      <c r="PH30" s="75"/>
      <c r="PI30" s="75">
        <v>16</v>
      </c>
      <c r="PJ30" s="75">
        <v>16</v>
      </c>
      <c r="PK30" s="75">
        <v>16</v>
      </c>
      <c r="PL30" s="75">
        <v>56</v>
      </c>
      <c r="PM30" s="75">
        <v>56</v>
      </c>
      <c r="PN30" s="75">
        <v>56</v>
      </c>
      <c r="PO30" s="75"/>
      <c r="PP30" s="75">
        <v>56</v>
      </c>
      <c r="PQ30" s="75">
        <v>56</v>
      </c>
      <c r="PR30" s="75">
        <v>56</v>
      </c>
      <c r="PS30" s="75">
        <v>56</v>
      </c>
      <c r="PT30" s="75">
        <v>56</v>
      </c>
      <c r="PU30" s="75">
        <v>56</v>
      </c>
      <c r="PV30" s="75"/>
      <c r="PW30" s="75">
        <v>56</v>
      </c>
      <c r="PX30" s="75">
        <v>56</v>
      </c>
      <c r="PY30" s="75">
        <v>56</v>
      </c>
      <c r="PZ30" s="75">
        <v>51</v>
      </c>
      <c r="QA30" s="75">
        <v>51</v>
      </c>
      <c r="QB30" s="75">
        <v>51</v>
      </c>
      <c r="QC30" s="75"/>
      <c r="QD30" s="75">
        <v>19</v>
      </c>
      <c r="QE30" s="75">
        <v>19</v>
      </c>
      <c r="QF30" s="75">
        <v>13</v>
      </c>
      <c r="QG30" s="75">
        <v>15</v>
      </c>
      <c r="QH30" s="75">
        <v>51</v>
      </c>
      <c r="QI30" s="75">
        <v>117</v>
      </c>
      <c r="QJ30" s="75"/>
      <c r="QK30" s="75">
        <v>117</v>
      </c>
      <c r="QL30" s="75">
        <v>119</v>
      </c>
      <c r="QM30" s="75">
        <v>127</v>
      </c>
      <c r="QN30" s="75">
        <v>127</v>
      </c>
      <c r="QO30" s="75">
        <v>127</v>
      </c>
      <c r="QP30" s="75">
        <v>129</v>
      </c>
      <c r="QQ30" s="75"/>
      <c r="QR30" s="75">
        <v>137</v>
      </c>
      <c r="QS30" s="75">
        <v>138</v>
      </c>
      <c r="QT30" s="75">
        <v>139</v>
      </c>
      <c r="QU30" s="75">
        <v>129</v>
      </c>
      <c r="QV30" s="75">
        <v>130</v>
      </c>
      <c r="QW30" s="75">
        <v>134</v>
      </c>
      <c r="QX30" s="75"/>
      <c r="QY30" s="75">
        <v>134</v>
      </c>
      <c r="QZ30" s="75">
        <v>121</v>
      </c>
      <c r="RA30" s="75">
        <v>70</v>
      </c>
      <c r="RB30" s="75">
        <v>70</v>
      </c>
      <c r="RC30" s="75">
        <v>72</v>
      </c>
      <c r="RD30" s="75">
        <v>80</v>
      </c>
      <c r="RE30" s="75"/>
      <c r="RF30" s="75">
        <v>80</v>
      </c>
      <c r="RG30" s="75">
        <v>80</v>
      </c>
      <c r="RH30" s="75">
        <v>78</v>
      </c>
      <c r="RI30" s="75">
        <v>65</v>
      </c>
      <c r="RJ30" s="75">
        <v>65</v>
      </c>
      <c r="RK30" s="75">
        <v>70</v>
      </c>
      <c r="RL30" s="75"/>
      <c r="RM30" s="75">
        <v>86</v>
      </c>
      <c r="RN30" s="75">
        <v>85</v>
      </c>
      <c r="RO30" s="75">
        <v>81</v>
      </c>
      <c r="RP30" s="75">
        <v>81</v>
      </c>
      <c r="RQ30" s="75">
        <v>78</v>
      </c>
      <c r="RR30" s="75">
        <v>65</v>
      </c>
      <c r="RS30" s="75"/>
      <c r="RT30" s="75">
        <v>65</v>
      </c>
      <c r="RU30" s="75">
        <v>75</v>
      </c>
      <c r="RV30" s="75">
        <v>75</v>
      </c>
      <c r="RW30" s="75">
        <v>79</v>
      </c>
      <c r="RX30" s="75">
        <v>95</v>
      </c>
      <c r="RY30" s="75">
        <v>95</v>
      </c>
      <c r="RZ30" s="75"/>
      <c r="SA30" s="75">
        <v>118</v>
      </c>
      <c r="SB30" s="75">
        <v>120</v>
      </c>
      <c r="SC30" s="75">
        <v>116</v>
      </c>
      <c r="SD30" s="75">
        <v>114</v>
      </c>
      <c r="SE30" s="75">
        <v>96</v>
      </c>
      <c r="SF30" s="75">
        <v>96</v>
      </c>
      <c r="SG30" s="75"/>
      <c r="SH30" s="75">
        <v>96</v>
      </c>
      <c r="SI30" s="75">
        <v>96</v>
      </c>
      <c r="SJ30" s="75">
        <v>106</v>
      </c>
      <c r="SK30" s="75">
        <v>106</v>
      </c>
      <c r="SL30" s="75">
        <v>97</v>
      </c>
      <c r="SM30" s="75">
        <v>81</v>
      </c>
      <c r="SN30" s="75"/>
      <c r="SO30" s="75">
        <v>83</v>
      </c>
      <c r="SP30" s="75">
        <v>85</v>
      </c>
      <c r="SQ30" s="75">
        <v>85</v>
      </c>
      <c r="SR30" s="75">
        <v>70</v>
      </c>
      <c r="SS30" s="75">
        <v>67</v>
      </c>
      <c r="ST30" s="75">
        <v>65</v>
      </c>
      <c r="SU30" s="75"/>
      <c r="SV30" s="75">
        <v>65</v>
      </c>
      <c r="SW30" s="75">
        <v>83</v>
      </c>
      <c r="SX30" s="75">
        <v>91</v>
      </c>
      <c r="SY30" s="75">
        <v>91</v>
      </c>
      <c r="SZ30" s="75">
        <v>91</v>
      </c>
      <c r="TA30" s="75">
        <v>81</v>
      </c>
      <c r="TB30" s="75"/>
      <c r="TC30" s="75">
        <v>81</v>
      </c>
      <c r="TD30" s="75">
        <v>90</v>
      </c>
      <c r="TE30" s="75">
        <v>106</v>
      </c>
      <c r="TF30" s="75">
        <v>102</v>
      </c>
      <c r="TG30" s="75">
        <v>86</v>
      </c>
      <c r="TH30" s="75">
        <v>82</v>
      </c>
      <c r="TI30" s="75"/>
      <c r="TJ30" s="75">
        <v>60</v>
      </c>
      <c r="TK30" s="75">
        <v>64</v>
      </c>
      <c r="TL30" s="75">
        <v>65</v>
      </c>
      <c r="TM30" s="75">
        <v>66</v>
      </c>
      <c r="TN30" s="75">
        <v>50</v>
      </c>
      <c r="TO30" s="75">
        <v>50</v>
      </c>
      <c r="TP30" s="75"/>
      <c r="TQ30" s="75">
        <v>50</v>
      </c>
      <c r="TR30" s="75">
        <v>50</v>
      </c>
      <c r="TS30" s="75">
        <v>50</v>
      </c>
      <c r="TT30" s="75">
        <v>38</v>
      </c>
      <c r="TU30" s="75">
        <v>66</v>
      </c>
      <c r="TV30" s="75">
        <v>50</v>
      </c>
      <c r="TW30" s="75"/>
      <c r="TX30" s="75">
        <v>50</v>
      </c>
      <c r="TY30" s="75">
        <v>56</v>
      </c>
      <c r="TZ30" s="75">
        <v>68</v>
      </c>
      <c r="UA30" s="75">
        <v>68</v>
      </c>
      <c r="UB30" s="75">
        <v>76</v>
      </c>
      <c r="UC30" s="75">
        <v>103</v>
      </c>
      <c r="UD30" s="75"/>
      <c r="UE30" s="75">
        <v>103</v>
      </c>
      <c r="UF30" s="75">
        <v>115</v>
      </c>
      <c r="UG30" s="75">
        <v>119</v>
      </c>
      <c r="UH30" s="75">
        <v>119</v>
      </c>
      <c r="UI30" s="75">
        <v>123</v>
      </c>
      <c r="UJ30" s="75">
        <v>139</v>
      </c>
      <c r="UK30" s="75"/>
      <c r="UL30" s="75">
        <v>131</v>
      </c>
      <c r="UM30" s="75">
        <v>99</v>
      </c>
      <c r="UN30" s="75">
        <v>103</v>
      </c>
      <c r="UO30" s="75">
        <v>102</v>
      </c>
      <c r="UP30" s="75">
        <v>87</v>
      </c>
      <c r="UQ30" s="75">
        <v>87</v>
      </c>
      <c r="UR30" s="75"/>
      <c r="US30" s="75">
        <v>83</v>
      </c>
      <c r="UT30" s="75">
        <v>77</v>
      </c>
      <c r="UU30" s="75">
        <v>51</v>
      </c>
      <c r="UV30" s="75">
        <v>49</v>
      </c>
      <c r="UW30" s="75">
        <v>39</v>
      </c>
      <c r="UX30" s="75">
        <v>36</v>
      </c>
      <c r="UY30" s="75"/>
      <c r="UZ30" s="75">
        <v>37</v>
      </c>
      <c r="VA30" s="75">
        <v>49</v>
      </c>
      <c r="VB30" s="75">
        <v>37</v>
      </c>
      <c r="VC30" s="75">
        <v>35</v>
      </c>
      <c r="VD30" s="75">
        <v>29</v>
      </c>
      <c r="VE30" s="75">
        <v>29</v>
      </c>
      <c r="VF30" s="75"/>
      <c r="VG30" s="75">
        <v>29</v>
      </c>
      <c r="VH30" s="75">
        <v>33</v>
      </c>
      <c r="VI30" s="75">
        <v>37</v>
      </c>
      <c r="VJ30" s="75">
        <v>49</v>
      </c>
      <c r="VK30" s="75">
        <v>49</v>
      </c>
      <c r="VL30" s="75">
        <v>49</v>
      </c>
      <c r="VM30" s="75"/>
      <c r="VN30" s="75">
        <v>49</v>
      </c>
      <c r="VO30" s="75">
        <v>53</v>
      </c>
      <c r="VP30" s="75">
        <v>52</v>
      </c>
      <c r="VQ30" s="75">
        <v>64</v>
      </c>
      <c r="VR30" s="75">
        <v>48</v>
      </c>
      <c r="VS30" s="75">
        <v>61</v>
      </c>
      <c r="VT30" s="75"/>
      <c r="VU30" s="75">
        <v>66</v>
      </c>
      <c r="VV30" s="75">
        <v>66</v>
      </c>
      <c r="VW30" s="75">
        <v>66</v>
      </c>
      <c r="VX30" s="75">
        <v>70</v>
      </c>
      <c r="VY30" s="75">
        <v>82</v>
      </c>
      <c r="VZ30" s="75">
        <v>64</v>
      </c>
      <c r="WA30" s="75"/>
      <c r="WB30" s="75">
        <v>42</v>
      </c>
      <c r="WC30" s="75">
        <v>42</v>
      </c>
      <c r="WD30" s="75">
        <v>44</v>
      </c>
      <c r="WE30" s="75">
        <v>40</v>
      </c>
      <c r="WF30" s="75">
        <v>40</v>
      </c>
      <c r="WG30" s="75">
        <v>40</v>
      </c>
      <c r="WH30" s="75"/>
      <c r="WI30" s="75">
        <v>40</v>
      </c>
      <c r="WJ30" s="75">
        <v>40</v>
      </c>
      <c r="WK30" s="75">
        <v>40</v>
      </c>
      <c r="WL30" s="75">
        <v>41</v>
      </c>
      <c r="WM30" s="75">
        <v>44</v>
      </c>
      <c r="WN30" s="75">
        <v>44</v>
      </c>
      <c r="WO30" s="75"/>
      <c r="WP30" s="75">
        <v>38</v>
      </c>
      <c r="WQ30" s="75">
        <v>24</v>
      </c>
      <c r="WR30" s="75">
        <v>18</v>
      </c>
      <c r="WS30" s="75">
        <v>3</v>
      </c>
      <c r="WT30" s="75"/>
      <c r="WU30" s="75"/>
      <c r="WV30" s="75"/>
      <c r="WW30" s="75"/>
      <c r="WX30" s="75"/>
      <c r="WY30" s="75"/>
      <c r="WZ30" s="75"/>
      <c r="XA30" s="75"/>
      <c r="XB30" s="75"/>
      <c r="XC30" s="75"/>
      <c r="XD30" s="75"/>
      <c r="XE30" s="75"/>
      <c r="XF30" s="75"/>
      <c r="XG30" s="75"/>
      <c r="XH30" s="75"/>
      <c r="XI30" s="75"/>
      <c r="XJ30" s="75"/>
      <c r="XK30" s="75"/>
      <c r="XL30" s="75"/>
      <c r="XM30" s="75"/>
      <c r="XN30" s="75"/>
      <c r="XO30" s="75"/>
      <c r="XP30" s="75"/>
      <c r="XQ30" s="75"/>
      <c r="XR30" s="75"/>
      <c r="XS30" s="75"/>
      <c r="XT30" s="75"/>
      <c r="XU30" s="75"/>
      <c r="XV30" s="75"/>
      <c r="XW30" s="75"/>
      <c r="XX30" s="75"/>
      <c r="XY30" s="75"/>
      <c r="XZ30" s="75"/>
      <c r="YA30" s="75"/>
      <c r="YB30" s="75"/>
      <c r="YC30" s="75"/>
      <c r="YD30" s="75"/>
      <c r="YE30" s="75"/>
      <c r="YF30" s="75"/>
      <c r="YG30" s="75"/>
      <c r="YH30" s="75"/>
      <c r="YI30" s="75"/>
      <c r="YJ30" s="75"/>
      <c r="YK30" s="75"/>
      <c r="YL30" s="75"/>
      <c r="YM30" s="75"/>
      <c r="YN30" s="75"/>
      <c r="YO30" s="75"/>
      <c r="YP30" s="75"/>
      <c r="YQ30" s="75"/>
      <c r="YR30" s="75"/>
      <c r="YS30" s="75"/>
      <c r="YT30" s="75"/>
      <c r="YU30" s="75"/>
      <c r="YV30" s="75"/>
      <c r="YW30" s="75"/>
      <c r="YX30" s="75"/>
      <c r="YY30" s="75"/>
      <c r="YZ30" s="75"/>
      <c r="ZA30" s="75"/>
      <c r="ZB30" s="75"/>
      <c r="ZC30" s="75"/>
      <c r="ZD30" s="75"/>
      <c r="ZE30" s="75"/>
      <c r="ZF30" s="75"/>
      <c r="ZG30" s="75"/>
      <c r="ZH30" s="75"/>
      <c r="ZI30" s="75"/>
      <c r="ZJ30" s="75"/>
      <c r="ZK30" s="75"/>
      <c r="ZL30" s="75"/>
      <c r="ZM30" s="75"/>
      <c r="ZN30" s="75"/>
      <c r="ZO30" s="75"/>
      <c r="ZP30" s="75"/>
      <c r="ZQ30" s="75"/>
      <c r="ZR30" s="75"/>
      <c r="ZS30" s="75"/>
      <c r="ZT30" s="75"/>
      <c r="ZU30" s="75"/>
      <c r="ZV30" s="75"/>
      <c r="ZW30" s="75"/>
      <c r="ZX30" s="75"/>
      <c r="ZY30" s="75"/>
      <c r="ZZ30" s="75"/>
      <c r="AAA30" s="75"/>
      <c r="AAB30" s="75"/>
      <c r="AAC30" s="75"/>
      <c r="AAD30" s="75"/>
      <c r="AAE30" s="75"/>
      <c r="AAF30" s="75"/>
      <c r="AAG30" s="75"/>
      <c r="AAH30" s="75"/>
      <c r="AAI30" s="75"/>
      <c r="AAJ30" s="75"/>
      <c r="AAK30" s="75"/>
      <c r="AAL30" s="75"/>
      <c r="AAM30" s="75"/>
      <c r="AAN30" s="75"/>
      <c r="AAO30" s="75"/>
      <c r="AAP30" s="75"/>
      <c r="AAQ30" s="75"/>
      <c r="AAR30" s="75"/>
      <c r="AAS30" s="75"/>
      <c r="AAT30" s="75"/>
      <c r="AAU30" s="75"/>
      <c r="AAV30" s="75"/>
      <c r="AAW30" s="75"/>
      <c r="AAX30" s="75"/>
      <c r="AAY30" s="75"/>
      <c r="AAZ30" s="75"/>
      <c r="ABA30" s="75"/>
      <c r="ABB30" s="75"/>
      <c r="ABC30" s="75"/>
    </row>
    <row r="31" spans="1:731">
      <c r="A31" s="75" t="s">
        <v>68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75"/>
      <c r="BL31" s="75"/>
      <c r="BM31" s="75"/>
      <c r="BN31" s="75"/>
      <c r="BO31" s="75"/>
      <c r="BP31" s="75"/>
      <c r="BQ31" s="75"/>
      <c r="BR31" s="75"/>
      <c r="BS31" s="75"/>
      <c r="BT31" s="75"/>
      <c r="BU31" s="75"/>
      <c r="BV31" s="75"/>
      <c r="BW31" s="75"/>
      <c r="BX31" s="75"/>
      <c r="BY31" s="75"/>
      <c r="BZ31" s="75"/>
      <c r="CA31" s="75"/>
      <c r="CB31" s="75"/>
      <c r="CC31" s="75"/>
      <c r="CD31" s="75"/>
      <c r="CE31" s="75"/>
      <c r="CF31" s="75"/>
      <c r="CG31" s="75"/>
      <c r="CH31" s="75"/>
      <c r="CI31" s="75"/>
      <c r="CJ31" s="75"/>
      <c r="CK31" s="75"/>
      <c r="CL31" s="75"/>
      <c r="CM31" s="75"/>
      <c r="CN31" s="75"/>
      <c r="CO31" s="75"/>
      <c r="CP31" s="75"/>
      <c r="CQ31" s="75"/>
      <c r="CR31" s="75"/>
      <c r="CS31" s="75"/>
      <c r="CT31" s="75"/>
      <c r="CU31" s="75"/>
      <c r="CV31" s="75"/>
      <c r="CW31" s="75"/>
      <c r="CX31" s="75"/>
      <c r="CY31" s="75"/>
      <c r="CZ31" s="75"/>
      <c r="DA31" s="75"/>
      <c r="DB31" s="75"/>
      <c r="DC31" s="75"/>
      <c r="DD31" s="75"/>
      <c r="DE31" s="75"/>
      <c r="DF31" s="75"/>
      <c r="DG31" s="75"/>
      <c r="DH31" s="75"/>
      <c r="DI31" s="75"/>
      <c r="DJ31" s="75"/>
      <c r="DK31" s="75"/>
      <c r="DL31" s="75"/>
      <c r="DM31" s="75"/>
      <c r="DN31" s="75"/>
      <c r="DO31" s="75"/>
      <c r="DP31" s="75"/>
      <c r="DQ31" s="75"/>
      <c r="DR31" s="75"/>
      <c r="DS31" s="75"/>
      <c r="DT31" s="75"/>
      <c r="DU31" s="75"/>
      <c r="DV31" s="75"/>
      <c r="DW31" s="75"/>
      <c r="DX31" s="75"/>
      <c r="DY31" s="75"/>
      <c r="DZ31" s="75"/>
      <c r="EA31" s="75"/>
      <c r="EB31" s="75"/>
      <c r="EC31" s="75"/>
      <c r="ED31" s="75"/>
      <c r="EE31" s="75"/>
      <c r="EF31" s="75"/>
      <c r="EG31" s="75"/>
      <c r="EH31" s="75"/>
      <c r="EI31" s="75"/>
      <c r="EJ31" s="75"/>
      <c r="EK31" s="75"/>
      <c r="EL31" s="75"/>
      <c r="EM31" s="75"/>
      <c r="EN31" s="75"/>
      <c r="EO31" s="75"/>
      <c r="EP31" s="75"/>
      <c r="EQ31" s="75"/>
      <c r="ER31" s="75"/>
      <c r="ES31" s="75"/>
      <c r="ET31" s="75"/>
      <c r="EU31" s="75"/>
      <c r="EV31" s="75"/>
      <c r="EW31" s="75"/>
      <c r="EX31" s="75"/>
      <c r="EY31" s="75"/>
      <c r="EZ31" s="75"/>
      <c r="FA31" s="75"/>
      <c r="FB31" s="75"/>
      <c r="FC31" s="75"/>
      <c r="FD31" s="75"/>
      <c r="FE31" s="75"/>
      <c r="FF31" s="75"/>
      <c r="FG31" s="75"/>
      <c r="FH31" s="75"/>
      <c r="FI31" s="75"/>
      <c r="FJ31" s="75"/>
      <c r="FK31" s="75"/>
      <c r="FL31" s="75"/>
      <c r="FM31" s="75"/>
      <c r="FN31" s="75"/>
      <c r="FO31" s="75"/>
      <c r="FP31" s="75"/>
      <c r="FQ31" s="75"/>
      <c r="FR31" s="75"/>
      <c r="FS31" s="75"/>
      <c r="FT31" s="75"/>
      <c r="FU31" s="75"/>
      <c r="FV31" s="75"/>
      <c r="FW31" s="75"/>
      <c r="FX31" s="75"/>
      <c r="FY31" s="75"/>
      <c r="FZ31" s="75"/>
      <c r="GA31" s="75"/>
      <c r="GB31" s="75"/>
      <c r="GC31" s="75"/>
      <c r="GD31" s="75"/>
      <c r="GE31" s="75"/>
      <c r="GF31" s="75"/>
      <c r="GG31" s="75"/>
      <c r="GH31" s="75"/>
      <c r="GI31" s="75"/>
      <c r="GJ31" s="75"/>
      <c r="GK31" s="75"/>
      <c r="GL31" s="75"/>
      <c r="GM31" s="75"/>
      <c r="GN31" s="75"/>
      <c r="GO31" s="75"/>
      <c r="GP31" s="75"/>
      <c r="GQ31" s="75"/>
      <c r="GR31" s="75"/>
      <c r="GS31" s="75"/>
      <c r="GT31" s="75"/>
      <c r="GU31" s="75"/>
      <c r="GV31" s="75"/>
      <c r="GW31" s="75"/>
      <c r="GX31" s="75"/>
      <c r="GY31" s="75"/>
      <c r="GZ31" s="75"/>
      <c r="HA31" s="75"/>
      <c r="HB31" s="75"/>
      <c r="HC31" s="75"/>
      <c r="HD31" s="75"/>
      <c r="HE31" s="75"/>
      <c r="HF31" s="75"/>
      <c r="HG31" s="75"/>
      <c r="HH31" s="75"/>
      <c r="HI31" s="75"/>
      <c r="HJ31" s="75"/>
      <c r="HK31" s="75"/>
      <c r="HL31" s="75"/>
      <c r="HM31" s="75"/>
      <c r="HN31" s="75"/>
      <c r="HO31" s="75"/>
      <c r="HP31" s="75"/>
      <c r="HQ31" s="75"/>
      <c r="HR31" s="75"/>
      <c r="HS31" s="75"/>
      <c r="HT31" s="75"/>
      <c r="HU31" s="75"/>
      <c r="HV31" s="75"/>
      <c r="HW31" s="75"/>
      <c r="HX31" s="75"/>
      <c r="HY31" s="75"/>
      <c r="HZ31" s="75"/>
      <c r="IA31" s="75"/>
      <c r="IB31" s="75"/>
      <c r="IC31" s="75"/>
      <c r="ID31" s="75"/>
      <c r="IE31" s="75"/>
      <c r="IF31" s="75"/>
      <c r="IG31" s="75"/>
      <c r="IH31" s="75"/>
      <c r="II31" s="75"/>
      <c r="IJ31" s="75"/>
      <c r="IK31" s="75"/>
      <c r="IL31" s="75"/>
      <c r="IM31" s="75"/>
      <c r="IN31" s="75"/>
      <c r="IO31" s="75"/>
      <c r="IP31" s="75"/>
      <c r="IQ31" s="75"/>
      <c r="IR31" s="75"/>
      <c r="IS31" s="75"/>
      <c r="IT31" s="75"/>
      <c r="IU31" s="75"/>
      <c r="IV31" s="75"/>
      <c r="IW31" s="75"/>
      <c r="IX31" s="75"/>
      <c r="IY31" s="75"/>
      <c r="IZ31" s="75"/>
      <c r="JA31" s="75"/>
      <c r="JB31" s="75"/>
      <c r="JC31" s="75"/>
      <c r="JD31" s="75"/>
      <c r="JE31" s="75"/>
      <c r="JF31" s="75"/>
      <c r="JG31" s="75"/>
      <c r="JH31" s="75"/>
      <c r="JI31" s="75"/>
      <c r="JJ31" s="75"/>
      <c r="JK31" s="75"/>
      <c r="JL31" s="75"/>
      <c r="JM31" s="75"/>
      <c r="JN31" s="75"/>
      <c r="JO31" s="75"/>
      <c r="JP31" s="75"/>
      <c r="JQ31" s="75"/>
      <c r="JR31" s="75"/>
      <c r="JS31" s="75"/>
      <c r="JT31" s="75"/>
      <c r="JU31" s="75"/>
      <c r="JV31" s="75"/>
      <c r="JW31" s="75"/>
      <c r="JX31" s="75"/>
      <c r="JY31" s="75"/>
      <c r="JZ31" s="75"/>
      <c r="KA31" s="75"/>
      <c r="KB31" s="75"/>
      <c r="KC31" s="75"/>
      <c r="KD31" s="75"/>
      <c r="KE31" s="75"/>
      <c r="KF31" s="75"/>
      <c r="KG31" s="75"/>
      <c r="KH31" s="75"/>
      <c r="KI31" s="75"/>
      <c r="KJ31" s="75"/>
      <c r="KK31" s="75"/>
      <c r="KL31" s="75"/>
      <c r="KM31" s="75"/>
      <c r="KN31" s="75"/>
      <c r="KO31" s="75"/>
      <c r="KP31" s="75"/>
      <c r="KQ31" s="75"/>
      <c r="KR31" s="75"/>
      <c r="KS31" s="75"/>
      <c r="KT31" s="75"/>
      <c r="KU31" s="75"/>
      <c r="KV31" s="75"/>
      <c r="KW31" s="75"/>
      <c r="KX31" s="75"/>
      <c r="KY31" s="75"/>
      <c r="KZ31" s="75"/>
      <c r="LA31" s="75"/>
      <c r="LB31" s="75"/>
      <c r="LC31" s="75"/>
      <c r="LD31" s="75"/>
      <c r="LE31" s="75"/>
      <c r="LF31" s="75"/>
      <c r="LG31" s="75"/>
      <c r="LH31" s="75"/>
      <c r="LI31" s="75"/>
      <c r="LJ31" s="75"/>
      <c r="LK31" s="75"/>
      <c r="LL31" s="75"/>
      <c r="LM31" s="75"/>
      <c r="LN31" s="75"/>
      <c r="LO31" s="75"/>
      <c r="LP31" s="75"/>
      <c r="LQ31" s="75"/>
      <c r="LR31" s="75"/>
      <c r="LS31" s="75"/>
      <c r="LT31" s="75"/>
      <c r="LU31" s="75"/>
      <c r="LV31" s="75"/>
      <c r="LW31" s="75"/>
      <c r="LX31" s="75"/>
      <c r="LY31" s="75"/>
      <c r="LZ31" s="75"/>
      <c r="MA31" s="75"/>
      <c r="MB31" s="75"/>
      <c r="MC31" s="75"/>
      <c r="MD31" s="75"/>
      <c r="ME31" s="75"/>
      <c r="MF31" s="75"/>
      <c r="MG31" s="75"/>
      <c r="MH31" s="75"/>
      <c r="MI31" s="75"/>
      <c r="MJ31" s="75"/>
      <c r="MK31" s="75"/>
      <c r="ML31" s="75"/>
      <c r="MM31" s="75"/>
      <c r="MN31" s="75"/>
      <c r="MO31" s="75"/>
      <c r="MP31" s="75"/>
      <c r="MQ31" s="75"/>
      <c r="MR31" s="75"/>
      <c r="MS31" s="75"/>
      <c r="MT31" s="75"/>
      <c r="MU31" s="75"/>
      <c r="MV31" s="75"/>
      <c r="MW31" s="75"/>
      <c r="MX31" s="75"/>
      <c r="MY31" s="75"/>
      <c r="MZ31" s="75"/>
      <c r="NA31" s="75"/>
      <c r="NB31" s="75"/>
      <c r="NC31" s="75"/>
      <c r="ND31" s="75"/>
      <c r="NE31" s="75"/>
      <c r="NF31" s="75"/>
      <c r="NG31" s="75"/>
      <c r="NH31" s="75"/>
      <c r="NI31" s="75"/>
      <c r="NJ31" s="75"/>
      <c r="NK31" s="75"/>
      <c r="NL31" s="75"/>
      <c r="NM31" s="75"/>
      <c r="NN31" s="75"/>
      <c r="NO31" s="75"/>
      <c r="NP31" s="75"/>
      <c r="NQ31" s="75"/>
      <c r="NR31" s="75"/>
      <c r="NS31" s="75"/>
      <c r="NT31" s="75"/>
      <c r="NU31" s="75"/>
      <c r="NV31" s="75"/>
      <c r="NW31" s="75"/>
      <c r="NX31" s="75"/>
      <c r="NY31" s="75"/>
      <c r="NZ31" s="75"/>
      <c r="OA31" s="75"/>
      <c r="OB31" s="75"/>
      <c r="OC31" s="75"/>
      <c r="OD31" s="75"/>
      <c r="OE31" s="75"/>
      <c r="OF31" s="75"/>
      <c r="OG31" s="75"/>
      <c r="OH31" s="75"/>
      <c r="OI31" s="75"/>
      <c r="OJ31" s="75"/>
      <c r="OK31" s="75"/>
      <c r="OL31" s="75"/>
      <c r="OM31" s="75"/>
      <c r="ON31" s="75"/>
      <c r="OO31" s="75"/>
      <c r="OP31" s="75"/>
      <c r="OQ31" s="75"/>
      <c r="OR31" s="75"/>
      <c r="OS31" s="75"/>
      <c r="OT31" s="75"/>
      <c r="OU31" s="75"/>
      <c r="OV31" s="75"/>
      <c r="OW31" s="75"/>
      <c r="OX31" s="75"/>
      <c r="OY31" s="75"/>
      <c r="OZ31" s="75"/>
      <c r="PA31" s="75"/>
      <c r="PB31" s="75"/>
      <c r="PC31" s="75"/>
      <c r="PD31" s="75"/>
      <c r="PE31" s="75"/>
      <c r="PF31" s="75"/>
      <c r="PG31" s="75"/>
      <c r="PH31" s="75"/>
      <c r="PI31" s="75"/>
      <c r="PJ31" s="75"/>
      <c r="PK31" s="75"/>
      <c r="PL31" s="75"/>
      <c r="PM31" s="75"/>
      <c r="PN31" s="75"/>
      <c r="PO31" s="75"/>
      <c r="PP31" s="75"/>
      <c r="PQ31" s="75"/>
      <c r="PR31" s="75"/>
      <c r="PS31" s="75"/>
      <c r="PT31" s="75"/>
      <c r="PU31" s="75"/>
      <c r="PV31" s="75"/>
      <c r="PW31" s="75"/>
      <c r="PX31" s="75"/>
      <c r="PY31" s="75"/>
      <c r="PZ31" s="75"/>
      <c r="QA31" s="75"/>
      <c r="QB31" s="75"/>
      <c r="QC31" s="75"/>
      <c r="QD31" s="75"/>
      <c r="QE31" s="75"/>
      <c r="QF31" s="75"/>
      <c r="QG31" s="75"/>
      <c r="QH31" s="75"/>
      <c r="QI31" s="75"/>
      <c r="QJ31" s="75"/>
      <c r="QK31" s="75"/>
      <c r="QL31" s="75"/>
      <c r="QM31" s="75"/>
      <c r="QN31" s="75"/>
      <c r="QO31" s="75"/>
      <c r="QP31" s="75"/>
      <c r="QQ31" s="75"/>
      <c r="QR31" s="75"/>
      <c r="QS31" s="75"/>
      <c r="QT31" s="75"/>
      <c r="QU31" s="75"/>
      <c r="QV31" s="75"/>
      <c r="QW31" s="75"/>
      <c r="QX31" s="75"/>
      <c r="QY31" s="75"/>
      <c r="QZ31" s="75"/>
      <c r="RA31" s="75"/>
      <c r="RB31" s="75"/>
      <c r="RC31" s="75"/>
      <c r="RD31" s="75"/>
      <c r="RE31" s="75"/>
      <c r="RF31" s="75">
        <v>20</v>
      </c>
      <c r="RG31" s="75">
        <v>20</v>
      </c>
      <c r="RH31" s="75">
        <v>20</v>
      </c>
      <c r="RI31" s="75">
        <v>20</v>
      </c>
      <c r="RJ31" s="75">
        <v>20</v>
      </c>
      <c r="RK31" s="75">
        <v>20</v>
      </c>
      <c r="RL31" s="75"/>
      <c r="RM31" s="75">
        <v>20</v>
      </c>
      <c r="RN31" s="75">
        <v>20</v>
      </c>
      <c r="RO31" s="75">
        <v>20</v>
      </c>
      <c r="RP31" s="75">
        <v>20</v>
      </c>
      <c r="RQ31" s="75">
        <v>20</v>
      </c>
      <c r="RR31" s="75">
        <v>20</v>
      </c>
      <c r="RS31" s="75"/>
      <c r="RT31" s="75">
        <v>20</v>
      </c>
      <c r="RU31" s="75">
        <v>20</v>
      </c>
      <c r="RV31" s="75">
        <v>20</v>
      </c>
      <c r="RW31" s="75">
        <v>20</v>
      </c>
      <c r="RX31" s="75">
        <v>20</v>
      </c>
      <c r="RY31" s="75">
        <v>20</v>
      </c>
      <c r="RZ31" s="75"/>
      <c r="SA31" s="75">
        <v>20</v>
      </c>
      <c r="SB31" s="75">
        <v>20</v>
      </c>
      <c r="SC31" s="75">
        <v>20</v>
      </c>
      <c r="SD31" s="75">
        <v>20</v>
      </c>
      <c r="SE31" s="75">
        <v>20</v>
      </c>
      <c r="SF31" s="75">
        <v>20</v>
      </c>
      <c r="SG31" s="75"/>
      <c r="SH31" s="75">
        <v>20</v>
      </c>
      <c r="SI31" s="75">
        <v>20</v>
      </c>
      <c r="SJ31" s="75">
        <v>20</v>
      </c>
      <c r="SK31" s="75">
        <v>20</v>
      </c>
      <c r="SL31" s="75">
        <v>20</v>
      </c>
      <c r="SM31" s="75">
        <v>20</v>
      </c>
      <c r="SN31" s="75"/>
      <c r="SO31" s="75">
        <v>7</v>
      </c>
      <c r="SP31" s="75">
        <v>7</v>
      </c>
      <c r="SQ31" s="75">
        <v>7</v>
      </c>
      <c r="SR31" s="75">
        <v>7</v>
      </c>
      <c r="SS31" s="75">
        <v>7</v>
      </c>
      <c r="ST31" s="75">
        <v>7</v>
      </c>
      <c r="SU31" s="75"/>
      <c r="SV31" s="75">
        <v>7</v>
      </c>
      <c r="SW31" s="75">
        <v>7</v>
      </c>
      <c r="SX31" s="75">
        <v>7</v>
      </c>
      <c r="SY31" s="75">
        <v>7</v>
      </c>
      <c r="SZ31" s="75">
        <v>7</v>
      </c>
      <c r="TA31" s="75">
        <v>7</v>
      </c>
      <c r="TB31" s="75"/>
      <c r="TC31" s="75">
        <v>7</v>
      </c>
      <c r="TD31" s="75">
        <v>7</v>
      </c>
      <c r="TE31" s="75">
        <v>7</v>
      </c>
      <c r="TF31" s="75">
        <v>7</v>
      </c>
      <c r="TG31" s="75">
        <v>7</v>
      </c>
      <c r="TH31" s="75">
        <v>7</v>
      </c>
      <c r="TI31" s="75"/>
      <c r="TJ31" s="75">
        <v>7</v>
      </c>
      <c r="TK31" s="75">
        <v>7</v>
      </c>
      <c r="TL31" s="75">
        <v>7</v>
      </c>
      <c r="TM31" s="75">
        <v>7</v>
      </c>
      <c r="TN31" s="75">
        <v>7</v>
      </c>
      <c r="TO31" s="75">
        <v>7</v>
      </c>
      <c r="TP31" s="75"/>
      <c r="TQ31" s="75">
        <v>7</v>
      </c>
      <c r="TR31" s="75">
        <v>7</v>
      </c>
      <c r="TS31" s="75">
        <v>7</v>
      </c>
      <c r="TT31" s="75">
        <v>7</v>
      </c>
      <c r="TU31" s="75">
        <v>7</v>
      </c>
      <c r="TV31" s="75">
        <v>7</v>
      </c>
      <c r="TW31" s="75"/>
      <c r="TX31" s="75">
        <v>7</v>
      </c>
      <c r="TY31" s="75">
        <v>7</v>
      </c>
      <c r="TZ31" s="75">
        <v>7</v>
      </c>
      <c r="UA31" s="75">
        <v>7</v>
      </c>
      <c r="UB31" s="75">
        <v>7</v>
      </c>
      <c r="UC31" s="75">
        <v>7</v>
      </c>
      <c r="UD31" s="75"/>
      <c r="UE31" s="75">
        <v>7</v>
      </c>
      <c r="UF31" s="75">
        <v>7</v>
      </c>
      <c r="UG31" s="75">
        <v>7</v>
      </c>
      <c r="UH31" s="75">
        <v>7</v>
      </c>
      <c r="UI31" s="75">
        <v>7</v>
      </c>
      <c r="UJ31" s="75">
        <v>7</v>
      </c>
      <c r="UK31" s="75"/>
      <c r="UL31" s="75">
        <v>7</v>
      </c>
      <c r="UM31" s="75">
        <v>7</v>
      </c>
      <c r="UN31" s="75">
        <v>7</v>
      </c>
      <c r="UO31" s="75">
        <v>5</v>
      </c>
      <c r="UP31" s="75">
        <v>5</v>
      </c>
      <c r="UQ31" s="75">
        <v>5</v>
      </c>
      <c r="UR31" s="75"/>
      <c r="US31" s="75">
        <v>5</v>
      </c>
      <c r="UT31" s="75">
        <v>5</v>
      </c>
      <c r="UU31" s="75">
        <v>5</v>
      </c>
      <c r="UV31" s="75">
        <v>5</v>
      </c>
      <c r="UW31" s="75">
        <v>5</v>
      </c>
      <c r="UX31" s="75">
        <v>5</v>
      </c>
      <c r="UY31" s="75"/>
      <c r="UZ31" s="75">
        <v>5</v>
      </c>
      <c r="VA31" s="75">
        <v>5</v>
      </c>
      <c r="VB31" s="75">
        <v>5</v>
      </c>
      <c r="VC31" s="75">
        <v>5</v>
      </c>
      <c r="VD31" s="75">
        <v>5</v>
      </c>
      <c r="VE31" s="75">
        <v>5</v>
      </c>
      <c r="VF31" s="75"/>
      <c r="VG31" s="75">
        <v>5</v>
      </c>
      <c r="VH31" s="75">
        <v>5</v>
      </c>
      <c r="VI31" s="75">
        <v>5</v>
      </c>
      <c r="VJ31" s="75">
        <v>5</v>
      </c>
      <c r="VK31" s="75">
        <v>5</v>
      </c>
      <c r="VL31" s="75">
        <v>5</v>
      </c>
      <c r="VM31" s="75"/>
      <c r="VN31" s="75"/>
      <c r="VO31" s="75"/>
      <c r="VP31" s="75"/>
      <c r="VQ31" s="75"/>
      <c r="VR31" s="75"/>
      <c r="VS31" s="75"/>
      <c r="VT31" s="75"/>
      <c r="VU31" s="75"/>
      <c r="VV31" s="75"/>
      <c r="VW31" s="75"/>
      <c r="VX31" s="75"/>
      <c r="VY31" s="75"/>
      <c r="VZ31" s="75"/>
      <c r="WA31" s="75"/>
      <c r="WB31" s="75"/>
      <c r="WC31" s="75"/>
      <c r="WD31" s="75"/>
      <c r="WE31" s="75"/>
      <c r="WF31" s="75"/>
      <c r="WG31" s="75"/>
      <c r="WH31" s="75"/>
      <c r="WI31" s="75"/>
      <c r="WJ31" s="75"/>
      <c r="WK31" s="75"/>
      <c r="WL31" s="75"/>
      <c r="WM31" s="75"/>
      <c r="WN31" s="75"/>
      <c r="WO31" s="75"/>
      <c r="WP31" s="75"/>
      <c r="WQ31" s="75"/>
      <c r="WR31" s="75"/>
      <c r="WS31" s="75"/>
      <c r="WT31" s="75"/>
      <c r="WU31" s="75"/>
      <c r="WV31" s="75"/>
      <c r="WW31" s="75"/>
      <c r="WX31" s="75"/>
      <c r="WY31" s="75"/>
      <c r="WZ31" s="75"/>
      <c r="XA31" s="75"/>
      <c r="XB31" s="75"/>
      <c r="XC31" s="75"/>
      <c r="XD31" s="75"/>
      <c r="XE31" s="75"/>
      <c r="XF31" s="75"/>
      <c r="XG31" s="75"/>
      <c r="XH31" s="75"/>
      <c r="XI31" s="75"/>
      <c r="XJ31" s="75"/>
      <c r="XK31" s="75"/>
      <c r="XL31" s="75"/>
      <c r="XM31" s="75"/>
      <c r="XN31" s="75"/>
      <c r="XO31" s="75"/>
      <c r="XP31" s="75"/>
      <c r="XQ31" s="75"/>
      <c r="XR31" s="75"/>
      <c r="XS31" s="75"/>
      <c r="XT31" s="75"/>
      <c r="XU31" s="75"/>
      <c r="XV31" s="75"/>
      <c r="XW31" s="75"/>
      <c r="XX31" s="75"/>
      <c r="XY31" s="75"/>
      <c r="XZ31" s="75"/>
      <c r="YA31" s="75"/>
      <c r="YB31" s="75"/>
      <c r="YC31" s="75"/>
      <c r="YD31" s="75"/>
      <c r="YE31" s="75"/>
      <c r="YF31" s="75"/>
      <c r="YG31" s="75"/>
      <c r="YH31" s="75"/>
      <c r="YI31" s="75"/>
      <c r="YJ31" s="75"/>
      <c r="YK31" s="75"/>
      <c r="YL31" s="75"/>
      <c r="YM31" s="75"/>
      <c r="YN31" s="75"/>
      <c r="YO31" s="75"/>
      <c r="YP31" s="75"/>
      <c r="YQ31" s="75"/>
      <c r="YR31" s="75"/>
      <c r="YS31" s="75"/>
      <c r="YT31" s="75"/>
      <c r="YU31" s="75"/>
      <c r="YV31" s="75"/>
      <c r="YW31" s="75"/>
      <c r="YX31" s="75"/>
      <c r="YY31" s="75"/>
      <c r="YZ31" s="75"/>
      <c r="ZA31" s="75"/>
      <c r="ZB31" s="75"/>
      <c r="ZC31" s="75"/>
      <c r="ZD31" s="75"/>
      <c r="ZE31" s="75"/>
      <c r="ZF31" s="75"/>
      <c r="ZG31" s="75"/>
      <c r="ZH31" s="75"/>
      <c r="ZI31" s="75"/>
      <c r="ZJ31" s="75"/>
      <c r="ZK31" s="75"/>
      <c r="ZL31" s="75"/>
      <c r="ZM31" s="75"/>
      <c r="ZN31" s="75"/>
      <c r="ZO31" s="75"/>
      <c r="ZP31" s="75"/>
      <c r="ZQ31" s="75"/>
      <c r="ZR31" s="75"/>
      <c r="ZS31" s="75"/>
      <c r="ZT31" s="75"/>
      <c r="ZU31" s="75"/>
      <c r="ZV31" s="75"/>
      <c r="ZW31" s="75"/>
      <c r="ZX31" s="75"/>
      <c r="ZY31" s="75"/>
      <c r="ZZ31" s="75"/>
      <c r="AAA31" s="75"/>
      <c r="AAB31" s="75"/>
      <c r="AAC31" s="75"/>
      <c r="AAD31" s="75"/>
      <c r="AAE31" s="75"/>
      <c r="AAF31" s="75"/>
      <c r="AAG31" s="75"/>
      <c r="AAH31" s="75"/>
      <c r="AAI31" s="75"/>
      <c r="AAJ31" s="75"/>
      <c r="AAK31" s="75"/>
      <c r="AAL31" s="75"/>
      <c r="AAM31" s="75"/>
      <c r="AAN31" s="75"/>
      <c r="AAO31" s="75"/>
      <c r="AAP31" s="75"/>
      <c r="AAQ31" s="75"/>
      <c r="AAR31" s="75"/>
      <c r="AAS31" s="75"/>
      <c r="AAT31" s="75"/>
      <c r="AAU31" s="75"/>
      <c r="AAV31" s="75"/>
      <c r="AAW31" s="75"/>
      <c r="AAX31" s="75"/>
      <c r="AAY31" s="75"/>
      <c r="AAZ31" s="75"/>
      <c r="ABA31" s="75"/>
      <c r="ABB31" s="75"/>
      <c r="ABC31" s="75"/>
    </row>
    <row r="32" spans="1:731">
      <c r="A32" s="75" t="s">
        <v>69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5"/>
      <c r="BF32" s="75"/>
      <c r="BG32" s="75"/>
      <c r="BH32" s="75"/>
      <c r="BI32" s="75"/>
      <c r="BJ32" s="75"/>
      <c r="BK32" s="75"/>
      <c r="BL32" s="75"/>
      <c r="BM32" s="75"/>
      <c r="BN32" s="75"/>
      <c r="BO32" s="75"/>
      <c r="BP32" s="75"/>
      <c r="BQ32" s="75"/>
      <c r="BR32" s="75"/>
      <c r="BS32" s="75"/>
      <c r="BT32" s="75"/>
      <c r="BU32" s="75"/>
      <c r="BV32" s="75"/>
      <c r="BW32" s="75"/>
      <c r="BX32" s="75"/>
      <c r="BY32" s="75"/>
      <c r="BZ32" s="75"/>
      <c r="CA32" s="75"/>
      <c r="CB32" s="75"/>
      <c r="CC32" s="75"/>
      <c r="CD32" s="75"/>
      <c r="CE32" s="75"/>
      <c r="CF32" s="75"/>
      <c r="CG32" s="75"/>
      <c r="CH32" s="75"/>
      <c r="CI32" s="75"/>
      <c r="CJ32" s="75"/>
      <c r="CK32" s="75"/>
      <c r="CL32" s="75"/>
      <c r="CM32" s="75"/>
      <c r="CN32" s="75"/>
      <c r="CO32" s="75"/>
      <c r="CP32" s="75"/>
      <c r="CQ32" s="75"/>
      <c r="CR32" s="75"/>
      <c r="CS32" s="75"/>
      <c r="CT32" s="75"/>
      <c r="CU32" s="75"/>
      <c r="CV32" s="75"/>
      <c r="CW32" s="75"/>
      <c r="CX32" s="75"/>
      <c r="CY32" s="75"/>
      <c r="CZ32" s="75"/>
      <c r="DA32" s="75"/>
      <c r="DB32" s="75"/>
      <c r="DC32" s="75"/>
      <c r="DD32" s="75"/>
      <c r="DE32" s="75"/>
      <c r="DF32" s="75"/>
      <c r="DG32" s="75"/>
      <c r="DH32" s="75"/>
      <c r="DI32" s="75"/>
      <c r="DJ32" s="75"/>
      <c r="DK32" s="75"/>
      <c r="DL32" s="75"/>
      <c r="DM32" s="75"/>
      <c r="DN32" s="75"/>
      <c r="DO32" s="75"/>
      <c r="DP32" s="75"/>
      <c r="DQ32" s="75"/>
      <c r="DR32" s="75"/>
      <c r="DS32" s="75"/>
      <c r="DT32" s="75"/>
      <c r="DU32" s="75"/>
      <c r="DV32" s="75"/>
      <c r="DW32" s="75"/>
      <c r="DX32" s="75"/>
      <c r="DY32" s="75"/>
      <c r="DZ32" s="75"/>
      <c r="EA32" s="75"/>
      <c r="EB32" s="75"/>
      <c r="EC32" s="75"/>
      <c r="ED32" s="75"/>
      <c r="EE32" s="75"/>
      <c r="EF32" s="75"/>
      <c r="EG32" s="75"/>
      <c r="EH32" s="75"/>
      <c r="EI32" s="75"/>
      <c r="EJ32" s="75"/>
      <c r="EK32" s="75"/>
      <c r="EL32" s="75"/>
      <c r="EM32" s="75"/>
      <c r="EN32" s="75"/>
      <c r="EO32" s="75"/>
      <c r="EP32" s="75"/>
      <c r="EQ32" s="75"/>
      <c r="ER32" s="75"/>
      <c r="ES32" s="75"/>
      <c r="ET32" s="75"/>
      <c r="EU32" s="75"/>
      <c r="EV32" s="75"/>
      <c r="EW32" s="75"/>
      <c r="EX32" s="75"/>
      <c r="EY32" s="75"/>
      <c r="EZ32" s="75"/>
      <c r="FA32" s="75"/>
      <c r="FB32" s="75"/>
      <c r="FC32" s="75"/>
      <c r="FD32" s="75"/>
      <c r="FE32" s="75"/>
      <c r="FF32" s="75"/>
      <c r="FG32" s="75"/>
      <c r="FH32" s="75"/>
      <c r="FI32" s="75"/>
      <c r="FJ32" s="75"/>
      <c r="FK32" s="75"/>
      <c r="FL32" s="75"/>
      <c r="FM32" s="75"/>
      <c r="FN32" s="75"/>
      <c r="FO32" s="75"/>
      <c r="FP32" s="75"/>
      <c r="FQ32" s="75"/>
      <c r="FR32" s="75"/>
      <c r="FS32" s="75"/>
      <c r="FT32" s="75"/>
      <c r="FU32" s="75"/>
      <c r="FV32" s="75"/>
      <c r="FW32" s="75"/>
      <c r="FX32" s="75"/>
      <c r="FY32" s="75"/>
      <c r="FZ32" s="75"/>
      <c r="GA32" s="75"/>
      <c r="GB32" s="75"/>
      <c r="GC32" s="75"/>
      <c r="GD32" s="75"/>
      <c r="GE32" s="75"/>
      <c r="GF32" s="75"/>
      <c r="GG32" s="75"/>
      <c r="GH32" s="75"/>
      <c r="GI32" s="75"/>
      <c r="GJ32" s="75"/>
      <c r="GK32" s="75"/>
      <c r="GL32" s="75"/>
      <c r="GM32" s="75"/>
      <c r="GN32" s="75"/>
      <c r="GO32" s="75"/>
      <c r="GP32" s="75"/>
      <c r="GQ32" s="75"/>
      <c r="GR32" s="75"/>
      <c r="GS32" s="75"/>
      <c r="GT32" s="75"/>
      <c r="GU32" s="75"/>
      <c r="GV32" s="75"/>
      <c r="GW32" s="75"/>
      <c r="GX32" s="75"/>
      <c r="GY32" s="75"/>
      <c r="GZ32" s="75"/>
      <c r="HA32" s="75"/>
      <c r="HB32" s="75"/>
      <c r="HC32" s="75"/>
      <c r="HD32" s="75"/>
      <c r="HE32" s="75"/>
      <c r="HF32" s="75"/>
      <c r="HG32" s="75"/>
      <c r="HH32" s="75"/>
      <c r="HI32" s="75"/>
      <c r="HJ32" s="75"/>
      <c r="HK32" s="75"/>
      <c r="HL32" s="75"/>
      <c r="HM32" s="75"/>
      <c r="HN32" s="75"/>
      <c r="HO32" s="75"/>
      <c r="HP32" s="75"/>
      <c r="HQ32" s="75"/>
      <c r="HR32" s="75"/>
      <c r="HS32" s="75"/>
      <c r="HT32" s="75"/>
      <c r="HU32" s="75"/>
      <c r="HV32" s="75"/>
      <c r="HW32" s="75"/>
      <c r="HX32" s="75"/>
      <c r="HY32" s="75"/>
      <c r="HZ32" s="75"/>
      <c r="IA32" s="75"/>
      <c r="IB32" s="75"/>
      <c r="IC32" s="75"/>
      <c r="ID32" s="75"/>
      <c r="IE32" s="75"/>
      <c r="IF32" s="75"/>
      <c r="IG32" s="75"/>
      <c r="IH32" s="75"/>
      <c r="II32" s="75"/>
      <c r="IJ32" s="75"/>
      <c r="IK32" s="75"/>
      <c r="IL32" s="75"/>
      <c r="IM32" s="75"/>
      <c r="IN32" s="75"/>
      <c r="IO32" s="75"/>
      <c r="IP32" s="75"/>
      <c r="IQ32" s="75"/>
      <c r="IR32" s="75"/>
      <c r="IS32" s="75"/>
      <c r="IT32" s="75"/>
      <c r="IU32" s="75"/>
      <c r="IV32" s="75"/>
      <c r="IW32" s="75"/>
      <c r="IX32" s="75"/>
      <c r="IY32" s="75"/>
      <c r="IZ32" s="75"/>
      <c r="JA32" s="75"/>
      <c r="JB32" s="75"/>
      <c r="JC32" s="75"/>
      <c r="JD32" s="75"/>
      <c r="JE32" s="75"/>
      <c r="JF32" s="75"/>
      <c r="JG32" s="75"/>
      <c r="JH32" s="75"/>
      <c r="JI32" s="75"/>
      <c r="JJ32" s="75"/>
      <c r="JK32" s="75"/>
      <c r="JL32" s="75"/>
      <c r="JM32" s="75"/>
      <c r="JN32" s="75"/>
      <c r="JO32" s="75"/>
      <c r="JP32" s="75"/>
      <c r="JQ32" s="75"/>
      <c r="JR32" s="75"/>
      <c r="JS32" s="75"/>
      <c r="JT32" s="75"/>
      <c r="JU32" s="75"/>
      <c r="JV32" s="75"/>
      <c r="JW32" s="75"/>
      <c r="JX32" s="75"/>
      <c r="JY32" s="75"/>
      <c r="JZ32" s="75"/>
      <c r="KA32" s="75"/>
      <c r="KB32" s="75"/>
      <c r="KC32" s="75"/>
      <c r="KD32" s="75"/>
      <c r="KE32" s="75"/>
      <c r="KF32" s="75"/>
      <c r="KG32" s="75"/>
      <c r="KH32" s="75"/>
      <c r="KI32" s="75"/>
      <c r="KJ32" s="75"/>
      <c r="KK32" s="75"/>
      <c r="KL32" s="75"/>
      <c r="KM32" s="75"/>
      <c r="KN32" s="75"/>
      <c r="KO32" s="75"/>
      <c r="KP32" s="75"/>
      <c r="KQ32" s="75"/>
      <c r="KR32" s="75"/>
      <c r="KS32" s="75"/>
      <c r="KT32" s="75"/>
      <c r="KU32" s="75"/>
      <c r="KV32" s="75"/>
      <c r="KW32" s="75"/>
      <c r="KX32" s="75"/>
      <c r="KY32" s="75"/>
      <c r="KZ32" s="75"/>
      <c r="LA32" s="75"/>
      <c r="LB32" s="75"/>
      <c r="LC32" s="75"/>
      <c r="LD32" s="75"/>
      <c r="LE32" s="75"/>
      <c r="LF32" s="75"/>
      <c r="LG32" s="75"/>
      <c r="LH32" s="75"/>
      <c r="LI32" s="75"/>
      <c r="LJ32" s="75"/>
      <c r="LK32" s="75"/>
      <c r="LL32" s="75"/>
      <c r="LM32" s="75"/>
      <c r="LN32" s="75"/>
      <c r="LO32" s="75"/>
      <c r="LP32" s="75"/>
      <c r="LQ32" s="75"/>
      <c r="LR32" s="75"/>
      <c r="LS32" s="75"/>
      <c r="LT32" s="75"/>
      <c r="LU32" s="75"/>
      <c r="LV32" s="75"/>
      <c r="LW32" s="75"/>
      <c r="LX32" s="75"/>
      <c r="LY32" s="75"/>
      <c r="LZ32" s="75"/>
      <c r="MA32" s="75"/>
      <c r="MB32" s="75"/>
      <c r="MC32" s="75"/>
      <c r="MD32" s="75"/>
      <c r="ME32" s="75"/>
      <c r="MF32" s="75"/>
      <c r="MG32" s="75"/>
      <c r="MH32" s="75"/>
      <c r="MI32" s="75"/>
      <c r="MJ32" s="75"/>
      <c r="MK32" s="75"/>
      <c r="ML32" s="75"/>
      <c r="MM32" s="75"/>
      <c r="MN32" s="75"/>
      <c r="MO32" s="75"/>
      <c r="MP32" s="75"/>
      <c r="MQ32" s="75"/>
      <c r="MR32" s="75"/>
      <c r="MS32" s="75"/>
      <c r="MT32" s="75"/>
      <c r="MU32" s="75"/>
      <c r="MV32" s="75"/>
      <c r="MW32" s="75"/>
      <c r="MX32" s="75"/>
      <c r="MY32" s="75"/>
      <c r="MZ32" s="75"/>
      <c r="NA32" s="75"/>
      <c r="NB32" s="75"/>
      <c r="NC32" s="75"/>
      <c r="ND32" s="75"/>
      <c r="NE32" s="75"/>
      <c r="NF32" s="75"/>
      <c r="NG32" s="75"/>
      <c r="NH32" s="75"/>
      <c r="NI32" s="75"/>
      <c r="NJ32" s="75"/>
      <c r="NK32" s="75"/>
      <c r="NL32" s="75">
        <v>4</v>
      </c>
      <c r="NM32" s="75">
        <v>4</v>
      </c>
      <c r="NN32" s="75">
        <v>4</v>
      </c>
      <c r="NO32" s="75">
        <v>4</v>
      </c>
      <c r="NP32" s="75">
        <v>4</v>
      </c>
      <c r="NQ32" s="75">
        <v>4</v>
      </c>
      <c r="NR32" s="75"/>
      <c r="NS32" s="75">
        <v>4</v>
      </c>
      <c r="NT32" s="75">
        <v>4</v>
      </c>
      <c r="NU32" s="75">
        <v>4</v>
      </c>
      <c r="NV32" s="75">
        <v>4</v>
      </c>
      <c r="NW32" s="75"/>
      <c r="NX32" s="75"/>
      <c r="NY32" s="75"/>
      <c r="NZ32" s="75"/>
      <c r="OA32" s="75"/>
      <c r="OB32" s="75"/>
      <c r="OC32" s="75"/>
      <c r="OD32" s="75"/>
      <c r="OE32" s="75"/>
      <c r="OF32" s="75"/>
      <c r="OG32" s="75"/>
      <c r="OH32" s="75">
        <v>2</v>
      </c>
      <c r="OI32" s="75">
        <v>4</v>
      </c>
      <c r="OJ32" s="75">
        <v>4</v>
      </c>
      <c r="OK32" s="75">
        <v>4</v>
      </c>
      <c r="OL32" s="75">
        <v>4</v>
      </c>
      <c r="OM32" s="75"/>
      <c r="ON32" s="75">
        <v>4</v>
      </c>
      <c r="OO32" s="75">
        <v>4</v>
      </c>
      <c r="OP32" s="75">
        <v>8</v>
      </c>
      <c r="OQ32" s="75">
        <v>8</v>
      </c>
      <c r="OR32" s="75">
        <v>8</v>
      </c>
      <c r="OS32" s="75">
        <v>6</v>
      </c>
      <c r="OT32" s="75"/>
      <c r="OU32" s="75">
        <v>4</v>
      </c>
      <c r="OV32" s="75">
        <v>4</v>
      </c>
      <c r="OW32" s="75">
        <v>4</v>
      </c>
      <c r="OX32" s="75">
        <v>4</v>
      </c>
      <c r="OY32" s="75">
        <v>4</v>
      </c>
      <c r="OZ32" s="75">
        <v>4</v>
      </c>
      <c r="PA32" s="75"/>
      <c r="PB32" s="75"/>
      <c r="PC32" s="75"/>
      <c r="PD32" s="75"/>
      <c r="PE32" s="75"/>
      <c r="PF32" s="75"/>
      <c r="PG32" s="75"/>
      <c r="PH32" s="75"/>
      <c r="PI32" s="75"/>
      <c r="PJ32" s="75"/>
      <c r="PK32" s="75"/>
      <c r="PL32" s="75"/>
      <c r="PM32" s="75"/>
      <c r="PN32" s="75">
        <v>1</v>
      </c>
      <c r="PO32" s="75"/>
      <c r="PP32" s="75">
        <v>6</v>
      </c>
      <c r="PQ32" s="75">
        <v>6</v>
      </c>
      <c r="PR32" s="75">
        <v>6</v>
      </c>
      <c r="PS32" s="75">
        <v>6</v>
      </c>
      <c r="PT32" s="75">
        <v>6</v>
      </c>
      <c r="PU32" s="75">
        <v>6</v>
      </c>
      <c r="PV32" s="75"/>
      <c r="PW32" s="75">
        <v>6</v>
      </c>
      <c r="PX32" s="75">
        <v>6</v>
      </c>
      <c r="PY32" s="75">
        <v>6</v>
      </c>
      <c r="PZ32" s="75">
        <v>5</v>
      </c>
      <c r="QA32" s="75"/>
      <c r="QB32" s="75"/>
      <c r="QC32" s="75"/>
      <c r="QD32" s="75"/>
      <c r="QE32" s="75"/>
      <c r="QF32" s="75"/>
      <c r="QG32" s="75"/>
      <c r="QH32" s="75"/>
      <c r="QI32" s="75">
        <v>1</v>
      </c>
      <c r="QJ32" s="75"/>
      <c r="QK32" s="75">
        <v>6</v>
      </c>
      <c r="QL32" s="75">
        <v>6</v>
      </c>
      <c r="QM32" s="75">
        <v>6</v>
      </c>
      <c r="QN32" s="75">
        <v>7</v>
      </c>
      <c r="QO32" s="75">
        <v>12</v>
      </c>
      <c r="QP32" s="75">
        <v>12</v>
      </c>
      <c r="QQ32" s="75"/>
      <c r="QR32" s="75">
        <v>12</v>
      </c>
      <c r="QS32" s="75">
        <v>12</v>
      </c>
      <c r="QT32" s="75">
        <v>12</v>
      </c>
      <c r="QU32" s="75">
        <v>12</v>
      </c>
      <c r="QV32" s="75">
        <v>16</v>
      </c>
      <c r="QW32" s="75">
        <v>16</v>
      </c>
      <c r="QX32" s="75"/>
      <c r="QY32" s="75">
        <v>16</v>
      </c>
      <c r="QZ32" s="75">
        <v>15</v>
      </c>
      <c r="RA32" s="75">
        <v>10</v>
      </c>
      <c r="RB32" s="75">
        <v>10</v>
      </c>
      <c r="RC32" s="75">
        <v>10</v>
      </c>
      <c r="RD32" s="75">
        <v>12</v>
      </c>
      <c r="RE32" s="75"/>
      <c r="RF32" s="75">
        <v>27</v>
      </c>
      <c r="RG32" s="75">
        <v>48</v>
      </c>
      <c r="RH32" s="75">
        <v>48</v>
      </c>
      <c r="RI32" s="75">
        <v>48</v>
      </c>
      <c r="RJ32" s="75">
        <v>48</v>
      </c>
      <c r="RK32" s="75">
        <v>48</v>
      </c>
      <c r="RL32" s="75"/>
      <c r="RM32" s="75">
        <v>49</v>
      </c>
      <c r="RN32" s="75">
        <v>48</v>
      </c>
      <c r="RO32" s="75">
        <v>48</v>
      </c>
      <c r="RP32" s="75">
        <v>46</v>
      </c>
      <c r="RQ32" s="75">
        <v>31</v>
      </c>
      <c r="RR32" s="75">
        <v>10</v>
      </c>
      <c r="RS32" s="75"/>
      <c r="RT32" s="75">
        <v>10</v>
      </c>
      <c r="RU32" s="75">
        <v>10</v>
      </c>
      <c r="RV32" s="75">
        <v>10</v>
      </c>
      <c r="RW32" s="75">
        <v>10</v>
      </c>
      <c r="RX32" s="75">
        <v>10</v>
      </c>
      <c r="RY32" s="75">
        <v>38</v>
      </c>
      <c r="RZ32" s="75"/>
      <c r="SA32" s="75">
        <v>54</v>
      </c>
      <c r="SB32" s="75">
        <v>54</v>
      </c>
      <c r="SC32" s="75">
        <v>54</v>
      </c>
      <c r="SD32" s="75">
        <v>52</v>
      </c>
      <c r="SE32" s="75">
        <v>44</v>
      </c>
      <c r="SF32" s="75">
        <v>44</v>
      </c>
      <c r="SG32" s="75"/>
      <c r="SH32" s="75">
        <v>44</v>
      </c>
      <c r="SI32" s="75">
        <v>44</v>
      </c>
      <c r="SJ32" s="75">
        <v>45</v>
      </c>
      <c r="SK32" s="75">
        <v>26</v>
      </c>
      <c r="SL32" s="75">
        <v>10</v>
      </c>
      <c r="SM32" s="75">
        <v>10</v>
      </c>
      <c r="SN32" s="75"/>
      <c r="SO32" s="75">
        <v>18</v>
      </c>
      <c r="SP32" s="75">
        <v>54</v>
      </c>
      <c r="SQ32" s="75">
        <v>70</v>
      </c>
      <c r="SR32" s="75">
        <v>70</v>
      </c>
      <c r="SS32" s="75">
        <v>70</v>
      </c>
      <c r="ST32" s="75">
        <v>70</v>
      </c>
      <c r="SU32" s="75"/>
      <c r="SV32" s="75">
        <v>70</v>
      </c>
      <c r="SW32" s="75">
        <v>70</v>
      </c>
      <c r="SX32" s="75">
        <v>71</v>
      </c>
      <c r="SY32" s="75">
        <v>80</v>
      </c>
      <c r="SZ32" s="75">
        <v>80</v>
      </c>
      <c r="TA32" s="75">
        <v>79</v>
      </c>
      <c r="TB32" s="75"/>
      <c r="TC32" s="75">
        <v>70</v>
      </c>
      <c r="TD32" s="75">
        <v>70</v>
      </c>
      <c r="TE32" s="75">
        <v>70</v>
      </c>
      <c r="TF32" s="75">
        <v>72</v>
      </c>
      <c r="TG32" s="75">
        <v>36</v>
      </c>
      <c r="TH32" s="75">
        <v>31</v>
      </c>
      <c r="TI32" s="75"/>
      <c r="TJ32" s="75">
        <v>40</v>
      </c>
      <c r="TK32" s="75">
        <v>40</v>
      </c>
      <c r="TL32" s="75">
        <v>40</v>
      </c>
      <c r="TM32" s="75">
        <v>49</v>
      </c>
      <c r="TN32" s="75">
        <v>90</v>
      </c>
      <c r="TO32" s="75">
        <v>97</v>
      </c>
      <c r="TP32" s="75"/>
      <c r="TQ32" s="75">
        <v>104</v>
      </c>
      <c r="TR32" s="75">
        <v>112</v>
      </c>
      <c r="TS32" s="75">
        <v>144</v>
      </c>
      <c r="TT32" s="75">
        <v>148</v>
      </c>
      <c r="TU32" s="75">
        <v>165</v>
      </c>
      <c r="TV32" s="75">
        <v>175</v>
      </c>
      <c r="TW32" s="75"/>
      <c r="TX32" s="75">
        <v>174</v>
      </c>
      <c r="TY32" s="75">
        <v>174</v>
      </c>
      <c r="TZ32" s="75">
        <v>167</v>
      </c>
      <c r="UA32" s="75">
        <v>171</v>
      </c>
      <c r="UB32" s="75">
        <v>182</v>
      </c>
      <c r="UC32" s="75">
        <v>190</v>
      </c>
      <c r="UD32" s="75"/>
      <c r="UE32" s="75">
        <v>191</v>
      </c>
      <c r="UF32" s="75">
        <v>150</v>
      </c>
      <c r="UG32" s="75">
        <v>165</v>
      </c>
      <c r="UH32" s="75">
        <v>140</v>
      </c>
      <c r="UI32" s="75">
        <v>133</v>
      </c>
      <c r="UJ32" s="75">
        <v>110</v>
      </c>
      <c r="UK32" s="75"/>
      <c r="UL32" s="75">
        <v>114</v>
      </c>
      <c r="UM32" s="75">
        <v>88</v>
      </c>
      <c r="UN32" s="75">
        <v>86</v>
      </c>
      <c r="UO32" s="75">
        <v>82</v>
      </c>
      <c r="UP32" s="75">
        <v>82</v>
      </c>
      <c r="UQ32" s="75">
        <v>82</v>
      </c>
      <c r="UR32" s="75"/>
      <c r="US32" s="75">
        <v>79</v>
      </c>
      <c r="UT32" s="75">
        <v>74</v>
      </c>
      <c r="UU32" s="75">
        <v>72</v>
      </c>
      <c r="UV32" s="75">
        <v>50</v>
      </c>
      <c r="UW32" s="75">
        <v>50</v>
      </c>
      <c r="UX32" s="75">
        <v>30</v>
      </c>
      <c r="UY32" s="75"/>
      <c r="UZ32" s="75">
        <v>31</v>
      </c>
      <c r="VA32" s="75">
        <v>24</v>
      </c>
      <c r="VB32" s="75">
        <v>24</v>
      </c>
      <c r="VC32" s="75">
        <v>16</v>
      </c>
      <c r="VD32" s="75">
        <v>16</v>
      </c>
      <c r="VE32" s="75">
        <v>6</v>
      </c>
      <c r="VF32" s="75"/>
      <c r="VG32" s="75">
        <v>6</v>
      </c>
      <c r="VH32" s="75">
        <v>6</v>
      </c>
      <c r="VI32" s="75">
        <v>7</v>
      </c>
      <c r="VJ32" s="75">
        <v>10</v>
      </c>
      <c r="VK32" s="75">
        <v>10</v>
      </c>
      <c r="VL32" s="75">
        <v>8</v>
      </c>
      <c r="VM32" s="75"/>
      <c r="VN32" s="75">
        <v>7</v>
      </c>
      <c r="VO32" s="75">
        <v>2</v>
      </c>
      <c r="VP32" s="75">
        <v>2</v>
      </c>
      <c r="VQ32" s="75"/>
      <c r="VR32" s="75"/>
      <c r="VS32" s="75"/>
      <c r="VT32" s="75"/>
      <c r="VU32" s="75"/>
      <c r="VV32" s="75"/>
      <c r="VW32" s="75"/>
      <c r="VX32" s="75"/>
      <c r="VY32" s="75"/>
      <c r="VZ32" s="75"/>
      <c r="WA32" s="75"/>
      <c r="WB32" s="75"/>
      <c r="WC32" s="75"/>
      <c r="WD32" s="75"/>
      <c r="WE32" s="75"/>
      <c r="WF32" s="75"/>
      <c r="WG32" s="75"/>
      <c r="WH32" s="75"/>
      <c r="WI32" s="75"/>
      <c r="WJ32" s="75"/>
      <c r="WK32" s="75"/>
      <c r="WL32" s="75"/>
      <c r="WM32" s="75"/>
      <c r="WN32" s="75"/>
      <c r="WO32" s="75"/>
      <c r="WP32" s="75"/>
      <c r="WQ32" s="75"/>
      <c r="WR32" s="75"/>
      <c r="WS32" s="75"/>
      <c r="WT32" s="75"/>
      <c r="WU32" s="75"/>
      <c r="WV32" s="75"/>
      <c r="WW32" s="75"/>
      <c r="WX32" s="75"/>
      <c r="WY32" s="75"/>
      <c r="WZ32" s="75"/>
      <c r="XA32" s="75"/>
      <c r="XB32" s="75"/>
      <c r="XC32" s="75"/>
      <c r="XD32" s="75"/>
      <c r="XE32" s="75"/>
      <c r="XF32" s="75"/>
      <c r="XG32" s="75"/>
      <c r="XH32" s="75"/>
      <c r="XI32" s="75"/>
      <c r="XJ32" s="75"/>
      <c r="XK32" s="75"/>
      <c r="XL32" s="75"/>
      <c r="XM32" s="75"/>
      <c r="XN32" s="75"/>
      <c r="XO32" s="75"/>
      <c r="XP32" s="75"/>
      <c r="XQ32" s="75"/>
      <c r="XR32" s="75"/>
      <c r="XS32" s="75"/>
      <c r="XT32" s="75"/>
      <c r="XU32" s="75"/>
      <c r="XV32" s="75"/>
      <c r="XW32" s="75"/>
      <c r="XX32" s="75"/>
      <c r="XY32" s="75"/>
      <c r="XZ32" s="75"/>
      <c r="YA32" s="75"/>
      <c r="YB32" s="75"/>
      <c r="YC32" s="75"/>
      <c r="YD32" s="75"/>
      <c r="YE32" s="75"/>
      <c r="YF32" s="75"/>
      <c r="YG32" s="75"/>
      <c r="YH32" s="75"/>
      <c r="YI32" s="75"/>
      <c r="YJ32" s="75"/>
      <c r="YK32" s="75"/>
      <c r="YL32" s="75"/>
      <c r="YM32" s="75"/>
      <c r="YN32" s="75"/>
      <c r="YO32" s="75"/>
      <c r="YP32" s="75"/>
      <c r="YQ32" s="75"/>
      <c r="YR32" s="75"/>
      <c r="YS32" s="75"/>
      <c r="YT32" s="75"/>
      <c r="YU32" s="75"/>
      <c r="YV32" s="75"/>
      <c r="YW32" s="75"/>
      <c r="YX32" s="75"/>
      <c r="YY32" s="75"/>
      <c r="YZ32" s="75"/>
      <c r="ZA32" s="75"/>
      <c r="ZB32" s="75"/>
      <c r="ZC32" s="75"/>
      <c r="ZD32" s="75"/>
      <c r="ZE32" s="75"/>
      <c r="ZF32" s="75"/>
      <c r="ZG32" s="75"/>
      <c r="ZH32" s="75"/>
      <c r="ZI32" s="75"/>
      <c r="ZJ32" s="75"/>
      <c r="ZK32" s="75"/>
      <c r="ZL32" s="75"/>
      <c r="ZM32" s="75"/>
      <c r="ZN32" s="75"/>
      <c r="ZO32" s="75"/>
      <c r="ZP32" s="75"/>
      <c r="ZQ32" s="75"/>
      <c r="ZR32" s="75"/>
      <c r="ZS32" s="75"/>
      <c r="ZT32" s="75"/>
      <c r="ZU32" s="75"/>
      <c r="ZV32" s="75"/>
      <c r="ZW32" s="75"/>
      <c r="ZX32" s="75"/>
      <c r="ZY32" s="75"/>
      <c r="ZZ32" s="75"/>
      <c r="AAA32" s="75"/>
      <c r="AAB32" s="75"/>
      <c r="AAC32" s="75"/>
      <c r="AAD32" s="75"/>
      <c r="AAE32" s="75"/>
      <c r="AAF32" s="75"/>
      <c r="AAG32" s="75"/>
      <c r="AAH32" s="75"/>
      <c r="AAI32" s="75"/>
      <c r="AAJ32" s="75"/>
      <c r="AAK32" s="75"/>
      <c r="AAL32" s="75"/>
      <c r="AAM32" s="75"/>
      <c r="AAN32" s="75"/>
      <c r="AAO32" s="75"/>
      <c r="AAP32" s="75"/>
      <c r="AAQ32" s="75"/>
      <c r="AAR32" s="75"/>
      <c r="AAS32" s="75"/>
      <c r="AAT32" s="75"/>
      <c r="AAU32" s="75"/>
      <c r="AAV32" s="75"/>
      <c r="AAW32" s="75"/>
      <c r="AAX32" s="75"/>
      <c r="AAY32" s="75"/>
      <c r="AAZ32" s="75"/>
      <c r="ABA32" s="75"/>
      <c r="ABB32" s="75"/>
      <c r="ABC32" s="75"/>
    </row>
    <row r="33" spans="1:731">
      <c r="A33" s="75" t="s">
        <v>70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5"/>
      <c r="BF33" s="75"/>
      <c r="BG33" s="75"/>
      <c r="BH33" s="75"/>
      <c r="BI33" s="75"/>
      <c r="BJ33" s="75"/>
      <c r="BK33" s="75"/>
      <c r="BL33" s="75"/>
      <c r="BM33" s="75"/>
      <c r="BN33" s="75"/>
      <c r="BO33" s="75"/>
      <c r="BP33" s="75"/>
      <c r="BQ33" s="75"/>
      <c r="BR33" s="75"/>
      <c r="BS33" s="75"/>
      <c r="BT33" s="75"/>
      <c r="BU33" s="75"/>
      <c r="BV33" s="75"/>
      <c r="BW33" s="75"/>
      <c r="BX33" s="75"/>
      <c r="BY33" s="75"/>
      <c r="BZ33" s="75">
        <v>8</v>
      </c>
      <c r="CA33" s="75">
        <v>8</v>
      </c>
      <c r="CB33" s="75"/>
      <c r="CC33" s="75"/>
      <c r="CD33" s="75"/>
      <c r="CE33" s="75"/>
      <c r="CF33" s="75"/>
      <c r="CG33" s="75"/>
      <c r="CH33" s="75"/>
      <c r="CI33" s="75"/>
      <c r="CJ33" s="75"/>
      <c r="CK33" s="75">
        <v>8</v>
      </c>
      <c r="CL33" s="75">
        <v>8</v>
      </c>
      <c r="CM33" s="75"/>
      <c r="CN33" s="75"/>
      <c r="CO33" s="75"/>
      <c r="CP33" s="75"/>
      <c r="CQ33" s="75"/>
      <c r="CR33" s="75"/>
      <c r="CS33" s="75"/>
      <c r="CT33" s="75"/>
      <c r="CU33" s="75"/>
      <c r="CV33" s="75"/>
      <c r="CW33" s="75"/>
      <c r="CX33" s="75"/>
      <c r="CY33" s="75"/>
      <c r="CZ33" s="75"/>
      <c r="DA33" s="75"/>
      <c r="DB33" s="75"/>
      <c r="DC33" s="75"/>
      <c r="DD33" s="75"/>
      <c r="DE33" s="75"/>
      <c r="DF33" s="75">
        <v>10</v>
      </c>
      <c r="DG33" s="75">
        <v>10</v>
      </c>
      <c r="DH33" s="75">
        <v>2</v>
      </c>
      <c r="DI33" s="75">
        <v>2</v>
      </c>
      <c r="DJ33" s="75">
        <v>2</v>
      </c>
      <c r="DK33" s="75">
        <v>2</v>
      </c>
      <c r="DL33" s="75"/>
      <c r="DM33" s="75">
        <v>4</v>
      </c>
      <c r="DN33" s="75">
        <v>4</v>
      </c>
      <c r="DO33" s="75">
        <v>4</v>
      </c>
      <c r="DP33" s="75">
        <v>4</v>
      </c>
      <c r="DQ33" s="75">
        <v>4</v>
      </c>
      <c r="DR33" s="75">
        <v>4</v>
      </c>
      <c r="DS33" s="75"/>
      <c r="DT33" s="75">
        <v>4</v>
      </c>
      <c r="DU33" s="75">
        <v>4</v>
      </c>
      <c r="DV33" s="75">
        <v>2</v>
      </c>
      <c r="DW33" s="75">
        <v>2</v>
      </c>
      <c r="DX33" s="75">
        <v>2</v>
      </c>
      <c r="DY33" s="75">
        <v>2</v>
      </c>
      <c r="DZ33" s="75"/>
      <c r="EA33" s="75">
        <v>2</v>
      </c>
      <c r="EB33" s="75">
        <v>2</v>
      </c>
      <c r="EC33" s="75"/>
      <c r="ED33" s="75"/>
      <c r="EE33" s="75"/>
      <c r="EF33" s="75"/>
      <c r="EG33" s="75"/>
      <c r="EH33" s="75"/>
      <c r="EI33" s="75"/>
      <c r="EJ33" s="75"/>
      <c r="EK33" s="75"/>
      <c r="EL33" s="75"/>
      <c r="EM33" s="75"/>
      <c r="EN33" s="75"/>
      <c r="EO33" s="75"/>
      <c r="EP33" s="75"/>
      <c r="EQ33" s="75"/>
      <c r="ER33" s="75"/>
      <c r="ES33" s="75"/>
      <c r="ET33" s="75"/>
      <c r="EU33" s="75"/>
      <c r="EV33" s="75"/>
      <c r="EW33" s="75"/>
      <c r="EX33" s="75"/>
      <c r="EY33" s="75"/>
      <c r="EZ33" s="75"/>
      <c r="FA33" s="75"/>
      <c r="FB33" s="75"/>
      <c r="FC33" s="75"/>
      <c r="FD33" s="75"/>
      <c r="FE33" s="75"/>
      <c r="FF33" s="75"/>
      <c r="FG33" s="75"/>
      <c r="FH33" s="75"/>
      <c r="FI33" s="75"/>
      <c r="FJ33" s="75"/>
      <c r="FK33" s="75"/>
      <c r="FL33" s="75"/>
      <c r="FM33" s="75"/>
      <c r="FN33" s="75"/>
      <c r="FO33" s="75"/>
      <c r="FP33" s="75"/>
      <c r="FQ33" s="75"/>
      <c r="FR33" s="75"/>
      <c r="FS33" s="75"/>
      <c r="FT33" s="75"/>
      <c r="FU33" s="75"/>
      <c r="FV33" s="75"/>
      <c r="FW33" s="75"/>
      <c r="FX33" s="75"/>
      <c r="FY33" s="75"/>
      <c r="FZ33" s="75"/>
      <c r="GA33" s="75"/>
      <c r="GB33" s="75"/>
      <c r="GC33" s="75"/>
      <c r="GD33" s="75"/>
      <c r="GE33" s="75">
        <v>1</v>
      </c>
      <c r="GF33" s="75">
        <v>23</v>
      </c>
      <c r="GG33" s="75"/>
      <c r="GH33" s="75"/>
      <c r="GI33" s="75"/>
      <c r="GJ33" s="75"/>
      <c r="GK33" s="75"/>
      <c r="GL33" s="75"/>
      <c r="GM33" s="75">
        <v>19</v>
      </c>
      <c r="GN33" s="75">
        <v>5</v>
      </c>
      <c r="GO33" s="75"/>
      <c r="GP33" s="75"/>
      <c r="GQ33" s="75"/>
      <c r="GR33" s="75"/>
      <c r="GS33" s="75"/>
      <c r="GT33" s="75"/>
      <c r="GU33" s="75">
        <v>12</v>
      </c>
      <c r="GV33" s="75">
        <v>12</v>
      </c>
      <c r="GW33" s="75"/>
      <c r="GX33" s="75"/>
      <c r="GY33" s="75"/>
      <c r="GZ33" s="75"/>
      <c r="HA33" s="75"/>
      <c r="HB33" s="75"/>
      <c r="HC33" s="75"/>
      <c r="HD33" s="75"/>
      <c r="HE33" s="75"/>
      <c r="HF33" s="75"/>
      <c r="HG33" s="75"/>
      <c r="HH33" s="75"/>
      <c r="HI33" s="75">
        <v>22</v>
      </c>
      <c r="HJ33" s="75">
        <v>24</v>
      </c>
      <c r="HK33" s="75">
        <v>24</v>
      </c>
      <c r="HL33" s="75">
        <v>24</v>
      </c>
      <c r="HM33" s="75"/>
      <c r="HN33" s="75">
        <v>24</v>
      </c>
      <c r="HO33" s="75">
        <v>2</v>
      </c>
      <c r="HP33" s="75">
        <v>8</v>
      </c>
      <c r="HQ33" s="75">
        <v>24</v>
      </c>
      <c r="HR33" s="75">
        <v>1</v>
      </c>
      <c r="HS33" s="75">
        <v>1</v>
      </c>
      <c r="HT33" s="75"/>
      <c r="HU33" s="75">
        <v>1</v>
      </c>
      <c r="HV33" s="75">
        <v>1</v>
      </c>
      <c r="HW33" s="75">
        <v>1</v>
      </c>
      <c r="HX33" s="75">
        <v>1</v>
      </c>
      <c r="HY33" s="75">
        <v>1</v>
      </c>
      <c r="HZ33" s="75">
        <v>1</v>
      </c>
      <c r="IA33" s="75"/>
      <c r="IB33" s="75">
        <v>1</v>
      </c>
      <c r="IC33" s="75">
        <v>1</v>
      </c>
      <c r="ID33" s="75"/>
      <c r="IE33" s="75"/>
      <c r="IF33" s="75"/>
      <c r="IG33" s="75"/>
      <c r="IH33" s="75"/>
      <c r="II33" s="75"/>
      <c r="IJ33" s="75">
        <v>13</v>
      </c>
      <c r="IK33" s="75">
        <v>19</v>
      </c>
      <c r="IL33" s="75"/>
      <c r="IM33" s="75"/>
      <c r="IN33" s="75"/>
      <c r="IO33" s="75"/>
      <c r="IP33" s="75"/>
      <c r="IQ33" s="75"/>
      <c r="IR33" s="75"/>
      <c r="IS33" s="75"/>
      <c r="IT33" s="75"/>
      <c r="IU33" s="75"/>
      <c r="IV33" s="75"/>
      <c r="IW33" s="75"/>
      <c r="IX33" s="75"/>
      <c r="IY33" s="75"/>
      <c r="IZ33" s="75"/>
      <c r="JA33" s="75"/>
      <c r="JB33" s="75"/>
      <c r="JC33" s="75"/>
      <c r="JD33" s="75"/>
      <c r="JE33" s="75"/>
      <c r="JF33" s="75"/>
      <c r="JG33" s="75"/>
      <c r="JH33" s="75"/>
      <c r="JI33" s="75"/>
      <c r="JJ33" s="75"/>
      <c r="JK33" s="75"/>
      <c r="JL33" s="75">
        <v>1</v>
      </c>
      <c r="JM33" s="75">
        <v>1</v>
      </c>
      <c r="JN33" s="75">
        <v>1</v>
      </c>
      <c r="JO33" s="75">
        <v>1</v>
      </c>
      <c r="JP33" s="75">
        <v>1</v>
      </c>
      <c r="JQ33" s="75"/>
      <c r="JR33" s="75"/>
      <c r="JS33" s="75"/>
      <c r="JT33" s="75"/>
      <c r="JU33" s="75"/>
      <c r="JV33" s="75">
        <v>2</v>
      </c>
      <c r="JW33" s="75">
        <v>2</v>
      </c>
      <c r="JX33" s="75"/>
      <c r="JY33" s="75">
        <v>2</v>
      </c>
      <c r="JZ33" s="75">
        <v>2</v>
      </c>
      <c r="KA33" s="75">
        <v>2</v>
      </c>
      <c r="KB33" s="75">
        <v>1</v>
      </c>
      <c r="KC33" s="75">
        <v>1</v>
      </c>
      <c r="KD33" s="75">
        <v>1</v>
      </c>
      <c r="KE33" s="75"/>
      <c r="KF33" s="75">
        <v>1</v>
      </c>
      <c r="KG33" s="75">
        <v>1</v>
      </c>
      <c r="KH33" s="75">
        <v>1</v>
      </c>
      <c r="KI33" s="75">
        <v>1</v>
      </c>
      <c r="KJ33" s="75">
        <v>1</v>
      </c>
      <c r="KK33" s="75">
        <v>1</v>
      </c>
      <c r="KL33" s="75"/>
      <c r="KM33" s="75">
        <v>1</v>
      </c>
      <c r="KN33" s="75"/>
      <c r="KO33" s="75"/>
      <c r="KP33" s="75"/>
      <c r="KQ33" s="75"/>
      <c r="KR33" s="75"/>
      <c r="KS33" s="75"/>
      <c r="KT33" s="75"/>
      <c r="KU33" s="75"/>
      <c r="KV33" s="75"/>
      <c r="KW33" s="75"/>
      <c r="KX33" s="75"/>
      <c r="KY33" s="75"/>
      <c r="KZ33" s="75"/>
      <c r="LA33" s="75"/>
      <c r="LB33" s="75"/>
      <c r="LC33" s="75"/>
      <c r="LD33" s="75"/>
      <c r="LE33" s="75"/>
      <c r="LF33" s="75"/>
      <c r="LG33" s="75"/>
      <c r="LH33" s="75">
        <v>4</v>
      </c>
      <c r="LI33" s="75">
        <v>4</v>
      </c>
      <c r="LJ33" s="75">
        <v>4</v>
      </c>
      <c r="LK33" s="75">
        <v>4</v>
      </c>
      <c r="LL33" s="75"/>
      <c r="LM33" s="75"/>
      <c r="LN33" s="75"/>
      <c r="LO33" s="75"/>
      <c r="LP33" s="75"/>
      <c r="LQ33" s="75"/>
      <c r="LR33" s="75"/>
      <c r="LS33" s="75"/>
      <c r="LT33" s="75"/>
      <c r="LU33" s="75"/>
      <c r="LV33" s="75"/>
      <c r="LW33" s="75"/>
      <c r="LX33" s="75"/>
      <c r="LY33" s="75"/>
      <c r="LZ33" s="75"/>
      <c r="MA33" s="75"/>
      <c r="MB33" s="75"/>
      <c r="MC33" s="75"/>
      <c r="MD33" s="75"/>
      <c r="ME33" s="75"/>
      <c r="MF33" s="75"/>
      <c r="MG33" s="75"/>
      <c r="MH33" s="75"/>
      <c r="MI33" s="75"/>
      <c r="MJ33" s="75"/>
      <c r="MK33" s="75"/>
      <c r="ML33" s="75"/>
      <c r="MM33" s="75"/>
      <c r="MN33" s="75"/>
      <c r="MO33" s="75"/>
      <c r="MP33" s="75"/>
      <c r="MQ33" s="75"/>
      <c r="MR33" s="75"/>
      <c r="MS33" s="75"/>
      <c r="MT33" s="75"/>
      <c r="MU33" s="75"/>
      <c r="MV33" s="75"/>
      <c r="MW33" s="75"/>
      <c r="MX33" s="75"/>
      <c r="MY33" s="75"/>
      <c r="MZ33" s="75"/>
      <c r="NA33" s="75"/>
      <c r="NB33" s="75"/>
      <c r="NC33" s="75"/>
      <c r="ND33" s="75"/>
      <c r="NE33" s="75"/>
      <c r="NF33" s="75"/>
      <c r="NG33" s="75"/>
      <c r="NH33" s="75"/>
      <c r="NI33" s="75"/>
      <c r="NJ33" s="75"/>
      <c r="NK33" s="75"/>
      <c r="NL33" s="75"/>
      <c r="NM33" s="75"/>
      <c r="NN33" s="75"/>
      <c r="NO33" s="75"/>
      <c r="NP33" s="75"/>
      <c r="NQ33" s="75"/>
      <c r="NR33" s="75"/>
      <c r="NS33" s="75"/>
      <c r="NT33" s="75"/>
      <c r="NU33" s="75"/>
      <c r="NV33" s="75"/>
      <c r="NW33" s="75"/>
      <c r="NX33" s="75"/>
      <c r="NY33" s="75"/>
      <c r="NZ33" s="75"/>
      <c r="OA33" s="75"/>
      <c r="OB33" s="75"/>
      <c r="OC33" s="75"/>
      <c r="OD33" s="75"/>
      <c r="OE33" s="75"/>
      <c r="OF33" s="75"/>
      <c r="OG33" s="75"/>
      <c r="OH33" s="75"/>
      <c r="OI33" s="75"/>
      <c r="OJ33" s="75"/>
      <c r="OK33" s="75"/>
      <c r="OL33" s="75"/>
      <c r="OM33" s="75"/>
      <c r="ON33" s="75"/>
      <c r="OO33" s="75"/>
      <c r="OP33" s="75"/>
      <c r="OQ33" s="75"/>
      <c r="OR33" s="75"/>
      <c r="OS33" s="75"/>
      <c r="OT33" s="75"/>
      <c r="OU33" s="75"/>
      <c r="OV33" s="75"/>
      <c r="OW33" s="75"/>
      <c r="OX33" s="75"/>
      <c r="OY33" s="75"/>
      <c r="OZ33" s="75"/>
      <c r="PA33" s="75"/>
      <c r="PB33" s="75"/>
      <c r="PC33" s="75"/>
      <c r="PD33" s="75"/>
      <c r="PE33" s="75"/>
      <c r="PF33" s="75"/>
      <c r="PG33" s="75"/>
      <c r="PH33" s="75"/>
      <c r="PI33" s="75"/>
      <c r="PJ33" s="75"/>
      <c r="PK33" s="75"/>
      <c r="PL33" s="75"/>
      <c r="PM33" s="75"/>
      <c r="PN33" s="75"/>
      <c r="PO33" s="75"/>
      <c r="PP33" s="75"/>
      <c r="PQ33" s="75"/>
      <c r="PR33" s="75"/>
      <c r="PS33" s="75"/>
      <c r="PT33" s="75"/>
      <c r="PU33" s="75"/>
      <c r="PV33" s="75"/>
      <c r="PW33" s="75"/>
      <c r="PX33" s="75"/>
      <c r="PY33" s="75"/>
      <c r="PZ33" s="75"/>
      <c r="QA33" s="75"/>
      <c r="QB33" s="75"/>
      <c r="QC33" s="75"/>
      <c r="QD33" s="75"/>
      <c r="QE33" s="75"/>
      <c r="QF33" s="75"/>
      <c r="QG33" s="75"/>
      <c r="QH33" s="75"/>
      <c r="QI33" s="75"/>
      <c r="QJ33" s="75"/>
      <c r="QK33" s="75"/>
      <c r="QL33" s="75"/>
      <c r="QM33" s="75"/>
      <c r="QN33" s="75"/>
      <c r="QO33" s="75"/>
      <c r="QP33" s="75"/>
      <c r="QQ33" s="75"/>
      <c r="QR33" s="75"/>
      <c r="QS33" s="75"/>
      <c r="QT33" s="75"/>
      <c r="QU33" s="75"/>
      <c r="QV33" s="75"/>
      <c r="QW33" s="75"/>
      <c r="QX33" s="75"/>
      <c r="QY33" s="75"/>
      <c r="QZ33" s="75"/>
      <c r="RA33" s="75"/>
      <c r="RB33" s="75"/>
      <c r="RC33" s="75"/>
      <c r="RD33" s="75"/>
      <c r="RE33" s="75"/>
      <c r="RF33" s="75"/>
      <c r="RG33" s="75"/>
      <c r="RH33" s="75"/>
      <c r="RI33" s="75"/>
      <c r="RJ33" s="75"/>
      <c r="RK33" s="75"/>
      <c r="RL33" s="75"/>
      <c r="RM33" s="75"/>
      <c r="RN33" s="75"/>
      <c r="RO33" s="75"/>
      <c r="RP33" s="75"/>
      <c r="RQ33" s="75"/>
      <c r="RR33" s="75"/>
      <c r="RS33" s="75"/>
      <c r="RT33" s="75"/>
      <c r="RU33" s="75"/>
      <c r="RV33" s="75"/>
      <c r="RW33" s="75"/>
      <c r="RX33" s="75"/>
      <c r="RY33" s="75"/>
      <c r="RZ33" s="75"/>
      <c r="SA33" s="75"/>
      <c r="SB33" s="75"/>
      <c r="SC33" s="75"/>
      <c r="SD33" s="75"/>
      <c r="SE33" s="75"/>
      <c r="SF33" s="75"/>
      <c r="SG33" s="75"/>
      <c r="SH33" s="75"/>
      <c r="SI33" s="75"/>
      <c r="SJ33" s="75"/>
      <c r="SK33" s="75"/>
      <c r="SL33" s="75"/>
      <c r="SM33" s="75"/>
      <c r="SN33" s="75"/>
      <c r="SO33" s="75"/>
      <c r="SP33" s="75"/>
      <c r="SQ33" s="75"/>
      <c r="SR33" s="75"/>
      <c r="SS33" s="75"/>
      <c r="ST33" s="75"/>
      <c r="SU33" s="75"/>
      <c r="SV33" s="75"/>
      <c r="SW33" s="75"/>
      <c r="SX33" s="75"/>
      <c r="SY33" s="75"/>
      <c r="SZ33" s="75"/>
      <c r="TA33" s="75"/>
      <c r="TB33" s="75"/>
      <c r="TC33" s="75"/>
      <c r="TD33" s="75"/>
      <c r="TE33" s="75"/>
      <c r="TF33" s="75"/>
      <c r="TG33" s="75"/>
      <c r="TH33" s="75"/>
      <c r="TI33" s="75"/>
      <c r="TJ33" s="75"/>
      <c r="TK33" s="75"/>
      <c r="TL33" s="75"/>
      <c r="TM33" s="75"/>
      <c r="TN33" s="75"/>
      <c r="TO33" s="75"/>
      <c r="TP33" s="75"/>
      <c r="TQ33" s="75"/>
      <c r="TR33" s="75"/>
      <c r="TS33" s="75"/>
      <c r="TT33" s="75"/>
      <c r="TU33" s="75"/>
      <c r="TV33" s="75"/>
      <c r="TW33" s="75"/>
      <c r="TX33" s="75"/>
      <c r="TY33" s="75"/>
      <c r="TZ33" s="75"/>
      <c r="UA33" s="75"/>
      <c r="UB33" s="75"/>
      <c r="UC33" s="75"/>
      <c r="UD33" s="75"/>
      <c r="UE33" s="75"/>
      <c r="UF33" s="75"/>
      <c r="UG33" s="75"/>
      <c r="UH33" s="75"/>
      <c r="UI33" s="75"/>
      <c r="UJ33" s="75"/>
      <c r="UK33" s="75"/>
      <c r="UL33" s="75"/>
      <c r="UM33" s="75"/>
      <c r="UN33" s="75"/>
      <c r="UO33" s="75"/>
      <c r="UP33" s="75"/>
      <c r="UQ33" s="75"/>
      <c r="UR33" s="75"/>
      <c r="US33" s="75"/>
      <c r="UT33" s="75"/>
      <c r="UU33" s="75"/>
      <c r="UV33" s="75"/>
      <c r="UW33" s="75"/>
      <c r="UX33" s="75"/>
      <c r="UY33" s="75"/>
      <c r="UZ33" s="75"/>
      <c r="VA33" s="75"/>
      <c r="VB33" s="75"/>
      <c r="VC33" s="75"/>
      <c r="VD33" s="75"/>
      <c r="VE33" s="75"/>
      <c r="VF33" s="75"/>
      <c r="VG33" s="75"/>
      <c r="VH33" s="75"/>
      <c r="VI33" s="75"/>
      <c r="VJ33" s="75"/>
      <c r="VK33" s="75"/>
      <c r="VL33" s="75"/>
      <c r="VM33" s="75"/>
      <c r="VN33" s="75"/>
      <c r="VO33" s="75"/>
      <c r="VP33" s="75"/>
      <c r="VQ33" s="75"/>
      <c r="VR33" s="75"/>
      <c r="VS33" s="75"/>
      <c r="VT33" s="75"/>
      <c r="VU33" s="75"/>
      <c r="VV33" s="75"/>
      <c r="VW33" s="75"/>
      <c r="VX33" s="75"/>
      <c r="VY33" s="75"/>
      <c r="VZ33" s="75"/>
      <c r="WA33" s="75"/>
      <c r="WB33" s="75"/>
      <c r="WC33" s="75"/>
      <c r="WD33" s="75"/>
      <c r="WE33" s="75"/>
      <c r="WF33" s="75"/>
      <c r="WG33" s="75"/>
      <c r="WH33" s="75"/>
      <c r="WI33" s="75"/>
      <c r="WJ33" s="75"/>
      <c r="WK33" s="75"/>
      <c r="WL33" s="75"/>
      <c r="WM33" s="75"/>
      <c r="WN33" s="75"/>
      <c r="WO33" s="75"/>
      <c r="WP33" s="75"/>
      <c r="WQ33" s="75"/>
      <c r="WR33" s="75"/>
      <c r="WS33" s="75"/>
      <c r="WT33" s="75"/>
      <c r="WU33" s="75"/>
      <c r="WV33" s="75"/>
      <c r="WW33" s="75"/>
      <c r="WX33" s="75"/>
      <c r="WY33" s="75"/>
      <c r="WZ33" s="75"/>
      <c r="XA33" s="75"/>
      <c r="XB33" s="75"/>
      <c r="XC33" s="75"/>
      <c r="XD33" s="75"/>
      <c r="XE33" s="75"/>
      <c r="XF33" s="75"/>
      <c r="XG33" s="75"/>
      <c r="XH33" s="75"/>
      <c r="XI33" s="75"/>
      <c r="XJ33" s="75"/>
      <c r="XK33" s="75"/>
      <c r="XL33" s="75"/>
      <c r="XM33" s="75"/>
      <c r="XN33" s="75"/>
      <c r="XO33" s="75"/>
      <c r="XP33" s="75"/>
      <c r="XQ33" s="75"/>
      <c r="XR33" s="75"/>
      <c r="XS33" s="75"/>
      <c r="XT33" s="75"/>
      <c r="XU33" s="75"/>
      <c r="XV33" s="75"/>
      <c r="XW33" s="75"/>
      <c r="XX33" s="75"/>
      <c r="XY33" s="75"/>
      <c r="XZ33" s="75"/>
      <c r="YA33" s="75"/>
      <c r="YB33" s="75"/>
      <c r="YC33" s="75"/>
      <c r="YD33" s="75"/>
      <c r="YE33" s="75"/>
      <c r="YF33" s="75"/>
      <c r="YG33" s="75"/>
      <c r="YH33" s="75"/>
      <c r="YI33" s="75"/>
      <c r="YJ33" s="75"/>
      <c r="YK33" s="75"/>
      <c r="YL33" s="75"/>
      <c r="YM33" s="75"/>
      <c r="YN33" s="75"/>
      <c r="YO33" s="75"/>
      <c r="YP33" s="75"/>
      <c r="YQ33" s="75"/>
      <c r="YR33" s="75"/>
      <c r="YS33" s="75"/>
      <c r="YT33" s="75"/>
      <c r="YU33" s="75"/>
      <c r="YV33" s="75"/>
      <c r="YW33" s="75"/>
      <c r="YX33" s="75"/>
      <c r="YY33" s="75"/>
      <c r="YZ33" s="75"/>
      <c r="ZA33" s="75"/>
      <c r="ZB33" s="75"/>
      <c r="ZC33" s="75"/>
      <c r="ZD33" s="75"/>
      <c r="ZE33" s="75"/>
      <c r="ZF33" s="75"/>
      <c r="ZG33" s="75"/>
      <c r="ZH33" s="75"/>
      <c r="ZI33" s="75"/>
      <c r="ZJ33" s="75"/>
      <c r="ZK33" s="75"/>
      <c r="ZL33" s="75"/>
      <c r="ZM33" s="75"/>
      <c r="ZN33" s="75"/>
      <c r="ZO33" s="75"/>
      <c r="ZP33" s="75"/>
      <c r="ZQ33" s="75"/>
      <c r="ZR33" s="75"/>
      <c r="ZS33" s="75"/>
      <c r="ZT33" s="75"/>
      <c r="ZU33" s="75"/>
      <c r="ZV33" s="75"/>
      <c r="ZW33" s="75"/>
      <c r="ZX33" s="75"/>
      <c r="ZY33" s="75"/>
      <c r="ZZ33" s="75"/>
      <c r="AAA33" s="75"/>
      <c r="AAB33" s="75"/>
      <c r="AAC33" s="75"/>
      <c r="AAD33" s="75"/>
      <c r="AAE33" s="75"/>
      <c r="AAF33" s="75"/>
      <c r="AAG33" s="75"/>
      <c r="AAH33" s="75"/>
      <c r="AAI33" s="75"/>
      <c r="AAJ33" s="75"/>
      <c r="AAK33" s="75"/>
      <c r="AAL33" s="75"/>
      <c r="AAM33" s="75"/>
      <c r="AAN33" s="75"/>
      <c r="AAO33" s="75"/>
      <c r="AAP33" s="75"/>
      <c r="AAQ33" s="75"/>
      <c r="AAR33" s="75"/>
      <c r="AAS33" s="75"/>
      <c r="AAT33" s="75"/>
      <c r="AAU33" s="75"/>
      <c r="AAV33" s="75"/>
      <c r="AAW33" s="75"/>
      <c r="AAX33" s="75"/>
      <c r="AAY33" s="75"/>
      <c r="AAZ33" s="75"/>
      <c r="ABA33" s="75"/>
      <c r="ABB33" s="75"/>
      <c r="ABC33" s="75"/>
    </row>
    <row r="34" spans="1:731">
      <c r="A34" s="75" t="s">
        <v>71</v>
      </c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75"/>
      <c r="BK34" s="75"/>
      <c r="BL34" s="75"/>
      <c r="BM34" s="75"/>
      <c r="BN34" s="75"/>
      <c r="BO34" s="75"/>
      <c r="BP34" s="75"/>
      <c r="BQ34" s="75"/>
      <c r="BR34" s="75"/>
      <c r="BS34" s="75"/>
      <c r="BT34" s="75"/>
      <c r="BU34" s="75"/>
      <c r="BV34" s="75"/>
      <c r="BW34" s="75"/>
      <c r="BX34" s="75"/>
      <c r="BY34" s="75"/>
      <c r="BZ34" s="75"/>
      <c r="CA34" s="75"/>
      <c r="CB34" s="75"/>
      <c r="CC34" s="75"/>
      <c r="CD34" s="75"/>
      <c r="CE34" s="75"/>
      <c r="CF34" s="75"/>
      <c r="CG34" s="75"/>
      <c r="CH34" s="75"/>
      <c r="CI34" s="75"/>
      <c r="CJ34" s="75"/>
      <c r="CK34" s="75"/>
      <c r="CL34" s="75"/>
      <c r="CM34" s="75"/>
      <c r="CN34" s="75"/>
      <c r="CO34" s="75"/>
      <c r="CP34" s="75"/>
      <c r="CQ34" s="75"/>
      <c r="CR34" s="75"/>
      <c r="CS34" s="75"/>
      <c r="CT34" s="75"/>
      <c r="CU34" s="75"/>
      <c r="CV34" s="75"/>
      <c r="CW34" s="75"/>
      <c r="CX34" s="75"/>
      <c r="CY34" s="75"/>
      <c r="CZ34" s="75"/>
      <c r="DA34" s="75"/>
      <c r="DB34" s="75"/>
      <c r="DC34" s="75"/>
      <c r="DD34" s="75"/>
      <c r="DE34" s="75"/>
      <c r="DF34" s="75"/>
      <c r="DG34" s="75"/>
      <c r="DH34" s="75"/>
      <c r="DI34" s="75"/>
      <c r="DJ34" s="75"/>
      <c r="DK34" s="75"/>
      <c r="DL34" s="75"/>
      <c r="DM34" s="75"/>
      <c r="DN34" s="75"/>
      <c r="DO34" s="75"/>
      <c r="DP34" s="75"/>
      <c r="DQ34" s="75"/>
      <c r="DR34" s="75"/>
      <c r="DS34" s="75"/>
      <c r="DT34" s="75"/>
      <c r="DU34" s="75"/>
      <c r="DV34" s="75"/>
      <c r="DW34" s="75"/>
      <c r="DX34" s="75"/>
      <c r="DY34" s="75"/>
      <c r="DZ34" s="75"/>
      <c r="EA34" s="75"/>
      <c r="EB34" s="75"/>
      <c r="EC34" s="75"/>
      <c r="ED34" s="75"/>
      <c r="EE34" s="75"/>
      <c r="EF34" s="75"/>
      <c r="EG34" s="75"/>
      <c r="EH34" s="75"/>
      <c r="EI34" s="75"/>
      <c r="EJ34" s="75"/>
      <c r="EK34" s="75"/>
      <c r="EL34" s="75"/>
      <c r="EM34" s="75"/>
      <c r="EN34" s="75"/>
      <c r="EO34" s="75"/>
      <c r="EP34" s="75"/>
      <c r="EQ34" s="75"/>
      <c r="ER34" s="75"/>
      <c r="ES34" s="75"/>
      <c r="ET34" s="75"/>
      <c r="EU34" s="75"/>
      <c r="EV34" s="75"/>
      <c r="EW34" s="75"/>
      <c r="EX34" s="75"/>
      <c r="EY34" s="75"/>
      <c r="EZ34" s="75"/>
      <c r="FA34" s="75"/>
      <c r="FB34" s="75"/>
      <c r="FC34" s="75"/>
      <c r="FD34" s="75"/>
      <c r="FE34" s="75"/>
      <c r="FF34" s="75"/>
      <c r="FG34" s="75"/>
      <c r="FH34" s="75"/>
      <c r="FI34" s="75"/>
      <c r="FJ34" s="75"/>
      <c r="FK34" s="75"/>
      <c r="FL34" s="75"/>
      <c r="FM34" s="75"/>
      <c r="FN34" s="75"/>
      <c r="FO34" s="75"/>
      <c r="FP34" s="75"/>
      <c r="FQ34" s="75"/>
      <c r="FR34" s="75"/>
      <c r="FS34" s="75"/>
      <c r="FT34" s="75"/>
      <c r="FU34" s="75"/>
      <c r="FV34" s="75"/>
      <c r="FW34" s="75"/>
      <c r="FX34" s="75"/>
      <c r="FY34" s="75"/>
      <c r="FZ34" s="75"/>
      <c r="GA34" s="75"/>
      <c r="GB34" s="75"/>
      <c r="GC34" s="75"/>
      <c r="GD34" s="75"/>
      <c r="GE34" s="75"/>
      <c r="GF34" s="75"/>
      <c r="GG34" s="75"/>
      <c r="GH34" s="75"/>
      <c r="GI34" s="75"/>
      <c r="GJ34" s="75"/>
      <c r="GK34" s="75"/>
      <c r="GL34" s="75"/>
      <c r="GM34" s="75"/>
      <c r="GN34" s="75"/>
      <c r="GO34" s="75"/>
      <c r="GP34" s="75"/>
      <c r="GQ34" s="75"/>
      <c r="GR34" s="75"/>
      <c r="GS34" s="75"/>
      <c r="GT34" s="75"/>
      <c r="GU34" s="75"/>
      <c r="GV34" s="75"/>
      <c r="GW34" s="75"/>
      <c r="GX34" s="75"/>
      <c r="GY34" s="75"/>
      <c r="GZ34" s="75"/>
      <c r="HA34" s="75"/>
      <c r="HB34" s="75"/>
      <c r="HC34" s="75"/>
      <c r="HD34" s="75"/>
      <c r="HE34" s="75"/>
      <c r="HF34" s="75"/>
      <c r="HG34" s="75"/>
      <c r="HH34" s="75"/>
      <c r="HI34" s="75"/>
      <c r="HJ34" s="75"/>
      <c r="HK34" s="75"/>
      <c r="HL34" s="75"/>
      <c r="HM34" s="75"/>
      <c r="HN34" s="75"/>
      <c r="HO34" s="75"/>
      <c r="HP34" s="75"/>
      <c r="HQ34" s="75"/>
      <c r="HR34" s="75"/>
      <c r="HS34" s="75"/>
      <c r="HT34" s="75"/>
      <c r="HU34" s="75"/>
      <c r="HV34" s="75"/>
      <c r="HW34" s="75"/>
      <c r="HX34" s="75"/>
      <c r="HY34" s="75"/>
      <c r="HZ34" s="75"/>
      <c r="IA34" s="75"/>
      <c r="IB34" s="75"/>
      <c r="IC34" s="75"/>
      <c r="ID34" s="75"/>
      <c r="IE34" s="75"/>
      <c r="IF34" s="75"/>
      <c r="IG34" s="75"/>
      <c r="IH34" s="75"/>
      <c r="II34" s="75"/>
      <c r="IJ34" s="75"/>
      <c r="IK34" s="75"/>
      <c r="IL34" s="75"/>
      <c r="IM34" s="75"/>
      <c r="IN34" s="75"/>
      <c r="IO34" s="75"/>
      <c r="IP34" s="75"/>
      <c r="IQ34" s="75"/>
      <c r="IR34" s="75"/>
      <c r="IS34" s="75"/>
      <c r="IT34" s="75"/>
      <c r="IU34" s="75"/>
      <c r="IV34" s="75"/>
      <c r="IW34" s="75"/>
      <c r="IX34" s="75"/>
      <c r="IY34" s="75"/>
      <c r="IZ34" s="75"/>
      <c r="JA34" s="75"/>
      <c r="JB34" s="75"/>
      <c r="JC34" s="75"/>
      <c r="JD34" s="75"/>
      <c r="JE34" s="75"/>
      <c r="JF34" s="75"/>
      <c r="JG34" s="75"/>
      <c r="JH34" s="75"/>
      <c r="JI34" s="75"/>
      <c r="JJ34" s="75"/>
      <c r="JK34" s="75"/>
      <c r="JL34" s="75"/>
      <c r="JM34" s="75"/>
      <c r="JN34" s="75"/>
      <c r="JO34" s="75"/>
      <c r="JP34" s="75"/>
      <c r="JQ34" s="75"/>
      <c r="JR34" s="75"/>
      <c r="JS34" s="75"/>
      <c r="JT34" s="75"/>
      <c r="JU34" s="75"/>
      <c r="JV34" s="75"/>
      <c r="JW34" s="75"/>
      <c r="JX34" s="75"/>
      <c r="JY34" s="75"/>
      <c r="JZ34" s="75"/>
      <c r="KA34" s="75"/>
      <c r="KB34" s="75"/>
      <c r="KC34" s="75"/>
      <c r="KD34" s="75"/>
      <c r="KE34" s="75"/>
      <c r="KF34" s="75"/>
      <c r="KG34" s="75"/>
      <c r="KH34" s="75"/>
      <c r="KI34" s="75"/>
      <c r="KJ34" s="75"/>
      <c r="KK34" s="75"/>
      <c r="KL34" s="75"/>
      <c r="KM34" s="75"/>
      <c r="KN34" s="75"/>
      <c r="KO34" s="75"/>
      <c r="KP34" s="75"/>
      <c r="KQ34" s="75"/>
      <c r="KR34" s="75"/>
      <c r="KS34" s="75"/>
      <c r="KT34" s="75"/>
      <c r="KU34" s="75"/>
      <c r="KV34" s="75"/>
      <c r="KW34" s="75"/>
      <c r="KX34" s="75"/>
      <c r="KY34" s="75"/>
      <c r="KZ34" s="75"/>
      <c r="LA34" s="75"/>
      <c r="LB34" s="75"/>
      <c r="LC34" s="75"/>
      <c r="LD34" s="75"/>
      <c r="LE34" s="75"/>
      <c r="LF34" s="75"/>
      <c r="LG34" s="75"/>
      <c r="LH34" s="75"/>
      <c r="LI34" s="75"/>
      <c r="LJ34" s="75"/>
      <c r="LK34" s="75"/>
      <c r="LL34" s="75"/>
      <c r="LM34" s="75"/>
      <c r="LN34" s="75"/>
      <c r="LO34" s="75"/>
      <c r="LP34" s="75"/>
      <c r="LQ34" s="75"/>
      <c r="LR34" s="75"/>
      <c r="LS34" s="75"/>
      <c r="LT34" s="75"/>
      <c r="LU34" s="75"/>
      <c r="LV34" s="75"/>
      <c r="LW34" s="75"/>
      <c r="LX34" s="75"/>
      <c r="LY34" s="75"/>
      <c r="LZ34" s="75"/>
      <c r="MA34" s="75"/>
      <c r="MB34" s="75"/>
      <c r="MC34" s="75"/>
      <c r="MD34" s="75"/>
      <c r="ME34" s="75"/>
      <c r="MF34" s="75"/>
      <c r="MG34" s="75"/>
      <c r="MH34" s="75"/>
      <c r="MI34" s="75"/>
      <c r="MJ34" s="75"/>
      <c r="MK34" s="75"/>
      <c r="ML34" s="75"/>
      <c r="MM34" s="75"/>
      <c r="MN34" s="75"/>
      <c r="MO34" s="75"/>
      <c r="MP34" s="75"/>
      <c r="MQ34" s="75"/>
      <c r="MR34" s="75"/>
      <c r="MS34" s="75"/>
      <c r="MT34" s="75"/>
      <c r="MU34" s="75"/>
      <c r="MV34" s="75"/>
      <c r="MW34" s="75"/>
      <c r="MX34" s="75"/>
      <c r="MY34" s="75"/>
      <c r="MZ34" s="75"/>
      <c r="NA34" s="75"/>
      <c r="NB34" s="75"/>
      <c r="NC34" s="75"/>
      <c r="ND34" s="75"/>
      <c r="NE34" s="75"/>
      <c r="NF34" s="75"/>
      <c r="NG34" s="75"/>
      <c r="NH34" s="75"/>
      <c r="NI34" s="75"/>
      <c r="NJ34" s="75"/>
      <c r="NK34" s="75"/>
      <c r="NL34" s="75"/>
      <c r="NM34" s="75"/>
      <c r="NN34" s="75"/>
      <c r="NO34" s="75"/>
      <c r="NP34" s="75"/>
      <c r="NQ34" s="75"/>
      <c r="NR34" s="75"/>
      <c r="NS34" s="75"/>
      <c r="NT34" s="75"/>
      <c r="NU34" s="75"/>
      <c r="NV34" s="75"/>
      <c r="NW34" s="75"/>
      <c r="NX34" s="75"/>
      <c r="NY34" s="75"/>
      <c r="NZ34" s="75"/>
      <c r="OA34" s="75"/>
      <c r="OB34" s="75"/>
      <c r="OC34" s="75"/>
      <c r="OD34" s="75"/>
      <c r="OE34" s="75"/>
      <c r="OF34" s="75"/>
      <c r="OG34" s="75"/>
      <c r="OH34" s="75"/>
      <c r="OI34" s="75"/>
      <c r="OJ34" s="75"/>
      <c r="OK34" s="75"/>
      <c r="OL34" s="75"/>
      <c r="OM34" s="75"/>
      <c r="ON34" s="75"/>
      <c r="OO34" s="75"/>
      <c r="OP34" s="75"/>
      <c r="OQ34" s="75"/>
      <c r="OR34" s="75"/>
      <c r="OS34" s="75"/>
      <c r="OT34" s="75"/>
      <c r="OU34" s="75"/>
      <c r="OV34" s="75"/>
      <c r="OW34" s="75"/>
      <c r="OX34" s="75"/>
      <c r="OY34" s="75"/>
      <c r="OZ34" s="75"/>
      <c r="PA34" s="75"/>
      <c r="PB34" s="75"/>
      <c r="PC34" s="75"/>
      <c r="PD34" s="75"/>
      <c r="PE34" s="75"/>
      <c r="PF34" s="75"/>
      <c r="PG34" s="75"/>
      <c r="PH34" s="75"/>
      <c r="PI34" s="75"/>
      <c r="PJ34" s="75"/>
      <c r="PK34" s="75"/>
      <c r="PL34" s="75"/>
      <c r="PM34" s="75"/>
      <c r="PN34" s="75"/>
      <c r="PO34" s="75"/>
      <c r="PP34" s="75"/>
      <c r="PQ34" s="75"/>
      <c r="PR34" s="75"/>
      <c r="PS34" s="75"/>
      <c r="PT34" s="75"/>
      <c r="PU34" s="75"/>
      <c r="PV34" s="75"/>
      <c r="PW34" s="75"/>
      <c r="PX34" s="75"/>
      <c r="PY34" s="75"/>
      <c r="PZ34" s="75"/>
      <c r="QA34" s="75"/>
      <c r="QB34" s="75"/>
      <c r="QC34" s="75"/>
      <c r="QD34" s="75"/>
      <c r="QE34" s="75"/>
      <c r="QF34" s="75"/>
      <c r="QG34" s="75"/>
      <c r="QH34" s="75"/>
      <c r="QI34" s="75"/>
      <c r="QJ34" s="75"/>
      <c r="QK34" s="75"/>
      <c r="QL34" s="75"/>
      <c r="QM34" s="75"/>
      <c r="QN34" s="75"/>
      <c r="QO34" s="75"/>
      <c r="QP34" s="75"/>
      <c r="QQ34" s="75"/>
      <c r="QR34" s="75"/>
      <c r="QS34" s="75"/>
      <c r="QT34" s="75"/>
      <c r="QU34" s="75"/>
      <c r="QV34" s="75"/>
      <c r="QW34" s="75"/>
      <c r="QX34" s="75"/>
      <c r="QY34" s="75"/>
      <c r="QZ34" s="75"/>
      <c r="RA34" s="75"/>
      <c r="RB34" s="75"/>
      <c r="RC34" s="75"/>
      <c r="RD34" s="75"/>
      <c r="RE34" s="75"/>
      <c r="RF34" s="75"/>
      <c r="RG34" s="75"/>
      <c r="RH34" s="75"/>
      <c r="RI34" s="75"/>
      <c r="RJ34" s="75"/>
      <c r="RK34" s="75"/>
      <c r="RL34" s="75"/>
      <c r="RM34" s="75"/>
      <c r="RN34" s="75"/>
      <c r="RO34" s="75"/>
      <c r="RP34" s="75"/>
      <c r="RQ34" s="75"/>
      <c r="RR34" s="75"/>
      <c r="RS34" s="75"/>
      <c r="RT34" s="75"/>
      <c r="RU34" s="75"/>
      <c r="RV34" s="75"/>
      <c r="RW34" s="75"/>
      <c r="RX34" s="75"/>
      <c r="RY34" s="75"/>
      <c r="RZ34" s="75"/>
      <c r="SA34" s="75"/>
      <c r="SB34" s="75"/>
      <c r="SC34" s="75"/>
      <c r="SD34" s="75"/>
      <c r="SE34" s="75"/>
      <c r="SF34" s="75"/>
      <c r="SG34" s="75"/>
      <c r="SH34" s="75"/>
      <c r="SI34" s="75"/>
      <c r="SJ34" s="75"/>
      <c r="SK34" s="75"/>
      <c r="SL34" s="75"/>
      <c r="SM34" s="75"/>
      <c r="SN34" s="75"/>
      <c r="SO34" s="75"/>
      <c r="SP34" s="75"/>
      <c r="SQ34" s="75"/>
      <c r="SR34" s="75"/>
      <c r="SS34" s="75"/>
      <c r="ST34" s="75"/>
      <c r="SU34" s="75"/>
      <c r="SV34" s="75"/>
      <c r="SW34" s="75"/>
      <c r="SX34" s="75"/>
      <c r="SY34" s="75"/>
      <c r="SZ34" s="75"/>
      <c r="TA34" s="75"/>
      <c r="TB34" s="75"/>
      <c r="TC34" s="75"/>
      <c r="TD34" s="75"/>
      <c r="TE34" s="75"/>
      <c r="TF34" s="75"/>
      <c r="TG34" s="75"/>
      <c r="TH34" s="75"/>
      <c r="TI34" s="75"/>
      <c r="TJ34" s="75"/>
      <c r="TK34" s="75"/>
      <c r="TL34" s="75"/>
      <c r="TM34" s="75"/>
      <c r="TN34" s="75"/>
      <c r="TO34" s="75"/>
      <c r="TP34" s="75"/>
      <c r="TQ34" s="75"/>
      <c r="TR34" s="75"/>
      <c r="TS34" s="75"/>
      <c r="TT34" s="75"/>
      <c r="TU34" s="75"/>
      <c r="TV34" s="75"/>
      <c r="TW34" s="75"/>
      <c r="TX34" s="75"/>
      <c r="TY34" s="75"/>
      <c r="TZ34" s="75"/>
      <c r="UA34" s="75"/>
      <c r="UB34" s="75"/>
      <c r="UC34" s="75"/>
      <c r="UD34" s="75"/>
      <c r="UE34" s="75"/>
      <c r="UF34" s="75"/>
      <c r="UG34" s="75"/>
      <c r="UH34" s="75"/>
      <c r="UI34" s="75"/>
      <c r="UJ34" s="75"/>
      <c r="UK34" s="75"/>
      <c r="UL34" s="75"/>
      <c r="UM34" s="75"/>
      <c r="UN34" s="75"/>
      <c r="UO34" s="75"/>
      <c r="UP34" s="75">
        <v>10</v>
      </c>
      <c r="UQ34" s="75">
        <v>10</v>
      </c>
      <c r="UR34" s="75"/>
      <c r="US34" s="75">
        <v>10</v>
      </c>
      <c r="UT34" s="75">
        <v>10</v>
      </c>
      <c r="UU34" s="75">
        <v>10</v>
      </c>
      <c r="UV34" s="75">
        <v>10</v>
      </c>
      <c r="UW34" s="75">
        <v>10</v>
      </c>
      <c r="UX34" s="75">
        <v>10</v>
      </c>
      <c r="UY34" s="75"/>
      <c r="UZ34" s="75">
        <v>10</v>
      </c>
      <c r="VA34" s="75">
        <v>10</v>
      </c>
      <c r="VB34" s="75">
        <v>20</v>
      </c>
      <c r="VC34" s="75">
        <v>21</v>
      </c>
      <c r="VD34" s="75">
        <v>26</v>
      </c>
      <c r="VE34" s="75">
        <v>26</v>
      </c>
      <c r="VF34" s="75"/>
      <c r="VG34" s="75">
        <v>26</v>
      </c>
      <c r="VH34" s="75">
        <v>26</v>
      </c>
      <c r="VI34" s="75">
        <v>26</v>
      </c>
      <c r="VJ34" s="75">
        <v>26</v>
      </c>
      <c r="VK34" s="75">
        <v>26</v>
      </c>
      <c r="VL34" s="75">
        <v>26</v>
      </c>
      <c r="VM34" s="75"/>
      <c r="VN34" s="75">
        <v>26</v>
      </c>
      <c r="VO34" s="75">
        <v>26</v>
      </c>
      <c r="VP34" s="75">
        <v>26</v>
      </c>
      <c r="VQ34" s="75">
        <v>26</v>
      </c>
      <c r="VR34" s="75">
        <v>26</v>
      </c>
      <c r="VS34" s="75">
        <v>26</v>
      </c>
      <c r="VT34" s="75"/>
      <c r="VU34" s="75">
        <v>26</v>
      </c>
      <c r="VV34" s="75">
        <v>26</v>
      </c>
      <c r="VW34" s="75">
        <v>26</v>
      </c>
      <c r="VX34" s="75">
        <v>26</v>
      </c>
      <c r="VY34" s="75">
        <v>26</v>
      </c>
      <c r="VZ34" s="75">
        <v>26</v>
      </c>
      <c r="WA34" s="75"/>
      <c r="WB34" s="75">
        <v>26</v>
      </c>
      <c r="WC34" s="75">
        <v>26</v>
      </c>
      <c r="WD34" s="75">
        <v>26</v>
      </c>
      <c r="WE34" s="75">
        <v>26</v>
      </c>
      <c r="WF34" s="75">
        <v>26</v>
      </c>
      <c r="WG34" s="75">
        <v>26</v>
      </c>
      <c r="WH34" s="75"/>
      <c r="WI34" s="75">
        <v>26</v>
      </c>
      <c r="WJ34" s="75">
        <v>26</v>
      </c>
      <c r="WK34" s="75">
        <v>26</v>
      </c>
      <c r="WL34" s="75">
        <v>26</v>
      </c>
      <c r="WM34" s="75">
        <v>26</v>
      </c>
      <c r="WN34" s="75">
        <v>26</v>
      </c>
      <c r="WO34" s="75"/>
      <c r="WP34" s="75">
        <v>26</v>
      </c>
      <c r="WQ34" s="75">
        <v>26</v>
      </c>
      <c r="WR34" s="75">
        <v>26</v>
      </c>
      <c r="WS34" s="75">
        <v>26</v>
      </c>
      <c r="WT34" s="75">
        <v>26</v>
      </c>
      <c r="WU34" s="75">
        <v>26</v>
      </c>
      <c r="WV34" s="75"/>
      <c r="WW34" s="75">
        <v>26</v>
      </c>
      <c r="WX34" s="75">
        <v>26</v>
      </c>
      <c r="WY34" s="75">
        <v>25</v>
      </c>
      <c r="WZ34" s="75">
        <v>25</v>
      </c>
      <c r="XA34" s="75">
        <v>25</v>
      </c>
      <c r="XB34" s="75">
        <v>25</v>
      </c>
      <c r="XC34" s="75"/>
      <c r="XD34" s="75">
        <v>25</v>
      </c>
      <c r="XE34" s="75">
        <v>25</v>
      </c>
      <c r="XF34" s="75">
        <v>15</v>
      </c>
      <c r="XG34" s="75">
        <v>15</v>
      </c>
      <c r="XH34" s="75">
        <v>5</v>
      </c>
      <c r="XI34" s="75"/>
      <c r="XJ34" s="75"/>
      <c r="XK34" s="75"/>
      <c r="XL34" s="75"/>
      <c r="XM34" s="75"/>
      <c r="XN34" s="75">
        <v>5</v>
      </c>
      <c r="XO34" s="75">
        <v>5</v>
      </c>
      <c r="XP34" s="75">
        <v>5</v>
      </c>
      <c r="XQ34" s="75"/>
      <c r="XR34" s="75">
        <v>5</v>
      </c>
      <c r="XS34" s="75">
        <v>5</v>
      </c>
      <c r="XT34" s="75">
        <v>5</v>
      </c>
      <c r="XU34" s="75">
        <v>5</v>
      </c>
      <c r="XV34" s="75">
        <v>5</v>
      </c>
      <c r="XW34" s="75">
        <v>5</v>
      </c>
      <c r="XX34" s="75"/>
      <c r="XY34" s="75">
        <v>5</v>
      </c>
      <c r="XZ34" s="75">
        <v>5</v>
      </c>
      <c r="YA34" s="75">
        <v>5</v>
      </c>
      <c r="YB34" s="75">
        <v>5</v>
      </c>
      <c r="YC34" s="75">
        <v>5</v>
      </c>
      <c r="YD34" s="75">
        <v>5</v>
      </c>
      <c r="YE34" s="75"/>
      <c r="YF34" s="75">
        <v>5</v>
      </c>
      <c r="YG34" s="75">
        <v>5</v>
      </c>
      <c r="YH34" s="75">
        <v>5</v>
      </c>
      <c r="YI34" s="75">
        <v>5</v>
      </c>
      <c r="YJ34" s="75">
        <v>5</v>
      </c>
      <c r="YK34" s="75">
        <v>5</v>
      </c>
      <c r="YL34" s="75"/>
      <c r="YM34" s="75">
        <v>5</v>
      </c>
      <c r="YN34" s="75">
        <v>4</v>
      </c>
      <c r="YO34" s="75"/>
      <c r="YP34" s="75"/>
      <c r="YQ34" s="75"/>
      <c r="YR34" s="75"/>
      <c r="YS34" s="75"/>
      <c r="YT34" s="75"/>
      <c r="YU34" s="75"/>
      <c r="YV34" s="75"/>
      <c r="YW34" s="75"/>
      <c r="YX34" s="75"/>
      <c r="YY34" s="75"/>
      <c r="YZ34" s="75"/>
      <c r="ZA34" s="75"/>
      <c r="ZB34" s="75"/>
      <c r="ZC34" s="75"/>
      <c r="ZD34" s="75"/>
      <c r="ZE34" s="75"/>
      <c r="ZF34" s="75"/>
      <c r="ZG34" s="75"/>
      <c r="ZH34" s="75"/>
      <c r="ZI34" s="75"/>
      <c r="ZJ34" s="75"/>
      <c r="ZK34" s="75"/>
      <c r="ZL34" s="75"/>
      <c r="ZM34" s="75"/>
      <c r="ZN34" s="75"/>
      <c r="ZO34" s="75"/>
      <c r="ZP34" s="75"/>
      <c r="ZQ34" s="75"/>
      <c r="ZR34" s="75"/>
      <c r="ZS34" s="75"/>
      <c r="ZT34" s="75"/>
      <c r="ZU34" s="75"/>
      <c r="ZV34" s="75"/>
      <c r="ZW34" s="75"/>
      <c r="ZX34" s="75"/>
      <c r="ZY34" s="75"/>
      <c r="ZZ34" s="75"/>
      <c r="AAA34" s="75"/>
      <c r="AAB34" s="75"/>
      <c r="AAC34" s="75"/>
      <c r="AAD34" s="75"/>
      <c r="AAE34" s="75"/>
      <c r="AAF34" s="75"/>
      <c r="AAG34" s="75"/>
      <c r="AAH34" s="75"/>
      <c r="AAI34" s="75"/>
      <c r="AAJ34" s="75"/>
      <c r="AAK34" s="75"/>
      <c r="AAL34" s="75"/>
      <c r="AAM34" s="75"/>
      <c r="AAN34" s="75"/>
      <c r="AAO34" s="75"/>
      <c r="AAP34" s="75"/>
      <c r="AAQ34" s="75"/>
      <c r="AAR34" s="75"/>
      <c r="AAS34" s="75"/>
      <c r="AAT34" s="75"/>
      <c r="AAU34" s="75"/>
      <c r="AAV34" s="75"/>
      <c r="AAW34" s="75"/>
      <c r="AAX34" s="75"/>
      <c r="AAY34" s="75"/>
      <c r="AAZ34" s="75"/>
      <c r="ABA34" s="75"/>
      <c r="ABB34" s="75"/>
      <c r="ABC34" s="75"/>
    </row>
    <row r="35" spans="1:731">
      <c r="A35" s="75" t="s">
        <v>72</v>
      </c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5"/>
      <c r="BF35" s="75"/>
      <c r="BG35" s="75"/>
      <c r="BH35" s="75"/>
      <c r="BI35" s="75"/>
      <c r="BJ35" s="75"/>
      <c r="BK35" s="75"/>
      <c r="BL35" s="75"/>
      <c r="BM35" s="75"/>
      <c r="BN35" s="75"/>
      <c r="BO35" s="75"/>
      <c r="BP35" s="75"/>
      <c r="BQ35" s="75"/>
      <c r="BR35" s="75"/>
      <c r="BS35" s="75"/>
      <c r="BT35" s="75"/>
      <c r="BU35" s="75"/>
      <c r="BV35" s="75"/>
      <c r="BW35" s="75"/>
      <c r="BX35" s="75"/>
      <c r="BY35" s="75"/>
      <c r="BZ35" s="75"/>
      <c r="CA35" s="75"/>
      <c r="CB35" s="75"/>
      <c r="CC35" s="75"/>
      <c r="CD35" s="75"/>
      <c r="CE35" s="75"/>
      <c r="CF35" s="75"/>
      <c r="CG35" s="75"/>
      <c r="CH35" s="75"/>
      <c r="CI35" s="75"/>
      <c r="CJ35" s="75"/>
      <c r="CK35" s="75"/>
      <c r="CL35" s="75"/>
      <c r="CM35" s="75"/>
      <c r="CN35" s="75"/>
      <c r="CO35" s="75"/>
      <c r="CP35" s="75"/>
      <c r="CQ35" s="75"/>
      <c r="CR35" s="75"/>
      <c r="CS35" s="75"/>
      <c r="CT35" s="75"/>
      <c r="CU35" s="75"/>
      <c r="CV35" s="75"/>
      <c r="CW35" s="75"/>
      <c r="CX35" s="75"/>
      <c r="CY35" s="75"/>
      <c r="CZ35" s="75"/>
      <c r="DA35" s="75"/>
      <c r="DB35" s="75"/>
      <c r="DC35" s="75"/>
      <c r="DD35" s="75"/>
      <c r="DE35" s="75"/>
      <c r="DF35" s="75"/>
      <c r="DG35" s="75"/>
      <c r="DH35" s="75"/>
      <c r="DI35" s="75"/>
      <c r="DJ35" s="75"/>
      <c r="DK35" s="75"/>
      <c r="DL35" s="75"/>
      <c r="DM35" s="75"/>
      <c r="DN35" s="75"/>
      <c r="DO35" s="75"/>
      <c r="DP35" s="75"/>
      <c r="DQ35" s="75"/>
      <c r="DR35" s="75"/>
      <c r="DS35" s="75"/>
      <c r="DT35" s="75"/>
      <c r="DU35" s="75"/>
      <c r="DV35" s="75"/>
      <c r="DW35" s="75"/>
      <c r="DX35" s="75"/>
      <c r="DY35" s="75"/>
      <c r="DZ35" s="75"/>
      <c r="EA35" s="75"/>
      <c r="EB35" s="75"/>
      <c r="EC35" s="75"/>
      <c r="ED35" s="75"/>
      <c r="EE35" s="75"/>
      <c r="EF35" s="75"/>
      <c r="EG35" s="75"/>
      <c r="EH35" s="75"/>
      <c r="EI35" s="75"/>
      <c r="EJ35" s="75"/>
      <c r="EK35" s="75"/>
      <c r="EL35" s="75"/>
      <c r="EM35" s="75"/>
      <c r="EN35" s="75"/>
      <c r="EO35" s="75"/>
      <c r="EP35" s="75"/>
      <c r="EQ35" s="75"/>
      <c r="ER35" s="75"/>
      <c r="ES35" s="75"/>
      <c r="ET35" s="75"/>
      <c r="EU35" s="75"/>
      <c r="EV35" s="75"/>
      <c r="EW35" s="75"/>
      <c r="EX35" s="75"/>
      <c r="EY35" s="75"/>
      <c r="EZ35" s="75"/>
      <c r="FA35" s="75"/>
      <c r="FB35" s="75"/>
      <c r="FC35" s="75"/>
      <c r="FD35" s="75"/>
      <c r="FE35" s="75"/>
      <c r="FF35" s="75"/>
      <c r="FG35" s="75"/>
      <c r="FH35" s="75"/>
      <c r="FI35" s="75"/>
      <c r="FJ35" s="75"/>
      <c r="FK35" s="75"/>
      <c r="FL35" s="75"/>
      <c r="FM35" s="75"/>
      <c r="FN35" s="75"/>
      <c r="FO35" s="75"/>
      <c r="FP35" s="75"/>
      <c r="FQ35" s="75"/>
      <c r="FR35" s="75"/>
      <c r="FS35" s="75"/>
      <c r="FT35" s="75"/>
      <c r="FU35" s="75"/>
      <c r="FV35" s="75"/>
      <c r="FW35" s="75"/>
      <c r="FX35" s="75"/>
      <c r="FY35" s="75"/>
      <c r="FZ35" s="75"/>
      <c r="GA35" s="75"/>
      <c r="GB35" s="75"/>
      <c r="GC35" s="75"/>
      <c r="GD35" s="75"/>
      <c r="GE35" s="75"/>
      <c r="GF35" s="75"/>
      <c r="GG35" s="75"/>
      <c r="GH35" s="75"/>
      <c r="GI35" s="75"/>
      <c r="GJ35" s="75"/>
      <c r="GK35" s="75"/>
      <c r="GL35" s="75"/>
      <c r="GM35" s="75"/>
      <c r="GN35" s="75"/>
      <c r="GO35" s="75"/>
      <c r="GP35" s="75"/>
      <c r="GQ35" s="75"/>
      <c r="GR35" s="75"/>
      <c r="GS35" s="75"/>
      <c r="GT35" s="75"/>
      <c r="GU35" s="75"/>
      <c r="GV35" s="75"/>
      <c r="GW35" s="75"/>
      <c r="GX35" s="75"/>
      <c r="GY35" s="75"/>
      <c r="GZ35" s="75"/>
      <c r="HA35" s="75"/>
      <c r="HB35" s="75"/>
      <c r="HC35" s="75"/>
      <c r="HD35" s="75"/>
      <c r="HE35" s="75"/>
      <c r="HF35" s="75"/>
      <c r="HG35" s="75"/>
      <c r="HH35" s="75"/>
      <c r="HI35" s="75"/>
      <c r="HJ35" s="75"/>
      <c r="HK35" s="75"/>
      <c r="HL35" s="75"/>
      <c r="HM35" s="75"/>
      <c r="HN35" s="75"/>
      <c r="HO35" s="75"/>
      <c r="HP35" s="75"/>
      <c r="HQ35" s="75"/>
      <c r="HR35" s="75"/>
      <c r="HS35" s="75"/>
      <c r="HT35" s="75"/>
      <c r="HU35" s="75"/>
      <c r="HV35" s="75"/>
      <c r="HW35" s="75"/>
      <c r="HX35" s="75"/>
      <c r="HY35" s="75"/>
      <c r="HZ35" s="75"/>
      <c r="IA35" s="75"/>
      <c r="IB35" s="75"/>
      <c r="IC35" s="75"/>
      <c r="ID35" s="75"/>
      <c r="IE35" s="75"/>
      <c r="IF35" s="75"/>
      <c r="IG35" s="75"/>
      <c r="IH35" s="75"/>
      <c r="II35" s="75"/>
      <c r="IJ35" s="75"/>
      <c r="IK35" s="75"/>
      <c r="IL35" s="75"/>
      <c r="IM35" s="75"/>
      <c r="IN35" s="75"/>
      <c r="IO35" s="75"/>
      <c r="IP35" s="75"/>
      <c r="IQ35" s="75"/>
      <c r="IR35" s="75"/>
      <c r="IS35" s="75"/>
      <c r="IT35" s="75"/>
      <c r="IU35" s="75"/>
      <c r="IV35" s="75"/>
      <c r="IW35" s="75"/>
      <c r="IX35" s="75"/>
      <c r="IY35" s="75"/>
      <c r="IZ35" s="75"/>
      <c r="JA35" s="75"/>
      <c r="JB35" s="75"/>
      <c r="JC35" s="75"/>
      <c r="JD35" s="75"/>
      <c r="JE35" s="75"/>
      <c r="JF35" s="75"/>
      <c r="JG35" s="75"/>
      <c r="JH35" s="75"/>
      <c r="JI35" s="75"/>
      <c r="JJ35" s="75"/>
      <c r="JK35" s="75"/>
      <c r="JL35" s="75"/>
      <c r="JM35" s="75"/>
      <c r="JN35" s="75"/>
      <c r="JO35" s="75"/>
      <c r="JP35" s="75"/>
      <c r="JQ35" s="75"/>
      <c r="JR35" s="75"/>
      <c r="JS35" s="75"/>
      <c r="JT35" s="75"/>
      <c r="JU35" s="75"/>
      <c r="JV35" s="75"/>
      <c r="JW35" s="75"/>
      <c r="JX35" s="75"/>
      <c r="JY35" s="75"/>
      <c r="JZ35" s="75"/>
      <c r="KA35" s="75"/>
      <c r="KB35" s="75"/>
      <c r="KC35" s="75"/>
      <c r="KD35" s="75"/>
      <c r="KE35" s="75"/>
      <c r="KF35" s="75"/>
      <c r="KG35" s="75"/>
      <c r="KH35" s="75"/>
      <c r="KI35" s="75"/>
      <c r="KJ35" s="75"/>
      <c r="KK35" s="75"/>
      <c r="KL35" s="75"/>
      <c r="KM35" s="75"/>
      <c r="KN35" s="75"/>
      <c r="KO35" s="75"/>
      <c r="KP35" s="75"/>
      <c r="KQ35" s="75"/>
      <c r="KR35" s="75"/>
      <c r="KS35" s="75"/>
      <c r="KT35" s="75"/>
      <c r="KU35" s="75"/>
      <c r="KV35" s="75"/>
      <c r="KW35" s="75"/>
      <c r="KX35" s="75"/>
      <c r="KY35" s="75"/>
      <c r="KZ35" s="75"/>
      <c r="LA35" s="75"/>
      <c r="LB35" s="75"/>
      <c r="LC35" s="75"/>
      <c r="LD35" s="75"/>
      <c r="LE35" s="75"/>
      <c r="LF35" s="75"/>
      <c r="LG35" s="75"/>
      <c r="LH35" s="75"/>
      <c r="LI35" s="75"/>
      <c r="LJ35" s="75"/>
      <c r="LK35" s="75"/>
      <c r="LL35" s="75"/>
      <c r="LM35" s="75"/>
      <c r="LN35" s="75"/>
      <c r="LO35" s="75"/>
      <c r="LP35" s="75"/>
      <c r="LQ35" s="75"/>
      <c r="LR35" s="75"/>
      <c r="LS35" s="75"/>
      <c r="LT35" s="75"/>
      <c r="LU35" s="75"/>
      <c r="LV35" s="75"/>
      <c r="LW35" s="75"/>
      <c r="LX35" s="75"/>
      <c r="LY35" s="75"/>
      <c r="LZ35" s="75"/>
      <c r="MA35" s="75"/>
      <c r="MB35" s="75"/>
      <c r="MC35" s="75"/>
      <c r="MD35" s="75"/>
      <c r="ME35" s="75"/>
      <c r="MF35" s="75"/>
      <c r="MG35" s="75"/>
      <c r="MH35" s="75"/>
      <c r="MI35" s="75"/>
      <c r="MJ35" s="75"/>
      <c r="MK35" s="75"/>
      <c r="ML35" s="75"/>
      <c r="MM35" s="75"/>
      <c r="MN35" s="75"/>
      <c r="MO35" s="75"/>
      <c r="MP35" s="75"/>
      <c r="MQ35" s="75"/>
      <c r="MR35" s="75"/>
      <c r="MS35" s="75"/>
      <c r="MT35" s="75"/>
      <c r="MU35" s="75"/>
      <c r="MV35" s="75"/>
      <c r="MW35" s="75"/>
      <c r="MX35" s="75"/>
      <c r="MY35" s="75"/>
      <c r="MZ35" s="75"/>
      <c r="NA35" s="75"/>
      <c r="NB35" s="75"/>
      <c r="NC35" s="75"/>
      <c r="ND35" s="75"/>
      <c r="NE35" s="75"/>
      <c r="NF35" s="75"/>
      <c r="NG35" s="75"/>
      <c r="NH35" s="75"/>
      <c r="NI35" s="75"/>
      <c r="NJ35" s="75"/>
      <c r="NK35" s="75"/>
      <c r="NL35" s="75"/>
      <c r="NM35" s="75"/>
      <c r="NN35" s="75"/>
      <c r="NO35" s="75"/>
      <c r="NP35" s="75"/>
      <c r="NQ35" s="75"/>
      <c r="NR35" s="75"/>
      <c r="NS35" s="75"/>
      <c r="NT35" s="75"/>
      <c r="NU35" s="75"/>
      <c r="NV35" s="75"/>
      <c r="NW35" s="75"/>
      <c r="NX35" s="75"/>
      <c r="NY35" s="75"/>
      <c r="NZ35" s="75"/>
      <c r="OA35" s="75"/>
      <c r="OB35" s="75"/>
      <c r="OC35" s="75"/>
      <c r="OD35" s="75"/>
      <c r="OE35" s="75"/>
      <c r="OF35" s="75"/>
      <c r="OG35" s="75"/>
      <c r="OH35" s="75"/>
      <c r="OI35" s="75"/>
      <c r="OJ35" s="75"/>
      <c r="OK35" s="75"/>
      <c r="OL35" s="75"/>
      <c r="OM35" s="75"/>
      <c r="ON35" s="75"/>
      <c r="OO35" s="75"/>
      <c r="OP35" s="75"/>
      <c r="OQ35" s="75"/>
      <c r="OR35" s="75"/>
      <c r="OS35" s="75"/>
      <c r="OT35" s="75"/>
      <c r="OU35" s="75"/>
      <c r="OV35" s="75"/>
      <c r="OW35" s="75"/>
      <c r="OX35" s="75"/>
      <c r="OY35" s="75"/>
      <c r="OZ35" s="75"/>
      <c r="PA35" s="75"/>
      <c r="PB35" s="75"/>
      <c r="PC35" s="75"/>
      <c r="PD35" s="75"/>
      <c r="PE35" s="75"/>
      <c r="PF35" s="75"/>
      <c r="PG35" s="75"/>
      <c r="PH35" s="75"/>
      <c r="PI35" s="75"/>
      <c r="PJ35" s="75"/>
      <c r="PK35" s="75"/>
      <c r="PL35" s="75"/>
      <c r="PM35" s="75"/>
      <c r="PN35" s="75"/>
      <c r="PO35" s="75"/>
      <c r="PP35" s="75"/>
      <c r="PQ35" s="75"/>
      <c r="PR35" s="75"/>
      <c r="PS35" s="75"/>
      <c r="PT35" s="75"/>
      <c r="PU35" s="75"/>
      <c r="PV35" s="75"/>
      <c r="PW35" s="75"/>
      <c r="PX35" s="75"/>
      <c r="PY35" s="75"/>
      <c r="PZ35" s="75"/>
      <c r="QA35" s="75"/>
      <c r="QB35" s="75"/>
      <c r="QC35" s="75"/>
      <c r="QD35" s="75"/>
      <c r="QE35" s="75"/>
      <c r="QF35" s="75"/>
      <c r="QG35" s="75"/>
      <c r="QH35" s="75"/>
      <c r="QI35" s="75"/>
      <c r="QJ35" s="75"/>
      <c r="QK35" s="75"/>
      <c r="QL35" s="75"/>
      <c r="QM35" s="75"/>
      <c r="QN35" s="75"/>
      <c r="QO35" s="75"/>
      <c r="QP35" s="75"/>
      <c r="QQ35" s="75"/>
      <c r="QR35" s="75"/>
      <c r="QS35" s="75"/>
      <c r="QT35" s="75"/>
      <c r="QU35" s="75"/>
      <c r="QV35" s="75"/>
      <c r="QW35" s="75"/>
      <c r="QX35" s="75"/>
      <c r="QY35" s="75"/>
      <c r="QZ35" s="75"/>
      <c r="RA35" s="75"/>
      <c r="RB35" s="75"/>
      <c r="RC35" s="75"/>
      <c r="RD35" s="75"/>
      <c r="RE35" s="75"/>
      <c r="RF35" s="75"/>
      <c r="RG35" s="75"/>
      <c r="RH35" s="75"/>
      <c r="RI35" s="75"/>
      <c r="RJ35" s="75"/>
      <c r="RK35" s="75"/>
      <c r="RL35" s="75"/>
      <c r="RM35" s="75"/>
      <c r="RN35" s="75"/>
      <c r="RO35" s="75"/>
      <c r="RP35" s="75"/>
      <c r="RQ35" s="75"/>
      <c r="RR35" s="75"/>
      <c r="RS35" s="75"/>
      <c r="RT35" s="75"/>
      <c r="RU35" s="75"/>
      <c r="RV35" s="75"/>
      <c r="RW35" s="75"/>
      <c r="RX35" s="75"/>
      <c r="RY35" s="75"/>
      <c r="RZ35" s="75"/>
      <c r="SA35" s="75"/>
      <c r="SB35" s="75"/>
      <c r="SC35" s="75"/>
      <c r="SD35" s="75"/>
      <c r="SE35" s="75"/>
      <c r="SF35" s="75"/>
      <c r="SG35" s="75"/>
      <c r="SH35" s="75"/>
      <c r="SI35" s="75"/>
      <c r="SJ35" s="75"/>
      <c r="SK35" s="75"/>
      <c r="SL35" s="75"/>
      <c r="SM35" s="75"/>
      <c r="SN35" s="75"/>
      <c r="SO35" s="75"/>
      <c r="SP35" s="75"/>
      <c r="SQ35" s="75"/>
      <c r="SR35" s="75"/>
      <c r="SS35" s="75"/>
      <c r="ST35" s="75"/>
      <c r="SU35" s="75"/>
      <c r="SV35" s="75"/>
      <c r="SW35" s="75"/>
      <c r="SX35" s="75"/>
      <c r="SY35" s="75"/>
      <c r="SZ35" s="75"/>
      <c r="TA35" s="75"/>
      <c r="TB35" s="75"/>
      <c r="TC35" s="75"/>
      <c r="TD35" s="75"/>
      <c r="TE35" s="75"/>
      <c r="TF35" s="75"/>
      <c r="TG35" s="75"/>
      <c r="TH35" s="75"/>
      <c r="TI35" s="75"/>
      <c r="TJ35" s="75"/>
      <c r="TK35" s="75"/>
      <c r="TL35" s="75"/>
      <c r="TM35" s="75"/>
      <c r="TN35" s="75"/>
      <c r="TO35" s="75"/>
      <c r="TP35" s="75"/>
      <c r="TQ35" s="75"/>
      <c r="TR35" s="75"/>
      <c r="TS35" s="75"/>
      <c r="TT35" s="75"/>
      <c r="TU35" s="75"/>
      <c r="TV35" s="75"/>
      <c r="TW35" s="75"/>
      <c r="TX35" s="75"/>
      <c r="TY35" s="75"/>
      <c r="TZ35" s="75"/>
      <c r="UA35" s="75"/>
      <c r="UB35" s="75"/>
      <c r="UC35" s="75"/>
      <c r="UD35" s="75"/>
      <c r="UE35" s="75"/>
      <c r="UF35" s="75"/>
      <c r="UG35" s="75"/>
      <c r="UH35" s="75"/>
      <c r="UI35" s="75"/>
      <c r="UJ35" s="75"/>
      <c r="UK35" s="75"/>
      <c r="UL35" s="75"/>
      <c r="UM35" s="75"/>
      <c r="UN35" s="75"/>
      <c r="UO35" s="75"/>
      <c r="UP35" s="75"/>
      <c r="UQ35" s="75"/>
      <c r="UR35" s="75"/>
      <c r="US35" s="75"/>
      <c r="UT35" s="75"/>
      <c r="UU35" s="75"/>
      <c r="UV35" s="75"/>
      <c r="UW35" s="75"/>
      <c r="UX35" s="75"/>
      <c r="UY35" s="75"/>
      <c r="UZ35" s="75"/>
      <c r="VA35" s="75"/>
      <c r="VB35" s="75"/>
      <c r="VC35" s="75"/>
      <c r="VD35" s="75"/>
      <c r="VE35" s="75"/>
      <c r="VF35" s="75"/>
      <c r="VG35" s="75"/>
      <c r="VH35" s="75"/>
      <c r="VI35" s="75"/>
      <c r="VJ35" s="75"/>
      <c r="VK35" s="75"/>
      <c r="VL35" s="75"/>
      <c r="VM35" s="75"/>
      <c r="VN35" s="75"/>
      <c r="VO35" s="75"/>
      <c r="VP35" s="75"/>
      <c r="VQ35" s="75">
        <v>5</v>
      </c>
      <c r="VR35" s="75">
        <v>20</v>
      </c>
      <c r="VS35" s="75">
        <v>20</v>
      </c>
      <c r="VT35" s="75"/>
      <c r="VU35" s="75">
        <v>20</v>
      </c>
      <c r="VV35" s="75">
        <v>20</v>
      </c>
      <c r="VW35" s="75">
        <v>20</v>
      </c>
      <c r="VX35" s="75">
        <v>20</v>
      </c>
      <c r="VY35" s="75">
        <v>20</v>
      </c>
      <c r="VZ35" s="75">
        <v>20</v>
      </c>
      <c r="WA35" s="75"/>
      <c r="WB35" s="75">
        <v>20</v>
      </c>
      <c r="WC35" s="75">
        <v>20</v>
      </c>
      <c r="WD35" s="75">
        <v>20</v>
      </c>
      <c r="WE35" s="75">
        <v>20</v>
      </c>
      <c r="WF35" s="75">
        <v>20</v>
      </c>
      <c r="WG35" s="75">
        <v>20</v>
      </c>
      <c r="WH35" s="75"/>
      <c r="WI35" s="75">
        <v>20</v>
      </c>
      <c r="WJ35" s="75">
        <v>20</v>
      </c>
      <c r="WK35" s="75">
        <v>20</v>
      </c>
      <c r="WL35" s="75">
        <v>20</v>
      </c>
      <c r="WM35" s="75">
        <v>20</v>
      </c>
      <c r="WN35" s="75">
        <v>20</v>
      </c>
      <c r="WO35" s="75"/>
      <c r="WP35" s="75">
        <v>20</v>
      </c>
      <c r="WQ35" s="75">
        <v>20</v>
      </c>
      <c r="WR35" s="75">
        <v>20</v>
      </c>
      <c r="WS35" s="75">
        <v>20</v>
      </c>
      <c r="WT35" s="75">
        <v>20</v>
      </c>
      <c r="WU35" s="75">
        <v>20</v>
      </c>
      <c r="WV35" s="75"/>
      <c r="WW35" s="75">
        <v>20</v>
      </c>
      <c r="WX35" s="75">
        <v>20</v>
      </c>
      <c r="WY35" s="75">
        <v>20</v>
      </c>
      <c r="WZ35" s="75">
        <v>15</v>
      </c>
      <c r="XA35" s="75"/>
      <c r="XB35" s="75"/>
      <c r="XC35" s="75"/>
      <c r="XD35" s="75"/>
      <c r="XE35" s="75"/>
      <c r="XF35" s="75"/>
      <c r="XG35" s="75"/>
      <c r="XH35" s="75"/>
      <c r="XI35" s="75"/>
      <c r="XJ35" s="75"/>
      <c r="XK35" s="75"/>
      <c r="XL35" s="75"/>
      <c r="XM35" s="75"/>
      <c r="XN35" s="75"/>
      <c r="XO35" s="75"/>
      <c r="XP35" s="75"/>
      <c r="XQ35" s="75"/>
      <c r="XR35" s="75"/>
      <c r="XS35" s="75"/>
      <c r="XT35" s="75"/>
      <c r="XU35" s="75"/>
      <c r="XV35" s="75"/>
      <c r="XW35" s="75"/>
      <c r="XX35" s="75"/>
      <c r="XY35" s="75"/>
      <c r="XZ35" s="75"/>
      <c r="YA35" s="75"/>
      <c r="YB35" s="75"/>
      <c r="YC35" s="75"/>
      <c r="YD35" s="75"/>
      <c r="YE35" s="75"/>
      <c r="YF35" s="75"/>
      <c r="YG35" s="75"/>
      <c r="YH35" s="75"/>
      <c r="YI35" s="75"/>
      <c r="YJ35" s="75"/>
      <c r="YK35" s="75"/>
      <c r="YL35" s="75"/>
      <c r="YM35" s="75"/>
      <c r="YN35" s="75"/>
      <c r="YO35" s="75"/>
      <c r="YP35" s="75"/>
      <c r="YQ35" s="75"/>
      <c r="YR35" s="75"/>
      <c r="YS35" s="75"/>
      <c r="YT35" s="75"/>
      <c r="YU35" s="75"/>
      <c r="YV35" s="75"/>
      <c r="YW35" s="75"/>
      <c r="YX35" s="75"/>
      <c r="YY35" s="75"/>
      <c r="YZ35" s="75"/>
      <c r="ZA35" s="75"/>
      <c r="ZB35" s="75"/>
      <c r="ZC35" s="75"/>
      <c r="ZD35" s="75"/>
      <c r="ZE35" s="75"/>
      <c r="ZF35" s="75"/>
      <c r="ZG35" s="75"/>
      <c r="ZH35" s="75"/>
      <c r="ZI35" s="75"/>
      <c r="ZJ35" s="75"/>
      <c r="ZK35" s="75"/>
      <c r="ZL35" s="75"/>
      <c r="ZM35" s="75"/>
      <c r="ZN35" s="75"/>
      <c r="ZO35" s="75"/>
      <c r="ZP35" s="75"/>
      <c r="ZQ35" s="75"/>
      <c r="ZR35" s="75"/>
      <c r="ZS35" s="75"/>
      <c r="ZT35" s="75"/>
      <c r="ZU35" s="75"/>
      <c r="ZV35" s="75"/>
      <c r="ZW35" s="75"/>
      <c r="ZX35" s="75"/>
      <c r="ZY35" s="75"/>
      <c r="ZZ35" s="75"/>
      <c r="AAA35" s="75"/>
      <c r="AAB35" s="75"/>
      <c r="AAC35" s="75"/>
      <c r="AAD35" s="75"/>
      <c r="AAE35" s="75"/>
      <c r="AAF35" s="75"/>
      <c r="AAG35" s="75"/>
      <c r="AAH35" s="75"/>
      <c r="AAI35" s="75"/>
      <c r="AAJ35" s="75"/>
      <c r="AAK35" s="75"/>
      <c r="AAL35" s="75"/>
      <c r="AAM35" s="75"/>
      <c r="AAN35" s="75"/>
      <c r="AAO35" s="75"/>
      <c r="AAP35" s="75"/>
      <c r="AAQ35" s="75"/>
      <c r="AAR35" s="75"/>
      <c r="AAS35" s="75"/>
      <c r="AAT35" s="75"/>
      <c r="AAU35" s="75"/>
      <c r="AAV35" s="75"/>
      <c r="AAW35" s="75"/>
      <c r="AAX35" s="75"/>
      <c r="AAY35" s="75"/>
      <c r="AAZ35" s="75"/>
      <c r="ABA35" s="75"/>
      <c r="ABB35" s="75"/>
      <c r="ABC35" s="75"/>
    </row>
    <row r="36" spans="1:731">
      <c r="A36" s="75" t="s">
        <v>73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75"/>
      <c r="BC36" s="75"/>
      <c r="BD36" s="75"/>
      <c r="BE36" s="75"/>
      <c r="BF36" s="75"/>
      <c r="BG36" s="75"/>
      <c r="BH36" s="75"/>
      <c r="BI36" s="75"/>
      <c r="BJ36" s="75"/>
      <c r="BK36" s="75"/>
      <c r="BL36" s="75"/>
      <c r="BM36" s="75"/>
      <c r="BN36" s="75"/>
      <c r="BO36" s="75"/>
      <c r="BP36" s="75"/>
      <c r="BQ36" s="75"/>
      <c r="BR36" s="75"/>
      <c r="BS36" s="75"/>
      <c r="BT36" s="75"/>
      <c r="BU36" s="75"/>
      <c r="BV36" s="75"/>
      <c r="BW36" s="75"/>
      <c r="BX36" s="75"/>
      <c r="BY36" s="75"/>
      <c r="BZ36" s="75"/>
      <c r="CA36" s="75"/>
      <c r="CB36" s="75"/>
      <c r="CC36" s="75"/>
      <c r="CD36" s="75"/>
      <c r="CE36" s="75"/>
      <c r="CF36" s="75"/>
      <c r="CG36" s="75"/>
      <c r="CH36" s="75"/>
      <c r="CI36" s="75"/>
      <c r="CJ36" s="75"/>
      <c r="CK36" s="75"/>
      <c r="CL36" s="75"/>
      <c r="CM36" s="75"/>
      <c r="CN36" s="75"/>
      <c r="CO36" s="75"/>
      <c r="CP36" s="75"/>
      <c r="CQ36" s="75"/>
      <c r="CR36" s="75"/>
      <c r="CS36" s="75"/>
      <c r="CT36" s="75"/>
      <c r="CU36" s="75"/>
      <c r="CV36" s="75"/>
      <c r="CW36" s="75"/>
      <c r="CX36" s="75"/>
      <c r="CY36" s="75"/>
      <c r="CZ36" s="75"/>
      <c r="DA36" s="75"/>
      <c r="DB36" s="75"/>
      <c r="DC36" s="75"/>
      <c r="DD36" s="75"/>
      <c r="DE36" s="75"/>
      <c r="DF36" s="75"/>
      <c r="DG36" s="75"/>
      <c r="DH36" s="75"/>
      <c r="DI36" s="75"/>
      <c r="DJ36" s="75"/>
      <c r="DK36" s="75"/>
      <c r="DL36" s="75"/>
      <c r="DM36" s="75"/>
      <c r="DN36" s="75"/>
      <c r="DO36" s="75"/>
      <c r="DP36" s="75"/>
      <c r="DQ36" s="75"/>
      <c r="DR36" s="75"/>
      <c r="DS36" s="75"/>
      <c r="DT36" s="75"/>
      <c r="DU36" s="75"/>
      <c r="DV36" s="75"/>
      <c r="DW36" s="75"/>
      <c r="DX36" s="75"/>
      <c r="DY36" s="75"/>
      <c r="DZ36" s="75"/>
      <c r="EA36" s="75"/>
      <c r="EB36" s="75"/>
      <c r="EC36" s="75"/>
      <c r="ED36" s="75"/>
      <c r="EE36" s="75"/>
      <c r="EF36" s="75"/>
      <c r="EG36" s="75"/>
      <c r="EH36" s="75"/>
      <c r="EI36" s="75"/>
      <c r="EJ36" s="75"/>
      <c r="EK36" s="75"/>
      <c r="EL36" s="75"/>
      <c r="EM36" s="75"/>
      <c r="EN36" s="75"/>
      <c r="EO36" s="75"/>
      <c r="EP36" s="75"/>
      <c r="EQ36" s="75"/>
      <c r="ER36" s="75"/>
      <c r="ES36" s="75"/>
      <c r="ET36" s="75"/>
      <c r="EU36" s="75"/>
      <c r="EV36" s="75"/>
      <c r="EW36" s="75"/>
      <c r="EX36" s="75"/>
      <c r="EY36" s="75"/>
      <c r="EZ36" s="75"/>
      <c r="FA36" s="75"/>
      <c r="FB36" s="75"/>
      <c r="FC36" s="75"/>
      <c r="FD36" s="75"/>
      <c r="FE36" s="75"/>
      <c r="FF36" s="75"/>
      <c r="FG36" s="75"/>
      <c r="FH36" s="75"/>
      <c r="FI36" s="75"/>
      <c r="FJ36" s="75"/>
      <c r="FK36" s="75"/>
      <c r="FL36" s="75"/>
      <c r="FM36" s="75"/>
      <c r="FN36" s="75"/>
      <c r="FO36" s="75"/>
      <c r="FP36" s="75"/>
      <c r="FQ36" s="75"/>
      <c r="FR36" s="75"/>
      <c r="FS36" s="75"/>
      <c r="FT36" s="75"/>
      <c r="FU36" s="75"/>
      <c r="FV36" s="75"/>
      <c r="FW36" s="75"/>
      <c r="FX36" s="75"/>
      <c r="FY36" s="75"/>
      <c r="FZ36" s="75"/>
      <c r="GA36" s="75"/>
      <c r="GB36" s="75"/>
      <c r="GC36" s="75"/>
      <c r="GD36" s="75"/>
      <c r="GE36" s="75"/>
      <c r="GF36" s="75"/>
      <c r="GG36" s="75"/>
      <c r="GH36" s="75"/>
      <c r="GI36" s="75"/>
      <c r="GJ36" s="75"/>
      <c r="GK36" s="75"/>
      <c r="GL36" s="75"/>
      <c r="GM36" s="75"/>
      <c r="GN36" s="75"/>
      <c r="GO36" s="75"/>
      <c r="GP36" s="75"/>
      <c r="GQ36" s="75"/>
      <c r="GR36" s="75"/>
      <c r="GS36" s="75"/>
      <c r="GT36" s="75"/>
      <c r="GU36" s="75"/>
      <c r="GV36" s="75"/>
      <c r="GW36" s="75"/>
      <c r="GX36" s="75"/>
      <c r="GY36" s="75"/>
      <c r="GZ36" s="75"/>
      <c r="HA36" s="75"/>
      <c r="HB36" s="75"/>
      <c r="HC36" s="75"/>
      <c r="HD36" s="75"/>
      <c r="HE36" s="75"/>
      <c r="HF36" s="75"/>
      <c r="HG36" s="75"/>
      <c r="HH36" s="75"/>
      <c r="HI36" s="75"/>
      <c r="HJ36" s="75"/>
      <c r="HK36" s="75"/>
      <c r="HL36" s="75"/>
      <c r="HM36" s="75"/>
      <c r="HN36" s="75"/>
      <c r="HO36" s="75"/>
      <c r="HP36" s="75"/>
      <c r="HQ36" s="75"/>
      <c r="HR36" s="75"/>
      <c r="HS36" s="75"/>
      <c r="HT36" s="75"/>
      <c r="HU36" s="75"/>
      <c r="HV36" s="75"/>
      <c r="HW36" s="75"/>
      <c r="HX36" s="75"/>
      <c r="HY36" s="75"/>
      <c r="HZ36" s="75"/>
      <c r="IA36" s="75"/>
      <c r="IB36" s="75"/>
      <c r="IC36" s="75"/>
      <c r="ID36" s="75"/>
      <c r="IE36" s="75"/>
      <c r="IF36" s="75"/>
      <c r="IG36" s="75"/>
      <c r="IH36" s="75"/>
      <c r="II36" s="75"/>
      <c r="IJ36" s="75"/>
      <c r="IK36" s="75"/>
      <c r="IL36" s="75"/>
      <c r="IM36" s="75"/>
      <c r="IN36" s="75"/>
      <c r="IO36" s="75"/>
      <c r="IP36" s="75"/>
      <c r="IQ36" s="75"/>
      <c r="IR36" s="75"/>
      <c r="IS36" s="75"/>
      <c r="IT36" s="75"/>
      <c r="IU36" s="75"/>
      <c r="IV36" s="75"/>
      <c r="IW36" s="75"/>
      <c r="IX36" s="75"/>
      <c r="IY36" s="75"/>
      <c r="IZ36" s="75"/>
      <c r="JA36" s="75"/>
      <c r="JB36" s="75"/>
      <c r="JC36" s="75"/>
      <c r="JD36" s="75"/>
      <c r="JE36" s="75"/>
      <c r="JF36" s="75"/>
      <c r="JG36" s="75"/>
      <c r="JH36" s="75"/>
      <c r="JI36" s="75"/>
      <c r="JJ36" s="75"/>
      <c r="JK36" s="75"/>
      <c r="JL36" s="75"/>
      <c r="JM36" s="75"/>
      <c r="JN36" s="75"/>
      <c r="JO36" s="75"/>
      <c r="JP36" s="75"/>
      <c r="JQ36" s="75"/>
      <c r="JR36" s="75"/>
      <c r="JS36" s="75"/>
      <c r="JT36" s="75"/>
      <c r="JU36" s="75"/>
      <c r="JV36" s="75"/>
      <c r="JW36" s="75"/>
      <c r="JX36" s="75"/>
      <c r="JY36" s="75"/>
      <c r="JZ36" s="75"/>
      <c r="KA36" s="75"/>
      <c r="KB36" s="75"/>
      <c r="KC36" s="75"/>
      <c r="KD36" s="75"/>
      <c r="KE36" s="75"/>
      <c r="KF36" s="75"/>
      <c r="KG36" s="75"/>
      <c r="KH36" s="75"/>
      <c r="KI36" s="75"/>
      <c r="KJ36" s="75"/>
      <c r="KK36" s="75"/>
      <c r="KL36" s="75"/>
      <c r="KM36" s="75"/>
      <c r="KN36" s="75"/>
      <c r="KO36" s="75"/>
      <c r="KP36" s="75"/>
      <c r="KQ36" s="75"/>
      <c r="KR36" s="75"/>
      <c r="KS36" s="75"/>
      <c r="KT36" s="75"/>
      <c r="KU36" s="75"/>
      <c r="KV36" s="75"/>
      <c r="KW36" s="75"/>
      <c r="KX36" s="75"/>
      <c r="KY36" s="75"/>
      <c r="KZ36" s="75"/>
      <c r="LA36" s="75"/>
      <c r="LB36" s="75"/>
      <c r="LC36" s="75"/>
      <c r="LD36" s="75"/>
      <c r="LE36" s="75"/>
      <c r="LF36" s="75"/>
      <c r="LG36" s="75"/>
      <c r="LH36" s="75"/>
      <c r="LI36" s="75"/>
      <c r="LJ36" s="75"/>
      <c r="LK36" s="75"/>
      <c r="LL36" s="75"/>
      <c r="LM36" s="75"/>
      <c r="LN36" s="75"/>
      <c r="LO36" s="75"/>
      <c r="LP36" s="75"/>
      <c r="LQ36" s="75"/>
      <c r="LR36" s="75"/>
      <c r="LS36" s="75"/>
      <c r="LT36" s="75"/>
      <c r="LU36" s="75"/>
      <c r="LV36" s="75"/>
      <c r="LW36" s="75"/>
      <c r="LX36" s="75"/>
      <c r="LY36" s="75"/>
      <c r="LZ36" s="75"/>
      <c r="MA36" s="75"/>
      <c r="MB36" s="75"/>
      <c r="MC36" s="75"/>
      <c r="MD36" s="75"/>
      <c r="ME36" s="75"/>
      <c r="MF36" s="75"/>
      <c r="MG36" s="75"/>
      <c r="MH36" s="75"/>
      <c r="MI36" s="75"/>
      <c r="MJ36" s="75"/>
      <c r="MK36" s="75"/>
      <c r="ML36" s="75"/>
      <c r="MM36" s="75"/>
      <c r="MN36" s="75"/>
      <c r="MO36" s="75"/>
      <c r="MP36" s="75"/>
      <c r="MQ36" s="75"/>
      <c r="MR36" s="75"/>
      <c r="MS36" s="75"/>
      <c r="MT36" s="75"/>
      <c r="MU36" s="75"/>
      <c r="MV36" s="75"/>
      <c r="MW36" s="75"/>
      <c r="MX36" s="75"/>
      <c r="MY36" s="75"/>
      <c r="MZ36" s="75"/>
      <c r="NA36" s="75"/>
      <c r="NB36" s="75"/>
      <c r="NC36" s="75"/>
      <c r="ND36" s="75"/>
      <c r="NE36" s="75"/>
      <c r="NF36" s="75"/>
      <c r="NG36" s="75"/>
      <c r="NH36" s="75"/>
      <c r="NI36" s="75"/>
      <c r="NJ36" s="75"/>
      <c r="NK36" s="75"/>
      <c r="NL36" s="75"/>
      <c r="NM36" s="75"/>
      <c r="NN36" s="75"/>
      <c r="NO36" s="75"/>
      <c r="NP36" s="75"/>
      <c r="NQ36" s="75"/>
      <c r="NR36" s="75"/>
      <c r="NS36" s="75"/>
      <c r="NT36" s="75"/>
      <c r="NU36" s="75"/>
      <c r="NV36" s="75"/>
      <c r="NW36" s="75"/>
      <c r="NX36" s="75"/>
      <c r="NY36" s="75"/>
      <c r="NZ36" s="75"/>
      <c r="OA36" s="75"/>
      <c r="OB36" s="75"/>
      <c r="OC36" s="75"/>
      <c r="OD36" s="75"/>
      <c r="OE36" s="75"/>
      <c r="OF36" s="75"/>
      <c r="OG36" s="75"/>
      <c r="OH36" s="75"/>
      <c r="OI36" s="75"/>
      <c r="OJ36" s="75"/>
      <c r="OK36" s="75"/>
      <c r="OL36" s="75"/>
      <c r="OM36" s="75"/>
      <c r="ON36" s="75"/>
      <c r="OO36" s="75"/>
      <c r="OP36" s="75"/>
      <c r="OQ36" s="75"/>
      <c r="OR36" s="75"/>
      <c r="OS36" s="75"/>
      <c r="OT36" s="75"/>
      <c r="OU36" s="75"/>
      <c r="OV36" s="75"/>
      <c r="OW36" s="75"/>
      <c r="OX36" s="75"/>
      <c r="OY36" s="75"/>
      <c r="OZ36" s="75"/>
      <c r="PA36" s="75"/>
      <c r="PB36" s="75"/>
      <c r="PC36" s="75"/>
      <c r="PD36" s="75"/>
      <c r="PE36" s="75"/>
      <c r="PF36" s="75"/>
      <c r="PG36" s="75"/>
      <c r="PH36" s="75"/>
      <c r="PI36" s="75"/>
      <c r="PJ36" s="75"/>
      <c r="PK36" s="75"/>
      <c r="PL36" s="75"/>
      <c r="PM36" s="75"/>
      <c r="PN36" s="75"/>
      <c r="PO36" s="75"/>
      <c r="PP36" s="75"/>
      <c r="PQ36" s="75"/>
      <c r="PR36" s="75"/>
      <c r="PS36" s="75"/>
      <c r="PT36" s="75"/>
      <c r="PU36" s="75"/>
      <c r="PV36" s="75"/>
      <c r="PW36" s="75"/>
      <c r="PX36" s="75"/>
      <c r="PY36" s="75"/>
      <c r="PZ36" s="75"/>
      <c r="QA36" s="75"/>
      <c r="QB36" s="75"/>
      <c r="QC36" s="75"/>
      <c r="QD36" s="75"/>
      <c r="QE36" s="75"/>
      <c r="QF36" s="75"/>
      <c r="QG36" s="75"/>
      <c r="QH36" s="75"/>
      <c r="QI36" s="75"/>
      <c r="QJ36" s="75"/>
      <c r="QK36" s="75"/>
      <c r="QL36" s="75"/>
      <c r="QM36" s="75"/>
      <c r="QN36" s="75"/>
      <c r="QO36" s="75"/>
      <c r="QP36" s="75"/>
      <c r="QQ36" s="75"/>
      <c r="QR36" s="75"/>
      <c r="QS36" s="75"/>
      <c r="QT36" s="75"/>
      <c r="QU36" s="75"/>
      <c r="QV36" s="75"/>
      <c r="QW36" s="75"/>
      <c r="QX36" s="75"/>
      <c r="QY36" s="75"/>
      <c r="QZ36" s="75"/>
      <c r="RA36" s="75"/>
      <c r="RB36" s="75"/>
      <c r="RC36" s="75"/>
      <c r="RD36" s="75"/>
      <c r="RE36" s="75"/>
      <c r="RF36" s="75"/>
      <c r="RG36" s="75"/>
      <c r="RH36" s="75"/>
      <c r="RI36" s="75"/>
      <c r="RJ36" s="75"/>
      <c r="RK36" s="75"/>
      <c r="RL36" s="75"/>
      <c r="RM36" s="75"/>
      <c r="RN36" s="75"/>
      <c r="RO36" s="75"/>
      <c r="RP36" s="75"/>
      <c r="RQ36" s="75"/>
      <c r="RR36" s="75"/>
      <c r="RS36" s="75"/>
      <c r="RT36" s="75"/>
      <c r="RU36" s="75"/>
      <c r="RV36" s="75"/>
      <c r="RW36" s="75"/>
      <c r="RX36" s="75"/>
      <c r="RY36" s="75"/>
      <c r="RZ36" s="75"/>
      <c r="SA36" s="75"/>
      <c r="SB36" s="75"/>
      <c r="SC36" s="75"/>
      <c r="SD36" s="75"/>
      <c r="SE36" s="75"/>
      <c r="SF36" s="75"/>
      <c r="SG36" s="75"/>
      <c r="SH36" s="75"/>
      <c r="SI36" s="75"/>
      <c r="SJ36" s="75"/>
      <c r="SK36" s="75"/>
      <c r="SL36" s="75"/>
      <c r="SM36" s="75"/>
      <c r="SN36" s="75"/>
      <c r="SO36" s="75"/>
      <c r="SP36" s="75"/>
      <c r="SQ36" s="75"/>
      <c r="SR36" s="75"/>
      <c r="SS36" s="75"/>
      <c r="ST36" s="75"/>
      <c r="SU36" s="75"/>
      <c r="SV36" s="75"/>
      <c r="SW36" s="75"/>
      <c r="SX36" s="75"/>
      <c r="SY36" s="75"/>
      <c r="SZ36" s="75"/>
      <c r="TA36" s="75"/>
      <c r="TB36" s="75"/>
      <c r="TC36" s="75"/>
      <c r="TD36" s="75"/>
      <c r="TE36" s="75"/>
      <c r="TF36" s="75"/>
      <c r="TG36" s="75"/>
      <c r="TH36" s="75"/>
      <c r="TI36" s="75"/>
      <c r="TJ36" s="75"/>
      <c r="TK36" s="75"/>
      <c r="TL36" s="75"/>
      <c r="TM36" s="75"/>
      <c r="TN36" s="75"/>
      <c r="TO36" s="75"/>
      <c r="TP36" s="75"/>
      <c r="TQ36" s="75"/>
      <c r="TR36" s="75"/>
      <c r="TS36" s="75"/>
      <c r="TT36" s="75"/>
      <c r="TU36" s="75"/>
      <c r="TV36" s="75"/>
      <c r="TW36" s="75"/>
      <c r="TX36" s="75"/>
      <c r="TY36" s="75"/>
      <c r="TZ36" s="75"/>
      <c r="UA36" s="75"/>
      <c r="UB36" s="75"/>
      <c r="UC36" s="75"/>
      <c r="UD36" s="75"/>
      <c r="UE36" s="75"/>
      <c r="UF36" s="75"/>
      <c r="UG36" s="75"/>
      <c r="UH36" s="75"/>
      <c r="UI36" s="75"/>
      <c r="UJ36" s="75"/>
      <c r="UK36" s="75"/>
      <c r="UL36" s="75"/>
      <c r="UM36" s="75"/>
      <c r="UN36" s="75"/>
      <c r="UO36" s="75"/>
      <c r="UP36" s="75"/>
      <c r="UQ36" s="75"/>
      <c r="UR36" s="75"/>
      <c r="US36" s="75"/>
      <c r="UT36" s="75"/>
      <c r="UU36" s="75"/>
      <c r="UV36" s="75"/>
      <c r="UW36" s="75"/>
      <c r="UX36" s="75"/>
      <c r="UY36" s="75"/>
      <c r="UZ36" s="75"/>
      <c r="VA36" s="75"/>
      <c r="VB36" s="75"/>
      <c r="VC36" s="75"/>
      <c r="VD36" s="75"/>
      <c r="VE36" s="75"/>
      <c r="VF36" s="75"/>
      <c r="VG36" s="75">
        <v>4</v>
      </c>
      <c r="VH36" s="75">
        <v>16</v>
      </c>
      <c r="VI36" s="75">
        <v>16</v>
      </c>
      <c r="VJ36" s="75">
        <v>16</v>
      </c>
      <c r="VK36" s="75">
        <v>16</v>
      </c>
      <c r="VL36" s="75">
        <v>20</v>
      </c>
      <c r="VM36" s="75"/>
      <c r="VN36" s="75">
        <v>32</v>
      </c>
      <c r="VO36" s="75">
        <v>32</v>
      </c>
      <c r="VP36" s="75">
        <v>32</v>
      </c>
      <c r="VQ36" s="75">
        <v>32</v>
      </c>
      <c r="VR36" s="75">
        <v>28</v>
      </c>
      <c r="VS36" s="75">
        <v>16</v>
      </c>
      <c r="VT36" s="75"/>
      <c r="VU36" s="75">
        <v>16</v>
      </c>
      <c r="VV36" s="75">
        <v>16</v>
      </c>
      <c r="VW36" s="75">
        <v>16</v>
      </c>
      <c r="VX36" s="75">
        <v>12</v>
      </c>
      <c r="VY36" s="75"/>
      <c r="VZ36" s="75"/>
      <c r="WA36" s="75"/>
      <c r="WB36" s="75"/>
      <c r="WC36" s="75"/>
      <c r="WD36" s="75"/>
      <c r="WE36" s="75"/>
      <c r="WF36" s="75"/>
      <c r="WG36" s="75"/>
      <c r="WH36" s="75"/>
      <c r="WI36" s="75"/>
      <c r="WJ36" s="75"/>
      <c r="WK36" s="75"/>
      <c r="WL36" s="75"/>
      <c r="WM36" s="75"/>
      <c r="WN36" s="75"/>
      <c r="WO36" s="75"/>
      <c r="WP36" s="75"/>
      <c r="WQ36" s="75"/>
      <c r="WR36" s="75"/>
      <c r="WS36" s="75"/>
      <c r="WT36" s="75"/>
      <c r="WU36" s="75"/>
      <c r="WV36" s="75"/>
      <c r="WW36" s="75"/>
      <c r="WX36" s="75"/>
      <c r="WY36" s="75"/>
      <c r="WZ36" s="75"/>
      <c r="XA36" s="75"/>
      <c r="XB36" s="75"/>
      <c r="XC36" s="75"/>
      <c r="XD36" s="75"/>
      <c r="XE36" s="75"/>
      <c r="XF36" s="75"/>
      <c r="XG36" s="75"/>
      <c r="XH36" s="75"/>
      <c r="XI36" s="75"/>
      <c r="XJ36" s="75"/>
      <c r="XK36" s="75"/>
      <c r="XL36" s="75"/>
      <c r="XM36" s="75"/>
      <c r="XN36" s="75"/>
      <c r="XO36" s="75"/>
      <c r="XP36" s="75"/>
      <c r="XQ36" s="75"/>
      <c r="XR36" s="75"/>
      <c r="XS36" s="75"/>
      <c r="XT36" s="75"/>
      <c r="XU36" s="75"/>
      <c r="XV36" s="75"/>
      <c r="XW36" s="75"/>
      <c r="XX36" s="75"/>
      <c r="XY36" s="75"/>
      <c r="XZ36" s="75"/>
      <c r="YA36" s="75"/>
      <c r="YB36" s="75"/>
      <c r="YC36" s="75"/>
      <c r="YD36" s="75"/>
      <c r="YE36" s="75"/>
      <c r="YF36" s="75"/>
      <c r="YG36" s="75"/>
      <c r="YH36" s="75"/>
      <c r="YI36" s="75"/>
      <c r="YJ36" s="75"/>
      <c r="YK36" s="75"/>
      <c r="YL36" s="75"/>
      <c r="YM36" s="75"/>
      <c r="YN36" s="75"/>
      <c r="YO36" s="75"/>
      <c r="YP36" s="75"/>
      <c r="YQ36" s="75"/>
      <c r="YR36" s="75"/>
      <c r="YS36" s="75"/>
      <c r="YT36" s="75"/>
      <c r="YU36" s="75"/>
      <c r="YV36" s="75"/>
      <c r="YW36" s="75"/>
      <c r="YX36" s="75"/>
      <c r="YY36" s="75"/>
      <c r="YZ36" s="75"/>
      <c r="ZA36" s="75"/>
      <c r="ZB36" s="75"/>
      <c r="ZC36" s="75"/>
      <c r="ZD36" s="75"/>
      <c r="ZE36" s="75"/>
      <c r="ZF36" s="75"/>
      <c r="ZG36" s="75"/>
      <c r="ZH36" s="75"/>
      <c r="ZI36" s="75"/>
      <c r="ZJ36" s="75"/>
      <c r="ZK36" s="75"/>
      <c r="ZL36" s="75"/>
      <c r="ZM36" s="75"/>
      <c r="ZN36" s="75"/>
      <c r="ZO36" s="75"/>
      <c r="ZP36" s="75"/>
      <c r="ZQ36" s="75"/>
      <c r="ZR36" s="75"/>
      <c r="ZS36" s="75"/>
      <c r="ZT36" s="75"/>
      <c r="ZU36" s="75"/>
      <c r="ZV36" s="75"/>
      <c r="ZW36" s="75"/>
      <c r="ZX36" s="75"/>
      <c r="ZY36" s="75"/>
      <c r="ZZ36" s="75"/>
      <c r="AAA36" s="75"/>
      <c r="AAB36" s="75"/>
      <c r="AAC36" s="75"/>
      <c r="AAD36" s="75"/>
      <c r="AAE36" s="75"/>
      <c r="AAF36" s="75"/>
      <c r="AAG36" s="75"/>
      <c r="AAH36" s="75"/>
      <c r="AAI36" s="75"/>
      <c r="AAJ36" s="75"/>
      <c r="AAK36" s="75"/>
      <c r="AAL36" s="75"/>
      <c r="AAM36" s="75"/>
      <c r="AAN36" s="75"/>
      <c r="AAO36" s="75"/>
      <c r="AAP36" s="75"/>
      <c r="AAQ36" s="75"/>
      <c r="AAR36" s="75"/>
      <c r="AAS36" s="75"/>
      <c r="AAT36" s="75"/>
      <c r="AAU36" s="75"/>
      <c r="AAV36" s="75"/>
      <c r="AAW36" s="75"/>
      <c r="AAX36" s="75"/>
      <c r="AAY36" s="75"/>
      <c r="AAZ36" s="75"/>
      <c r="ABA36" s="75"/>
      <c r="ABB36" s="75"/>
      <c r="ABC36" s="75"/>
    </row>
    <row r="37" spans="1:731">
      <c r="A37" s="75" t="s">
        <v>62</v>
      </c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5"/>
      <c r="BB37" s="75"/>
      <c r="BC37" s="75"/>
      <c r="BD37" s="75"/>
      <c r="BE37" s="75"/>
      <c r="BF37" s="75"/>
      <c r="BG37" s="75"/>
      <c r="BH37" s="75"/>
      <c r="BI37" s="75"/>
      <c r="BJ37" s="75"/>
      <c r="BK37" s="75"/>
      <c r="BL37" s="75"/>
      <c r="BM37" s="75"/>
      <c r="BN37" s="75"/>
      <c r="BO37" s="75"/>
      <c r="BP37" s="75"/>
      <c r="BQ37" s="75"/>
      <c r="BR37" s="75"/>
      <c r="BS37" s="75"/>
      <c r="BT37" s="75"/>
      <c r="BU37" s="75"/>
      <c r="BV37" s="75"/>
      <c r="BW37" s="75"/>
      <c r="BX37" s="75"/>
      <c r="BY37" s="75"/>
      <c r="BZ37" s="75"/>
      <c r="CA37" s="75"/>
      <c r="CB37" s="75"/>
      <c r="CC37" s="75"/>
      <c r="CD37" s="75"/>
      <c r="CE37" s="75"/>
      <c r="CF37" s="75"/>
      <c r="CG37" s="75"/>
      <c r="CH37" s="75"/>
      <c r="CI37" s="75"/>
      <c r="CJ37" s="75"/>
      <c r="CK37" s="75"/>
      <c r="CL37" s="75"/>
      <c r="CM37" s="75"/>
      <c r="CN37" s="75"/>
      <c r="CO37" s="75"/>
      <c r="CP37" s="75"/>
      <c r="CQ37" s="75"/>
      <c r="CR37" s="75"/>
      <c r="CS37" s="75"/>
      <c r="CT37" s="75"/>
      <c r="CU37" s="75"/>
      <c r="CV37" s="75"/>
      <c r="CW37" s="75"/>
      <c r="CX37" s="75"/>
      <c r="CY37" s="75"/>
      <c r="CZ37" s="75"/>
      <c r="DA37" s="75"/>
      <c r="DB37" s="75"/>
      <c r="DC37" s="75"/>
      <c r="DD37" s="75"/>
      <c r="DE37" s="75"/>
      <c r="DF37" s="75"/>
      <c r="DG37" s="75"/>
      <c r="DH37" s="75"/>
      <c r="DI37" s="75"/>
      <c r="DJ37" s="75"/>
      <c r="DK37" s="75"/>
      <c r="DL37" s="75"/>
      <c r="DM37" s="75"/>
      <c r="DN37" s="75"/>
      <c r="DO37" s="75"/>
      <c r="DP37" s="75"/>
      <c r="DQ37" s="75"/>
      <c r="DR37" s="75"/>
      <c r="DS37" s="75"/>
      <c r="DT37" s="75"/>
      <c r="DU37" s="75"/>
      <c r="DV37" s="75"/>
      <c r="DW37" s="75"/>
      <c r="DX37" s="75"/>
      <c r="DY37" s="75"/>
      <c r="DZ37" s="75"/>
      <c r="EA37" s="75"/>
      <c r="EB37" s="75"/>
      <c r="EC37" s="75"/>
      <c r="ED37" s="75"/>
      <c r="EE37" s="75"/>
      <c r="EF37" s="75"/>
      <c r="EG37" s="75"/>
      <c r="EH37" s="75"/>
      <c r="EI37" s="75"/>
      <c r="EJ37" s="75"/>
      <c r="EK37" s="75"/>
      <c r="EL37" s="75"/>
      <c r="EM37" s="75"/>
      <c r="EN37" s="75"/>
      <c r="EO37" s="75"/>
      <c r="EP37" s="75"/>
      <c r="EQ37" s="75"/>
      <c r="ER37" s="75"/>
      <c r="ES37" s="75"/>
      <c r="ET37" s="75"/>
      <c r="EU37" s="75"/>
      <c r="EV37" s="75"/>
      <c r="EW37" s="75"/>
      <c r="EX37" s="75"/>
      <c r="EY37" s="75"/>
      <c r="EZ37" s="75"/>
      <c r="FA37" s="75"/>
      <c r="FB37" s="75"/>
      <c r="FC37" s="75"/>
      <c r="FD37" s="75"/>
      <c r="FE37" s="75"/>
      <c r="FF37" s="75"/>
      <c r="FG37" s="75"/>
      <c r="FH37" s="75"/>
      <c r="FI37" s="75"/>
      <c r="FJ37" s="75"/>
      <c r="FK37" s="75"/>
      <c r="FL37" s="75"/>
      <c r="FM37" s="75"/>
      <c r="FN37" s="75"/>
      <c r="FO37" s="75"/>
      <c r="FP37" s="75"/>
      <c r="FQ37" s="75"/>
      <c r="FR37" s="75"/>
      <c r="FS37" s="75"/>
      <c r="FT37" s="75"/>
      <c r="FU37" s="75"/>
      <c r="FV37" s="75"/>
      <c r="FW37" s="75"/>
      <c r="FX37" s="75"/>
      <c r="FY37" s="75"/>
      <c r="FZ37" s="75"/>
      <c r="GA37" s="75"/>
      <c r="GB37" s="75"/>
      <c r="GC37" s="75"/>
      <c r="GD37" s="75"/>
      <c r="GE37" s="75"/>
      <c r="GF37" s="75"/>
      <c r="GG37" s="75"/>
      <c r="GH37" s="75"/>
      <c r="GI37" s="75"/>
      <c r="GJ37" s="75"/>
      <c r="GK37" s="75"/>
      <c r="GL37" s="75"/>
      <c r="GM37" s="75"/>
      <c r="GN37" s="75"/>
      <c r="GO37" s="75"/>
      <c r="GP37" s="75"/>
      <c r="GQ37" s="75"/>
      <c r="GR37" s="75"/>
      <c r="GS37" s="75"/>
      <c r="GT37" s="75"/>
      <c r="GU37" s="75"/>
      <c r="GV37" s="75"/>
      <c r="GW37" s="75"/>
      <c r="GX37" s="75"/>
      <c r="GY37" s="75"/>
      <c r="GZ37" s="75"/>
      <c r="HA37" s="75"/>
      <c r="HB37" s="75"/>
      <c r="HC37" s="75"/>
      <c r="HD37" s="75"/>
      <c r="HE37" s="75"/>
      <c r="HF37" s="75"/>
      <c r="HG37" s="75"/>
      <c r="HH37" s="75"/>
      <c r="HI37" s="75"/>
      <c r="HJ37" s="75"/>
      <c r="HK37" s="75"/>
      <c r="HL37" s="75"/>
      <c r="HM37" s="75"/>
      <c r="HN37" s="75"/>
      <c r="HO37" s="75"/>
      <c r="HP37" s="75"/>
      <c r="HQ37" s="75"/>
      <c r="HR37" s="75"/>
      <c r="HS37" s="75"/>
      <c r="HT37" s="75"/>
      <c r="HU37" s="75"/>
      <c r="HV37" s="75"/>
      <c r="HW37" s="75"/>
      <c r="HX37" s="75"/>
      <c r="HY37" s="75"/>
      <c r="HZ37" s="75"/>
      <c r="IA37" s="75"/>
      <c r="IB37" s="75"/>
      <c r="IC37" s="75"/>
      <c r="ID37" s="75"/>
      <c r="IE37" s="75"/>
      <c r="IF37" s="75"/>
      <c r="IG37" s="75"/>
      <c r="IH37" s="75"/>
      <c r="II37" s="75"/>
      <c r="IJ37" s="75"/>
      <c r="IK37" s="75"/>
      <c r="IL37" s="75"/>
      <c r="IM37" s="75"/>
      <c r="IN37" s="75"/>
      <c r="IO37" s="75"/>
      <c r="IP37" s="75"/>
      <c r="IQ37" s="75"/>
      <c r="IR37" s="75"/>
      <c r="IS37" s="75"/>
      <c r="IT37" s="75"/>
      <c r="IU37" s="75"/>
      <c r="IV37" s="75"/>
      <c r="IW37" s="75"/>
      <c r="IX37" s="75"/>
      <c r="IY37" s="75"/>
      <c r="IZ37" s="75"/>
      <c r="JA37" s="75"/>
      <c r="JB37" s="75"/>
      <c r="JC37" s="75"/>
      <c r="JD37" s="75"/>
      <c r="JE37" s="75"/>
      <c r="JF37" s="75"/>
      <c r="JG37" s="75"/>
      <c r="JH37" s="75"/>
      <c r="JI37" s="75"/>
      <c r="JJ37" s="75"/>
      <c r="JK37" s="75"/>
      <c r="JL37" s="75"/>
      <c r="JM37" s="75"/>
      <c r="JN37" s="75"/>
      <c r="JO37" s="75"/>
      <c r="JP37" s="75"/>
      <c r="JQ37" s="75"/>
      <c r="JR37" s="75"/>
      <c r="JS37" s="75"/>
      <c r="JT37" s="75"/>
      <c r="JU37" s="75"/>
      <c r="JV37" s="75"/>
      <c r="JW37" s="75"/>
      <c r="JX37" s="75"/>
      <c r="JY37" s="75"/>
      <c r="JZ37" s="75"/>
      <c r="KA37" s="75"/>
      <c r="KB37" s="75"/>
      <c r="KC37" s="75"/>
      <c r="KD37" s="75"/>
      <c r="KE37" s="75"/>
      <c r="KF37" s="75"/>
      <c r="KG37" s="75"/>
      <c r="KH37" s="75"/>
      <c r="KI37" s="75"/>
      <c r="KJ37" s="75"/>
      <c r="KK37" s="75"/>
      <c r="KL37" s="75"/>
      <c r="KM37" s="75"/>
      <c r="KN37" s="75"/>
      <c r="KO37" s="75"/>
      <c r="KP37" s="75"/>
      <c r="KQ37" s="75"/>
      <c r="KR37" s="75"/>
      <c r="KS37" s="75"/>
      <c r="KT37" s="75"/>
      <c r="KU37" s="75"/>
      <c r="KV37" s="75"/>
      <c r="KW37" s="75"/>
      <c r="KX37" s="75"/>
      <c r="KY37" s="75"/>
      <c r="KZ37" s="75"/>
      <c r="LA37" s="75"/>
      <c r="LB37" s="75"/>
      <c r="LC37" s="75"/>
      <c r="LD37" s="75"/>
      <c r="LE37" s="75"/>
      <c r="LF37" s="75"/>
      <c r="LG37" s="75"/>
      <c r="LH37" s="75"/>
      <c r="LI37" s="75"/>
      <c r="LJ37" s="75"/>
      <c r="LK37" s="75"/>
      <c r="LL37" s="75"/>
      <c r="LM37" s="75"/>
      <c r="LN37" s="75"/>
      <c r="LO37" s="75"/>
      <c r="LP37" s="75"/>
      <c r="LQ37" s="75"/>
      <c r="LR37" s="75"/>
      <c r="LS37" s="75"/>
      <c r="LT37" s="75"/>
      <c r="LU37" s="75"/>
      <c r="LV37" s="75"/>
      <c r="LW37" s="75"/>
      <c r="LX37" s="75"/>
      <c r="LY37" s="75"/>
      <c r="LZ37" s="75"/>
      <c r="MA37" s="75"/>
      <c r="MB37" s="75"/>
      <c r="MC37" s="75"/>
      <c r="MD37" s="75"/>
      <c r="ME37" s="75"/>
      <c r="MF37" s="75"/>
      <c r="MG37" s="75"/>
      <c r="MH37" s="75"/>
      <c r="MI37" s="75"/>
      <c r="MJ37" s="75"/>
      <c r="MK37" s="75"/>
      <c r="ML37" s="75"/>
      <c r="MM37" s="75"/>
      <c r="MN37" s="75"/>
      <c r="MO37" s="75"/>
      <c r="MP37" s="75"/>
      <c r="MQ37" s="75"/>
      <c r="MR37" s="75"/>
      <c r="MS37" s="75"/>
      <c r="MT37" s="75"/>
      <c r="MU37" s="75"/>
      <c r="MV37" s="75"/>
      <c r="MW37" s="75"/>
      <c r="MX37" s="75"/>
      <c r="MY37" s="75"/>
      <c r="MZ37" s="75"/>
      <c r="NA37" s="75"/>
      <c r="NB37" s="75"/>
      <c r="NC37" s="75"/>
      <c r="ND37" s="75"/>
      <c r="NE37" s="75"/>
      <c r="NF37" s="75"/>
      <c r="NG37" s="75"/>
      <c r="NH37" s="75"/>
      <c r="NI37" s="75"/>
      <c r="NJ37" s="75"/>
      <c r="NK37" s="75"/>
      <c r="NL37" s="75"/>
      <c r="NM37" s="75"/>
      <c r="NN37" s="75"/>
      <c r="NO37" s="75"/>
      <c r="NP37" s="75"/>
      <c r="NQ37" s="75"/>
      <c r="NR37" s="75"/>
      <c r="NS37" s="75"/>
      <c r="NT37" s="75"/>
      <c r="NU37" s="75"/>
      <c r="NV37" s="75"/>
      <c r="NW37" s="75"/>
      <c r="NX37" s="75"/>
      <c r="NY37" s="75"/>
      <c r="NZ37" s="75"/>
      <c r="OA37" s="75"/>
      <c r="OB37" s="75"/>
      <c r="OC37" s="75"/>
      <c r="OD37" s="75"/>
      <c r="OE37" s="75"/>
      <c r="OF37" s="75"/>
      <c r="OG37" s="75"/>
      <c r="OH37" s="75"/>
      <c r="OI37" s="75"/>
      <c r="OJ37" s="75"/>
      <c r="OK37" s="75"/>
      <c r="OL37" s="75"/>
      <c r="OM37" s="75"/>
      <c r="ON37" s="75"/>
      <c r="OO37" s="75"/>
      <c r="OP37" s="75"/>
      <c r="OQ37" s="75"/>
      <c r="OR37" s="75"/>
      <c r="OS37" s="75"/>
      <c r="OT37" s="75"/>
      <c r="OU37" s="75"/>
      <c r="OV37" s="75"/>
      <c r="OW37" s="75"/>
      <c r="OX37" s="75"/>
      <c r="OY37" s="75"/>
      <c r="OZ37" s="75"/>
      <c r="PA37" s="75"/>
      <c r="PB37" s="75"/>
      <c r="PC37" s="75"/>
      <c r="PD37" s="75"/>
      <c r="PE37" s="75"/>
      <c r="PF37" s="75"/>
      <c r="PG37" s="75"/>
      <c r="PH37" s="75"/>
      <c r="PI37" s="75"/>
      <c r="PJ37" s="75"/>
      <c r="PK37" s="75"/>
      <c r="PL37" s="75"/>
      <c r="PM37" s="75"/>
      <c r="PN37" s="75"/>
      <c r="PO37" s="75"/>
      <c r="PP37" s="75"/>
      <c r="PQ37" s="75"/>
      <c r="PR37" s="75"/>
      <c r="PS37" s="75"/>
      <c r="PT37" s="75"/>
      <c r="PU37" s="75"/>
      <c r="PV37" s="75"/>
      <c r="PW37" s="75"/>
      <c r="PX37" s="75"/>
      <c r="PY37" s="75"/>
      <c r="PZ37" s="75"/>
      <c r="QA37" s="75"/>
      <c r="QB37" s="75"/>
      <c r="QC37" s="75"/>
      <c r="QD37" s="75"/>
      <c r="QE37" s="75"/>
      <c r="QF37" s="75"/>
      <c r="QG37" s="75"/>
      <c r="QH37" s="75"/>
      <c r="QI37" s="75"/>
      <c r="QJ37" s="75"/>
      <c r="QK37" s="75"/>
      <c r="QL37" s="75"/>
      <c r="QM37" s="75"/>
      <c r="QN37" s="75"/>
      <c r="QO37" s="75"/>
      <c r="QP37" s="75"/>
      <c r="QQ37" s="75"/>
      <c r="QR37" s="75"/>
      <c r="QS37" s="75"/>
      <c r="QT37" s="75"/>
      <c r="QU37" s="75"/>
      <c r="QV37" s="75"/>
      <c r="QW37" s="75"/>
      <c r="QX37" s="75"/>
      <c r="QY37" s="75"/>
      <c r="QZ37" s="75"/>
      <c r="RA37" s="75"/>
      <c r="RB37" s="75"/>
      <c r="RC37" s="75"/>
      <c r="RD37" s="75"/>
      <c r="RE37" s="75"/>
      <c r="RF37" s="75"/>
      <c r="RG37" s="75"/>
      <c r="RH37" s="75"/>
      <c r="RI37" s="75"/>
      <c r="RJ37" s="75"/>
      <c r="RK37" s="75"/>
      <c r="RL37" s="75"/>
      <c r="RM37" s="75"/>
      <c r="RN37" s="75"/>
      <c r="RO37" s="75"/>
      <c r="RP37" s="75"/>
      <c r="RQ37" s="75"/>
      <c r="RR37" s="75"/>
      <c r="RS37" s="75"/>
      <c r="RT37" s="75"/>
      <c r="RU37" s="75"/>
      <c r="RV37" s="75"/>
      <c r="RW37" s="75"/>
      <c r="RX37" s="75"/>
      <c r="RY37" s="75"/>
      <c r="RZ37" s="75"/>
      <c r="SA37" s="75"/>
      <c r="SB37" s="75"/>
      <c r="SC37" s="75"/>
      <c r="SD37" s="75"/>
      <c r="SE37" s="75"/>
      <c r="SF37" s="75"/>
      <c r="SG37" s="75"/>
      <c r="SH37" s="75"/>
      <c r="SI37" s="75">
        <v>1</v>
      </c>
      <c r="SJ37" s="75">
        <v>5</v>
      </c>
      <c r="SK37" s="75">
        <v>5</v>
      </c>
      <c r="SL37" s="75">
        <v>5</v>
      </c>
      <c r="SM37" s="75">
        <v>5</v>
      </c>
      <c r="SN37" s="75"/>
      <c r="SO37" s="75">
        <v>5</v>
      </c>
      <c r="SP37" s="75">
        <v>5</v>
      </c>
      <c r="SQ37" s="75">
        <v>5</v>
      </c>
      <c r="SR37" s="75">
        <v>5</v>
      </c>
      <c r="SS37" s="75">
        <v>5</v>
      </c>
      <c r="ST37" s="75">
        <v>5</v>
      </c>
      <c r="SU37" s="75"/>
      <c r="SV37" s="75">
        <v>5</v>
      </c>
      <c r="SW37" s="75">
        <v>5</v>
      </c>
      <c r="SX37" s="75">
        <v>5</v>
      </c>
      <c r="SY37" s="75">
        <v>5</v>
      </c>
      <c r="SZ37" s="75">
        <v>6</v>
      </c>
      <c r="TA37" s="75">
        <v>10</v>
      </c>
      <c r="TB37" s="75"/>
      <c r="TC37" s="75">
        <v>10</v>
      </c>
      <c r="TD37" s="75">
        <v>10</v>
      </c>
      <c r="TE37" s="75">
        <v>10</v>
      </c>
      <c r="TF37" s="75">
        <v>10</v>
      </c>
      <c r="TG37" s="75">
        <v>10</v>
      </c>
      <c r="TH37" s="75">
        <v>12</v>
      </c>
      <c r="TI37" s="75"/>
      <c r="TJ37" s="75">
        <v>50</v>
      </c>
      <c r="TK37" s="75">
        <v>50</v>
      </c>
      <c r="TL37" s="75">
        <v>50</v>
      </c>
      <c r="TM37" s="75">
        <v>50</v>
      </c>
      <c r="TN37" s="75">
        <v>50</v>
      </c>
      <c r="TO37" s="75">
        <v>60</v>
      </c>
      <c r="TP37" s="75"/>
      <c r="TQ37" s="75">
        <v>60</v>
      </c>
      <c r="TR37" s="75">
        <v>56</v>
      </c>
      <c r="TS37" s="75">
        <v>40</v>
      </c>
      <c r="TT37" s="75">
        <v>40</v>
      </c>
      <c r="TU37" s="75">
        <v>40</v>
      </c>
      <c r="TV37" s="75">
        <v>40</v>
      </c>
      <c r="TW37" s="75"/>
      <c r="TX37" s="75">
        <v>40</v>
      </c>
      <c r="TY37" s="75">
        <v>40</v>
      </c>
      <c r="TZ37" s="75">
        <v>40</v>
      </c>
      <c r="UA37" s="75">
        <v>10</v>
      </c>
      <c r="UB37" s="75">
        <v>10</v>
      </c>
      <c r="UC37" s="75">
        <v>10</v>
      </c>
      <c r="UD37" s="75"/>
      <c r="UE37" s="75">
        <v>10</v>
      </c>
      <c r="UF37" s="75">
        <v>10</v>
      </c>
      <c r="UG37" s="75">
        <v>20</v>
      </c>
      <c r="UH37" s="75">
        <v>20</v>
      </c>
      <c r="UI37" s="75">
        <v>20</v>
      </c>
      <c r="UJ37" s="75">
        <v>20</v>
      </c>
      <c r="UK37" s="75"/>
      <c r="UL37" s="75">
        <v>20</v>
      </c>
      <c r="UM37" s="75">
        <v>20</v>
      </c>
      <c r="UN37" s="75">
        <v>20</v>
      </c>
      <c r="UO37" s="75">
        <v>20</v>
      </c>
      <c r="UP37" s="75">
        <v>20</v>
      </c>
      <c r="UQ37" s="75">
        <v>20</v>
      </c>
      <c r="UR37" s="75"/>
      <c r="US37" s="75">
        <v>20</v>
      </c>
      <c r="UT37" s="75">
        <v>20</v>
      </c>
      <c r="UU37" s="75">
        <v>20</v>
      </c>
      <c r="UV37" s="75">
        <v>20</v>
      </c>
      <c r="UW37" s="75">
        <v>20</v>
      </c>
      <c r="UX37" s="75">
        <v>20</v>
      </c>
      <c r="UY37" s="75"/>
      <c r="UZ37" s="75">
        <v>20</v>
      </c>
      <c r="VA37" s="75">
        <v>20</v>
      </c>
      <c r="VB37" s="75">
        <v>20</v>
      </c>
      <c r="VC37" s="75">
        <v>20</v>
      </c>
      <c r="VD37" s="75">
        <v>20</v>
      </c>
      <c r="VE37" s="75">
        <v>20</v>
      </c>
      <c r="VF37" s="75"/>
      <c r="VG37" s="75">
        <v>20</v>
      </c>
      <c r="VH37" s="75">
        <v>20</v>
      </c>
      <c r="VI37" s="75">
        <v>20</v>
      </c>
      <c r="VJ37" s="75">
        <v>20</v>
      </c>
      <c r="VK37" s="75">
        <v>20</v>
      </c>
      <c r="VL37" s="75">
        <v>20</v>
      </c>
      <c r="VM37" s="75"/>
      <c r="VN37" s="75">
        <v>20</v>
      </c>
      <c r="VO37" s="75">
        <v>20</v>
      </c>
      <c r="VP37" s="75">
        <v>20</v>
      </c>
      <c r="VQ37" s="75">
        <v>20</v>
      </c>
      <c r="VR37" s="75">
        <v>20</v>
      </c>
      <c r="VS37" s="75">
        <v>20</v>
      </c>
      <c r="VT37" s="75"/>
      <c r="VU37" s="75">
        <v>20</v>
      </c>
      <c r="VV37" s="75">
        <v>20</v>
      </c>
      <c r="VW37" s="75">
        <v>20</v>
      </c>
      <c r="VX37" s="75">
        <v>20</v>
      </c>
      <c r="VY37" s="75">
        <v>20</v>
      </c>
      <c r="VZ37" s="75">
        <v>28</v>
      </c>
      <c r="WA37" s="75"/>
      <c r="WB37" s="75">
        <v>28</v>
      </c>
      <c r="WC37" s="75">
        <v>28</v>
      </c>
      <c r="WD37" s="75">
        <v>28</v>
      </c>
      <c r="WE37" s="75">
        <v>28</v>
      </c>
      <c r="WF37" s="75">
        <v>28</v>
      </c>
      <c r="WG37" s="75">
        <v>28</v>
      </c>
      <c r="WH37" s="75"/>
      <c r="WI37" s="75">
        <v>28</v>
      </c>
      <c r="WJ37" s="75">
        <v>22</v>
      </c>
      <c r="WK37" s="75">
        <v>22</v>
      </c>
      <c r="WL37" s="75">
        <v>26</v>
      </c>
      <c r="WM37" s="75">
        <v>26</v>
      </c>
      <c r="WN37" s="75">
        <v>26</v>
      </c>
      <c r="WO37" s="75"/>
      <c r="WP37" s="75">
        <v>26</v>
      </c>
      <c r="WQ37" s="75">
        <v>26</v>
      </c>
      <c r="WR37" s="75">
        <v>26</v>
      </c>
      <c r="WS37" s="75">
        <v>26</v>
      </c>
      <c r="WT37" s="75">
        <v>26</v>
      </c>
      <c r="WU37" s="75">
        <v>24</v>
      </c>
      <c r="WV37" s="75"/>
      <c r="WW37" s="75">
        <v>24</v>
      </c>
      <c r="WX37" s="75">
        <v>24</v>
      </c>
      <c r="WY37" s="75">
        <v>24</v>
      </c>
      <c r="WZ37" s="75">
        <v>44</v>
      </c>
      <c r="XA37" s="75">
        <v>44</v>
      </c>
      <c r="XB37" s="75">
        <v>44</v>
      </c>
      <c r="XC37" s="75"/>
      <c r="XD37" s="75">
        <v>44</v>
      </c>
      <c r="XE37" s="75">
        <v>44</v>
      </c>
      <c r="XF37" s="75">
        <v>54</v>
      </c>
      <c r="XG37" s="75">
        <v>54</v>
      </c>
      <c r="XH37" s="75">
        <v>54</v>
      </c>
      <c r="XI37" s="75"/>
      <c r="XJ37" s="75"/>
      <c r="XK37" s="75"/>
      <c r="XL37" s="75"/>
      <c r="XM37" s="75"/>
      <c r="XN37" s="75">
        <v>54</v>
      </c>
      <c r="XO37" s="75">
        <v>54</v>
      </c>
      <c r="XP37" s="75">
        <v>54</v>
      </c>
      <c r="XQ37" s="75"/>
      <c r="XR37" s="75">
        <v>54</v>
      </c>
      <c r="XS37" s="75">
        <v>54</v>
      </c>
      <c r="XT37" s="75">
        <v>54</v>
      </c>
      <c r="XU37" s="75">
        <v>54</v>
      </c>
      <c r="XV37" s="75">
        <v>30</v>
      </c>
      <c r="XW37" s="75">
        <v>30</v>
      </c>
      <c r="XX37" s="75"/>
      <c r="XY37" s="75">
        <v>30</v>
      </c>
      <c r="XZ37" s="75">
        <v>30</v>
      </c>
      <c r="YA37" s="75">
        <v>30</v>
      </c>
      <c r="YB37" s="75">
        <v>20</v>
      </c>
      <c r="YC37" s="75">
        <v>27</v>
      </c>
      <c r="YD37" s="75">
        <v>27</v>
      </c>
      <c r="YE37" s="75"/>
      <c r="YF37" s="75">
        <v>27</v>
      </c>
      <c r="YG37" s="75">
        <v>7</v>
      </c>
      <c r="YH37" s="75">
        <v>7</v>
      </c>
      <c r="YI37" s="75">
        <v>7</v>
      </c>
      <c r="YJ37" s="75">
        <v>7</v>
      </c>
      <c r="YK37" s="75">
        <v>7</v>
      </c>
      <c r="YL37" s="75"/>
      <c r="YM37" s="75">
        <v>7</v>
      </c>
      <c r="YN37" s="75">
        <v>7</v>
      </c>
      <c r="YO37" s="75">
        <v>7</v>
      </c>
      <c r="YP37" s="75">
        <v>7</v>
      </c>
      <c r="YQ37" s="75">
        <v>7</v>
      </c>
      <c r="YR37" s="75">
        <v>7</v>
      </c>
      <c r="YS37" s="75"/>
      <c r="YT37" s="75">
        <v>7</v>
      </c>
      <c r="YU37" s="75">
        <v>2</v>
      </c>
      <c r="YV37" s="75">
        <v>2</v>
      </c>
      <c r="YW37" s="75">
        <v>2</v>
      </c>
      <c r="YX37" s="75">
        <v>2</v>
      </c>
      <c r="YY37" s="75">
        <v>2</v>
      </c>
      <c r="YZ37" s="75"/>
      <c r="ZA37" s="75">
        <v>2</v>
      </c>
      <c r="ZB37" s="75">
        <v>2</v>
      </c>
      <c r="ZC37" s="75">
        <v>2</v>
      </c>
      <c r="ZD37" s="75">
        <v>10</v>
      </c>
      <c r="ZE37" s="75">
        <v>10</v>
      </c>
      <c r="ZF37" s="75">
        <v>10</v>
      </c>
      <c r="ZG37" s="75"/>
      <c r="ZH37" s="75">
        <v>10</v>
      </c>
      <c r="ZI37" s="75">
        <v>10</v>
      </c>
      <c r="ZJ37" s="75">
        <v>10</v>
      </c>
      <c r="ZK37" s="75">
        <v>10</v>
      </c>
      <c r="ZL37" s="75">
        <v>13</v>
      </c>
      <c r="ZM37" s="75">
        <v>13</v>
      </c>
      <c r="ZN37" s="75"/>
      <c r="ZO37" s="75">
        <v>13</v>
      </c>
      <c r="ZP37" s="75">
        <v>13</v>
      </c>
      <c r="ZQ37" s="75">
        <v>13</v>
      </c>
      <c r="ZR37" s="75">
        <v>13</v>
      </c>
      <c r="ZS37" s="75">
        <v>13</v>
      </c>
      <c r="ZT37" s="75"/>
      <c r="ZU37" s="75"/>
      <c r="ZV37" s="75"/>
      <c r="ZW37" s="75"/>
      <c r="ZX37" s="75"/>
      <c r="ZY37" s="75">
        <v>13</v>
      </c>
      <c r="ZZ37" s="75">
        <v>3</v>
      </c>
      <c r="AAA37" s="75">
        <v>3</v>
      </c>
      <c r="AAB37" s="75"/>
      <c r="AAC37" s="75">
        <v>4</v>
      </c>
      <c r="AAD37" s="75">
        <v>4</v>
      </c>
      <c r="AAE37" s="75">
        <v>4</v>
      </c>
      <c r="AAF37" s="75">
        <v>4</v>
      </c>
      <c r="AAG37" s="75">
        <v>4</v>
      </c>
      <c r="AAH37" s="75">
        <v>4</v>
      </c>
      <c r="AAI37" s="75"/>
      <c r="AAJ37" s="75">
        <v>4</v>
      </c>
      <c r="AAK37" s="75">
        <v>4</v>
      </c>
      <c r="AAL37" s="75"/>
      <c r="AAM37" s="75"/>
      <c r="AAN37" s="75"/>
      <c r="AAO37" s="75"/>
      <c r="AAP37" s="75"/>
      <c r="AAQ37" s="75"/>
      <c r="AAR37" s="75"/>
      <c r="AAS37" s="75"/>
      <c r="AAT37" s="75"/>
      <c r="AAU37" s="75"/>
      <c r="AAV37" s="75"/>
      <c r="AAW37" s="75"/>
      <c r="AAX37" s="75"/>
      <c r="AAY37" s="75"/>
      <c r="AAZ37" s="75"/>
      <c r="ABA37" s="75"/>
      <c r="ABB37" s="75"/>
      <c r="ABC37" s="75"/>
    </row>
    <row r="38" spans="1:731">
      <c r="A38" s="75" t="s">
        <v>74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75"/>
      <c r="BC38" s="75"/>
      <c r="BD38" s="75"/>
      <c r="BE38" s="75"/>
      <c r="BF38" s="75"/>
      <c r="BG38" s="75"/>
      <c r="BH38" s="75"/>
      <c r="BI38" s="75"/>
      <c r="BJ38" s="75"/>
      <c r="BK38" s="75"/>
      <c r="BL38" s="75"/>
      <c r="BM38" s="75"/>
      <c r="BN38" s="75"/>
      <c r="BO38" s="75"/>
      <c r="BP38" s="75"/>
      <c r="BQ38" s="75"/>
      <c r="BR38" s="75"/>
      <c r="BS38" s="75"/>
      <c r="BT38" s="75"/>
      <c r="BU38" s="75"/>
      <c r="BV38" s="75"/>
      <c r="BW38" s="75"/>
      <c r="BX38" s="75"/>
      <c r="BY38" s="75"/>
      <c r="BZ38" s="75"/>
      <c r="CA38" s="75"/>
      <c r="CB38" s="75"/>
      <c r="CC38" s="75"/>
      <c r="CD38" s="75"/>
      <c r="CE38" s="75"/>
      <c r="CF38" s="75"/>
      <c r="CG38" s="75"/>
      <c r="CH38" s="75"/>
      <c r="CI38" s="75"/>
      <c r="CJ38" s="75"/>
      <c r="CK38" s="75"/>
      <c r="CL38" s="75"/>
      <c r="CM38" s="75"/>
      <c r="CN38" s="75"/>
      <c r="CO38" s="75"/>
      <c r="CP38" s="75"/>
      <c r="CQ38" s="75"/>
      <c r="CR38" s="75"/>
      <c r="CS38" s="75"/>
      <c r="CT38" s="75"/>
      <c r="CU38" s="75"/>
      <c r="CV38" s="75"/>
      <c r="CW38" s="75"/>
      <c r="CX38" s="75"/>
      <c r="CY38" s="75"/>
      <c r="CZ38" s="75"/>
      <c r="DA38" s="75"/>
      <c r="DB38" s="75"/>
      <c r="DC38" s="75"/>
      <c r="DD38" s="75"/>
      <c r="DE38" s="75"/>
      <c r="DF38" s="75"/>
      <c r="DG38" s="75"/>
      <c r="DH38" s="75"/>
      <c r="DI38" s="75"/>
      <c r="DJ38" s="75"/>
      <c r="DK38" s="75"/>
      <c r="DL38" s="75"/>
      <c r="DM38" s="75"/>
      <c r="DN38" s="75"/>
      <c r="DO38" s="75"/>
      <c r="DP38" s="75"/>
      <c r="DQ38" s="75"/>
      <c r="DR38" s="75"/>
      <c r="DS38" s="75"/>
      <c r="DT38" s="75"/>
      <c r="DU38" s="75"/>
      <c r="DV38" s="75"/>
      <c r="DW38" s="75"/>
      <c r="DX38" s="75"/>
      <c r="DY38" s="75"/>
      <c r="DZ38" s="75"/>
      <c r="EA38" s="75"/>
      <c r="EB38" s="75"/>
      <c r="EC38" s="75"/>
      <c r="ED38" s="75"/>
      <c r="EE38" s="75"/>
      <c r="EF38" s="75"/>
      <c r="EG38" s="75"/>
      <c r="EH38" s="75"/>
      <c r="EI38" s="75"/>
      <c r="EJ38" s="75"/>
      <c r="EK38" s="75"/>
      <c r="EL38" s="75"/>
      <c r="EM38" s="75"/>
      <c r="EN38" s="75"/>
      <c r="EO38" s="75"/>
      <c r="EP38" s="75"/>
      <c r="EQ38" s="75"/>
      <c r="ER38" s="75"/>
      <c r="ES38" s="75"/>
      <c r="ET38" s="75"/>
      <c r="EU38" s="75"/>
      <c r="EV38" s="75"/>
      <c r="EW38" s="75"/>
      <c r="EX38" s="75"/>
      <c r="EY38" s="75"/>
      <c r="EZ38" s="75"/>
      <c r="FA38" s="75"/>
      <c r="FB38" s="75"/>
      <c r="FC38" s="75"/>
      <c r="FD38" s="75"/>
      <c r="FE38" s="75"/>
      <c r="FF38" s="75"/>
      <c r="FG38" s="75"/>
      <c r="FH38" s="75"/>
      <c r="FI38" s="75"/>
      <c r="FJ38" s="75"/>
      <c r="FK38" s="75"/>
      <c r="FL38" s="75"/>
      <c r="FM38" s="75"/>
      <c r="FN38" s="75"/>
      <c r="FO38" s="75"/>
      <c r="FP38" s="75"/>
      <c r="FQ38" s="75"/>
      <c r="FR38" s="75"/>
      <c r="FS38" s="75"/>
      <c r="FT38" s="75"/>
      <c r="FU38" s="75"/>
      <c r="FV38" s="75"/>
      <c r="FW38" s="75"/>
      <c r="FX38" s="75"/>
      <c r="FY38" s="75"/>
      <c r="FZ38" s="75"/>
      <c r="GA38" s="75"/>
      <c r="GB38" s="75"/>
      <c r="GC38" s="75"/>
      <c r="GD38" s="75"/>
      <c r="GE38" s="75"/>
      <c r="GF38" s="75"/>
      <c r="GG38" s="75"/>
      <c r="GH38" s="75"/>
      <c r="GI38" s="75"/>
      <c r="GJ38" s="75"/>
      <c r="GK38" s="75"/>
      <c r="GL38" s="75"/>
      <c r="GM38" s="75"/>
      <c r="GN38" s="75"/>
      <c r="GO38" s="75"/>
      <c r="GP38" s="75"/>
      <c r="GQ38" s="75"/>
      <c r="GR38" s="75"/>
      <c r="GS38" s="75"/>
      <c r="GT38" s="75"/>
      <c r="GU38" s="75"/>
      <c r="GV38" s="75"/>
      <c r="GW38" s="75"/>
      <c r="GX38" s="75"/>
      <c r="GY38" s="75"/>
      <c r="GZ38" s="75"/>
      <c r="HA38" s="75"/>
      <c r="HB38" s="75"/>
      <c r="HC38" s="75"/>
      <c r="HD38" s="75"/>
      <c r="HE38" s="75"/>
      <c r="HF38" s="75"/>
      <c r="HG38" s="75"/>
      <c r="HH38" s="75"/>
      <c r="HI38" s="75"/>
      <c r="HJ38" s="75"/>
      <c r="HK38" s="75"/>
      <c r="HL38" s="75"/>
      <c r="HM38" s="75"/>
      <c r="HN38" s="75"/>
      <c r="HO38" s="75"/>
      <c r="HP38" s="75"/>
      <c r="HQ38" s="75"/>
      <c r="HR38" s="75"/>
      <c r="HS38" s="75"/>
      <c r="HT38" s="75"/>
      <c r="HU38" s="75"/>
      <c r="HV38" s="75"/>
      <c r="HW38" s="75"/>
      <c r="HX38" s="75"/>
      <c r="HY38" s="75"/>
      <c r="HZ38" s="75"/>
      <c r="IA38" s="75"/>
      <c r="IB38" s="75"/>
      <c r="IC38" s="75"/>
      <c r="ID38" s="75"/>
      <c r="IE38" s="75"/>
      <c r="IF38" s="75"/>
      <c r="IG38" s="75"/>
      <c r="IH38" s="75"/>
      <c r="II38" s="75"/>
      <c r="IJ38" s="75"/>
      <c r="IK38" s="75"/>
      <c r="IL38" s="75"/>
      <c r="IM38" s="75"/>
      <c r="IN38" s="75"/>
      <c r="IO38" s="75"/>
      <c r="IP38" s="75"/>
      <c r="IQ38" s="75"/>
      <c r="IR38" s="75"/>
      <c r="IS38" s="75"/>
      <c r="IT38" s="75"/>
      <c r="IU38" s="75"/>
      <c r="IV38" s="75"/>
      <c r="IW38" s="75"/>
      <c r="IX38" s="75"/>
      <c r="IY38" s="75"/>
      <c r="IZ38" s="75"/>
      <c r="JA38" s="75"/>
      <c r="JB38" s="75"/>
      <c r="JC38" s="75"/>
      <c r="JD38" s="75"/>
      <c r="JE38" s="75"/>
      <c r="JF38" s="75"/>
      <c r="JG38" s="75"/>
      <c r="JH38" s="75"/>
      <c r="JI38" s="75"/>
      <c r="JJ38" s="75"/>
      <c r="JK38" s="75"/>
      <c r="JL38" s="75"/>
      <c r="JM38" s="75"/>
      <c r="JN38" s="75"/>
      <c r="JO38" s="75"/>
      <c r="JP38" s="75"/>
      <c r="JQ38" s="75"/>
      <c r="JR38" s="75"/>
      <c r="JS38" s="75"/>
      <c r="JT38" s="75"/>
      <c r="JU38" s="75"/>
      <c r="JV38" s="75"/>
      <c r="JW38" s="75"/>
      <c r="JX38" s="75"/>
      <c r="JY38" s="75"/>
      <c r="JZ38" s="75"/>
      <c r="KA38" s="75"/>
      <c r="KB38" s="75"/>
      <c r="KC38" s="75"/>
      <c r="KD38" s="75"/>
      <c r="KE38" s="75"/>
      <c r="KF38" s="75"/>
      <c r="KG38" s="75"/>
      <c r="KH38" s="75"/>
      <c r="KI38" s="75"/>
      <c r="KJ38" s="75"/>
      <c r="KK38" s="75"/>
      <c r="KL38" s="75"/>
      <c r="KM38" s="75"/>
      <c r="KN38" s="75"/>
      <c r="KO38" s="75"/>
      <c r="KP38" s="75"/>
      <c r="KQ38" s="75"/>
      <c r="KR38" s="75"/>
      <c r="KS38" s="75"/>
      <c r="KT38" s="75"/>
      <c r="KU38" s="75"/>
      <c r="KV38" s="75"/>
      <c r="KW38" s="75"/>
      <c r="KX38" s="75"/>
      <c r="KY38" s="75"/>
      <c r="KZ38" s="75"/>
      <c r="LA38" s="75"/>
      <c r="LB38" s="75"/>
      <c r="LC38" s="75"/>
      <c r="LD38" s="75"/>
      <c r="LE38" s="75"/>
      <c r="LF38" s="75"/>
      <c r="LG38" s="75"/>
      <c r="LH38" s="75"/>
      <c r="LI38" s="75"/>
      <c r="LJ38" s="75"/>
      <c r="LK38" s="75"/>
      <c r="LL38" s="75"/>
      <c r="LM38" s="75"/>
      <c r="LN38" s="75"/>
      <c r="LO38" s="75"/>
      <c r="LP38" s="75"/>
      <c r="LQ38" s="75"/>
      <c r="LR38" s="75"/>
      <c r="LS38" s="75"/>
      <c r="LT38" s="75"/>
      <c r="LU38" s="75"/>
      <c r="LV38" s="75"/>
      <c r="LW38" s="75"/>
      <c r="LX38" s="75"/>
      <c r="LY38" s="75"/>
      <c r="LZ38" s="75"/>
      <c r="MA38" s="75"/>
      <c r="MB38" s="75"/>
      <c r="MC38" s="75"/>
      <c r="MD38" s="75"/>
      <c r="ME38" s="75"/>
      <c r="MF38" s="75"/>
      <c r="MG38" s="75"/>
      <c r="MH38" s="75"/>
      <c r="MI38" s="75"/>
      <c r="MJ38" s="75"/>
      <c r="MK38" s="75"/>
      <c r="ML38" s="75"/>
      <c r="MM38" s="75"/>
      <c r="MN38" s="75"/>
      <c r="MO38" s="75"/>
      <c r="MP38" s="75"/>
      <c r="MQ38" s="75"/>
      <c r="MR38" s="75"/>
      <c r="MS38" s="75"/>
      <c r="MT38" s="75"/>
      <c r="MU38" s="75"/>
      <c r="MV38" s="75"/>
      <c r="MW38" s="75"/>
      <c r="MX38" s="75"/>
      <c r="MY38" s="75"/>
      <c r="MZ38" s="75"/>
      <c r="NA38" s="75"/>
      <c r="NB38" s="75"/>
      <c r="NC38" s="75"/>
      <c r="ND38" s="75"/>
      <c r="NE38" s="75"/>
      <c r="NF38" s="75"/>
      <c r="NG38" s="75"/>
      <c r="NH38" s="75"/>
      <c r="NI38" s="75"/>
      <c r="NJ38" s="75"/>
      <c r="NK38" s="75"/>
      <c r="NL38" s="75"/>
      <c r="NM38" s="75"/>
      <c r="NN38" s="75"/>
      <c r="NO38" s="75"/>
      <c r="NP38" s="75"/>
      <c r="NQ38" s="75"/>
      <c r="NR38" s="75"/>
      <c r="NS38" s="75"/>
      <c r="NT38" s="75"/>
      <c r="NU38" s="75"/>
      <c r="NV38" s="75"/>
      <c r="NW38" s="75"/>
      <c r="NX38" s="75"/>
      <c r="NY38" s="75"/>
      <c r="NZ38" s="75"/>
      <c r="OA38" s="75"/>
      <c r="OB38" s="75"/>
      <c r="OC38" s="75"/>
      <c r="OD38" s="75"/>
      <c r="OE38" s="75"/>
      <c r="OF38" s="75"/>
      <c r="OG38" s="75"/>
      <c r="OH38" s="75"/>
      <c r="OI38" s="75"/>
      <c r="OJ38" s="75"/>
      <c r="OK38" s="75"/>
      <c r="OL38" s="75"/>
      <c r="OM38" s="75"/>
      <c r="ON38" s="75"/>
      <c r="OO38" s="75"/>
      <c r="OP38" s="75"/>
      <c r="OQ38" s="75"/>
      <c r="OR38" s="75"/>
      <c r="OS38" s="75"/>
      <c r="OT38" s="75"/>
      <c r="OU38" s="75"/>
      <c r="OV38" s="75"/>
      <c r="OW38" s="75"/>
      <c r="OX38" s="75"/>
      <c r="OY38" s="75"/>
      <c r="OZ38" s="75"/>
      <c r="PA38" s="75"/>
      <c r="PB38" s="75"/>
      <c r="PC38" s="75"/>
      <c r="PD38" s="75"/>
      <c r="PE38" s="75"/>
      <c r="PF38" s="75"/>
      <c r="PG38" s="75"/>
      <c r="PH38" s="75"/>
      <c r="PI38" s="75"/>
      <c r="PJ38" s="75"/>
      <c r="PK38" s="75"/>
      <c r="PL38" s="75"/>
      <c r="PM38" s="75"/>
      <c r="PN38" s="75"/>
      <c r="PO38" s="75"/>
      <c r="PP38" s="75"/>
      <c r="PQ38" s="75"/>
      <c r="PR38" s="75"/>
      <c r="PS38" s="75"/>
      <c r="PT38" s="75"/>
      <c r="PU38" s="75"/>
      <c r="PV38" s="75"/>
      <c r="PW38" s="75"/>
      <c r="PX38" s="75"/>
      <c r="PY38" s="75"/>
      <c r="PZ38" s="75"/>
      <c r="QA38" s="75"/>
      <c r="QB38" s="75">
        <v>10</v>
      </c>
      <c r="QC38" s="75"/>
      <c r="QD38" s="75">
        <v>20</v>
      </c>
      <c r="QE38" s="75">
        <v>20</v>
      </c>
      <c r="QF38" s="75">
        <v>20</v>
      </c>
      <c r="QG38" s="75">
        <v>20</v>
      </c>
      <c r="QH38" s="75">
        <v>20</v>
      </c>
      <c r="QI38" s="75">
        <v>20</v>
      </c>
      <c r="QJ38" s="75"/>
      <c r="QK38" s="75">
        <v>20</v>
      </c>
      <c r="QL38" s="75">
        <v>20</v>
      </c>
      <c r="QM38" s="75">
        <v>20</v>
      </c>
      <c r="QN38" s="75">
        <v>20</v>
      </c>
      <c r="QO38" s="75">
        <v>20</v>
      </c>
      <c r="QP38" s="75">
        <v>20</v>
      </c>
      <c r="QQ38" s="75"/>
      <c r="QR38" s="75">
        <v>20</v>
      </c>
      <c r="QS38" s="75">
        <v>20</v>
      </c>
      <c r="QT38" s="75">
        <v>14</v>
      </c>
      <c r="QU38" s="75">
        <v>9</v>
      </c>
      <c r="QV38" s="75">
        <v>9</v>
      </c>
      <c r="QW38" s="75">
        <v>9</v>
      </c>
      <c r="QX38" s="75"/>
      <c r="QY38" s="75">
        <v>9</v>
      </c>
      <c r="QZ38" s="75">
        <v>9</v>
      </c>
      <c r="RA38" s="75">
        <v>9</v>
      </c>
      <c r="RB38" s="75">
        <v>9</v>
      </c>
      <c r="RC38" s="75">
        <v>9</v>
      </c>
      <c r="RD38" s="75">
        <v>9</v>
      </c>
      <c r="RE38" s="75"/>
      <c r="RF38" s="75">
        <v>13</v>
      </c>
      <c r="RG38" s="75">
        <v>29</v>
      </c>
      <c r="RH38" s="75">
        <v>29</v>
      </c>
      <c r="RI38" s="75">
        <v>29</v>
      </c>
      <c r="RJ38" s="75">
        <v>26</v>
      </c>
      <c r="RK38" s="75">
        <v>24</v>
      </c>
      <c r="RL38" s="75"/>
      <c r="RM38" s="75">
        <v>24</v>
      </c>
      <c r="RN38" s="75">
        <v>24</v>
      </c>
      <c r="RO38" s="75">
        <v>24</v>
      </c>
      <c r="RP38" s="75">
        <v>24</v>
      </c>
      <c r="RQ38" s="75">
        <v>20</v>
      </c>
      <c r="RR38" s="75">
        <v>4</v>
      </c>
      <c r="RS38" s="75"/>
      <c r="RT38" s="75">
        <v>4</v>
      </c>
      <c r="RU38" s="75">
        <v>4</v>
      </c>
      <c r="RV38" s="75">
        <v>2</v>
      </c>
      <c r="RW38" s="75"/>
      <c r="RX38" s="75"/>
      <c r="RY38" s="75"/>
      <c r="RZ38" s="75"/>
      <c r="SA38" s="75"/>
      <c r="SB38" s="75"/>
      <c r="SC38" s="75"/>
      <c r="SD38" s="75"/>
      <c r="SE38" s="75"/>
      <c r="SF38" s="75"/>
      <c r="SG38" s="75"/>
      <c r="SH38" s="75"/>
      <c r="SI38" s="75"/>
      <c r="SJ38" s="75"/>
      <c r="SK38" s="75"/>
      <c r="SL38" s="75"/>
      <c r="SM38" s="75"/>
      <c r="SN38" s="75"/>
      <c r="SO38" s="75"/>
      <c r="SP38" s="75"/>
      <c r="SQ38" s="75"/>
      <c r="SR38" s="75"/>
      <c r="SS38" s="75"/>
      <c r="ST38" s="75"/>
      <c r="SU38" s="75"/>
      <c r="SV38" s="75"/>
      <c r="SW38" s="75"/>
      <c r="SX38" s="75"/>
      <c r="SY38" s="75"/>
      <c r="SZ38" s="75"/>
      <c r="TA38" s="75"/>
      <c r="TB38" s="75"/>
      <c r="TC38" s="75"/>
      <c r="TD38" s="75"/>
      <c r="TE38" s="75"/>
      <c r="TF38" s="75"/>
      <c r="TG38" s="75"/>
      <c r="TH38" s="75"/>
      <c r="TI38" s="75"/>
      <c r="TJ38" s="75"/>
      <c r="TK38" s="75"/>
      <c r="TL38" s="75"/>
      <c r="TM38" s="75"/>
      <c r="TN38" s="75"/>
      <c r="TO38" s="75"/>
      <c r="TP38" s="75"/>
      <c r="TQ38" s="75"/>
      <c r="TR38" s="75"/>
      <c r="TS38" s="75"/>
      <c r="TT38" s="75"/>
      <c r="TU38" s="75"/>
      <c r="TV38" s="75"/>
      <c r="TW38" s="75"/>
      <c r="TX38" s="75"/>
      <c r="TY38" s="75"/>
      <c r="TZ38" s="75"/>
      <c r="UA38" s="75"/>
      <c r="UB38" s="75"/>
      <c r="UC38" s="75"/>
      <c r="UD38" s="75"/>
      <c r="UE38" s="75"/>
      <c r="UF38" s="75"/>
      <c r="UG38" s="75"/>
      <c r="UH38" s="75"/>
      <c r="UI38" s="75"/>
      <c r="UJ38" s="75"/>
      <c r="UK38" s="75"/>
      <c r="UL38" s="75"/>
      <c r="UM38" s="75"/>
      <c r="UN38" s="75"/>
      <c r="UO38" s="75"/>
      <c r="UP38" s="75"/>
      <c r="UQ38" s="75"/>
      <c r="UR38" s="75"/>
      <c r="US38" s="75">
        <v>10</v>
      </c>
      <c r="UT38" s="75">
        <v>10</v>
      </c>
      <c r="UU38" s="75">
        <v>10</v>
      </c>
      <c r="UV38" s="75">
        <v>10</v>
      </c>
      <c r="UW38" s="75">
        <v>10</v>
      </c>
      <c r="UX38" s="75">
        <v>10</v>
      </c>
      <c r="UY38" s="75"/>
      <c r="UZ38" s="75">
        <v>10</v>
      </c>
      <c r="VA38" s="75">
        <v>10</v>
      </c>
      <c r="VB38" s="75">
        <v>10</v>
      </c>
      <c r="VC38" s="75">
        <v>10</v>
      </c>
      <c r="VD38" s="75">
        <v>10</v>
      </c>
      <c r="VE38" s="75">
        <v>10</v>
      </c>
      <c r="VF38" s="75"/>
      <c r="VG38" s="75">
        <v>10</v>
      </c>
      <c r="VH38" s="75">
        <v>10</v>
      </c>
      <c r="VI38" s="75">
        <v>10</v>
      </c>
      <c r="VJ38" s="75">
        <v>20</v>
      </c>
      <c r="VK38" s="75">
        <v>20</v>
      </c>
      <c r="VL38" s="75">
        <v>30</v>
      </c>
      <c r="VM38" s="75"/>
      <c r="VN38" s="75">
        <v>30</v>
      </c>
      <c r="VO38" s="75">
        <v>30</v>
      </c>
      <c r="VP38" s="75">
        <v>30</v>
      </c>
      <c r="VQ38" s="75">
        <v>30</v>
      </c>
      <c r="VR38" s="75">
        <v>30</v>
      </c>
      <c r="VS38" s="75">
        <v>30</v>
      </c>
      <c r="VT38" s="75"/>
      <c r="VU38" s="75">
        <v>30</v>
      </c>
      <c r="VV38" s="75">
        <v>20</v>
      </c>
      <c r="VW38" s="75">
        <v>20</v>
      </c>
      <c r="VX38" s="75">
        <v>10</v>
      </c>
      <c r="VY38" s="75">
        <v>10</v>
      </c>
      <c r="VZ38" s="75">
        <v>10</v>
      </c>
      <c r="WA38" s="75"/>
      <c r="WB38" s="75">
        <v>10</v>
      </c>
      <c r="WC38" s="75">
        <v>10</v>
      </c>
      <c r="WD38" s="75">
        <v>10</v>
      </c>
      <c r="WE38" s="75">
        <v>10</v>
      </c>
      <c r="WF38" s="75">
        <v>10</v>
      </c>
      <c r="WG38" s="75">
        <v>2</v>
      </c>
      <c r="WH38" s="75"/>
      <c r="WI38" s="75">
        <v>2</v>
      </c>
      <c r="WJ38" s="75">
        <v>2</v>
      </c>
      <c r="WK38" s="75">
        <v>2</v>
      </c>
      <c r="WL38" s="75">
        <v>2</v>
      </c>
      <c r="WM38" s="75">
        <v>2</v>
      </c>
      <c r="WN38" s="75">
        <v>2</v>
      </c>
      <c r="WO38" s="75"/>
      <c r="WP38" s="75">
        <v>2</v>
      </c>
      <c r="WQ38" s="75"/>
      <c r="WR38" s="75"/>
      <c r="WS38" s="75"/>
      <c r="WT38" s="75"/>
      <c r="WU38" s="75"/>
      <c r="WV38" s="75"/>
      <c r="WW38" s="75"/>
      <c r="WX38" s="75"/>
      <c r="WY38" s="75"/>
      <c r="WZ38" s="75"/>
      <c r="XA38" s="75"/>
      <c r="XB38" s="75"/>
      <c r="XC38" s="75"/>
      <c r="XD38" s="75"/>
      <c r="XE38" s="75"/>
      <c r="XF38" s="75"/>
      <c r="XG38" s="75"/>
      <c r="XH38" s="75"/>
      <c r="XI38" s="75"/>
      <c r="XJ38" s="75"/>
      <c r="XK38" s="75"/>
      <c r="XL38" s="75"/>
      <c r="XM38" s="75"/>
      <c r="XN38" s="75"/>
      <c r="XO38" s="75"/>
      <c r="XP38" s="75"/>
      <c r="XQ38" s="75"/>
      <c r="XR38" s="75"/>
      <c r="XS38" s="75"/>
      <c r="XT38" s="75"/>
      <c r="XU38" s="75"/>
      <c r="XV38" s="75"/>
      <c r="XW38" s="75"/>
      <c r="XX38" s="75"/>
      <c r="XY38" s="75"/>
      <c r="XZ38" s="75"/>
      <c r="YA38" s="75"/>
      <c r="YB38" s="75"/>
      <c r="YC38" s="75"/>
      <c r="YD38" s="75"/>
      <c r="YE38" s="75"/>
      <c r="YF38" s="75"/>
      <c r="YG38" s="75"/>
      <c r="YH38" s="75"/>
      <c r="YI38" s="75"/>
      <c r="YJ38" s="75"/>
      <c r="YK38" s="75"/>
      <c r="YL38" s="75"/>
      <c r="YM38" s="75"/>
      <c r="YN38" s="75"/>
      <c r="YO38" s="75"/>
      <c r="YP38" s="75"/>
      <c r="YQ38" s="75"/>
      <c r="YR38" s="75"/>
      <c r="YS38" s="75"/>
      <c r="YT38" s="75"/>
      <c r="YU38" s="75"/>
      <c r="YV38" s="75"/>
      <c r="YW38" s="75"/>
      <c r="YX38" s="75"/>
      <c r="YY38" s="75"/>
      <c r="YZ38" s="75"/>
      <c r="ZA38" s="75"/>
      <c r="ZB38" s="75"/>
      <c r="ZC38" s="75"/>
      <c r="ZD38" s="75"/>
      <c r="ZE38" s="75"/>
      <c r="ZF38" s="75"/>
      <c r="ZG38" s="75"/>
      <c r="ZH38" s="75"/>
      <c r="ZI38" s="75"/>
      <c r="ZJ38" s="75"/>
      <c r="ZK38" s="75"/>
      <c r="ZL38" s="75"/>
      <c r="ZM38" s="75"/>
      <c r="ZN38" s="75"/>
      <c r="ZO38" s="75"/>
      <c r="ZP38" s="75"/>
      <c r="ZQ38" s="75"/>
      <c r="ZR38" s="75"/>
      <c r="ZS38" s="75"/>
      <c r="ZT38" s="75"/>
      <c r="ZU38" s="75"/>
      <c r="ZV38" s="75"/>
      <c r="ZW38" s="75"/>
      <c r="ZX38" s="75"/>
      <c r="ZY38" s="75"/>
      <c r="ZZ38" s="75"/>
      <c r="AAA38" s="75"/>
      <c r="AAB38" s="75"/>
      <c r="AAC38" s="75"/>
      <c r="AAD38" s="75"/>
      <c r="AAE38" s="75"/>
      <c r="AAF38" s="75"/>
      <c r="AAG38" s="75"/>
      <c r="AAH38" s="75"/>
      <c r="AAI38" s="75"/>
      <c r="AAJ38" s="75"/>
      <c r="AAK38" s="75"/>
      <c r="AAL38" s="75"/>
      <c r="AAM38" s="75"/>
      <c r="AAN38" s="75"/>
      <c r="AAO38" s="75"/>
      <c r="AAP38" s="75"/>
      <c r="AAQ38" s="75"/>
      <c r="AAR38" s="75"/>
      <c r="AAS38" s="75"/>
      <c r="AAT38" s="75"/>
      <c r="AAU38" s="75"/>
      <c r="AAV38" s="75"/>
      <c r="AAW38" s="75"/>
      <c r="AAX38" s="75"/>
      <c r="AAY38" s="75"/>
      <c r="AAZ38" s="75"/>
      <c r="ABA38" s="75"/>
      <c r="ABB38" s="75"/>
      <c r="ABC38" s="7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H37"/>
  <sheetViews>
    <sheetView topLeftCell="A13" workbookViewId="0">
      <selection activeCell="ED10" sqref="ED10"/>
    </sheetView>
  </sheetViews>
  <sheetFormatPr defaultRowHeight="15"/>
  <cols>
    <col min="1" max="1" width="26.140625" customWidth="1"/>
    <col min="2" max="122" width="0" style="3" hidden="1" customWidth="1"/>
    <col min="123" max="684" width="9.140625" style="3"/>
  </cols>
  <sheetData>
    <row r="1" spans="1:684">
      <c r="A1" s="75" t="s">
        <v>39</v>
      </c>
      <c r="B1" s="100">
        <v>41974</v>
      </c>
      <c r="C1" s="100">
        <v>41975</v>
      </c>
      <c r="D1" s="100">
        <v>41976</v>
      </c>
      <c r="E1" s="100">
        <v>41977</v>
      </c>
      <c r="F1" s="100">
        <v>41978</v>
      </c>
      <c r="G1" s="100">
        <v>41979</v>
      </c>
      <c r="H1" s="100">
        <v>41980</v>
      </c>
      <c r="I1" s="100">
        <v>41981</v>
      </c>
      <c r="J1" s="100">
        <v>41982</v>
      </c>
      <c r="K1" s="100">
        <v>41983</v>
      </c>
      <c r="L1" s="100">
        <v>41984</v>
      </c>
      <c r="M1" s="100">
        <v>41985</v>
      </c>
      <c r="N1" s="100">
        <v>41986</v>
      </c>
      <c r="O1" s="100">
        <v>41987</v>
      </c>
      <c r="P1" s="100">
        <v>41988</v>
      </c>
      <c r="Q1" s="100">
        <v>41989</v>
      </c>
      <c r="R1" s="100">
        <v>41990</v>
      </c>
      <c r="S1" s="100">
        <v>41991</v>
      </c>
      <c r="T1" s="100">
        <v>41992</v>
      </c>
      <c r="U1" s="100">
        <v>41993</v>
      </c>
      <c r="V1" s="100">
        <v>41994</v>
      </c>
      <c r="W1" s="100">
        <v>41995</v>
      </c>
      <c r="X1" s="100">
        <v>41996</v>
      </c>
      <c r="Y1" s="100">
        <v>41997</v>
      </c>
      <c r="Z1" s="100">
        <v>41998</v>
      </c>
      <c r="AA1" s="100">
        <v>41999</v>
      </c>
      <c r="AB1" s="100">
        <v>42000</v>
      </c>
      <c r="AC1" s="100">
        <v>42001</v>
      </c>
      <c r="AD1" s="100">
        <v>42002</v>
      </c>
      <c r="AE1" s="100">
        <v>42003</v>
      </c>
      <c r="AF1" s="100">
        <v>42004</v>
      </c>
      <c r="AG1" s="100">
        <v>42005</v>
      </c>
      <c r="AH1" s="100">
        <v>42006</v>
      </c>
      <c r="AI1" s="100">
        <v>42007</v>
      </c>
      <c r="AJ1" s="100">
        <v>42008</v>
      </c>
      <c r="AK1" s="100">
        <v>42009</v>
      </c>
      <c r="AL1" s="100">
        <v>42010</v>
      </c>
      <c r="AM1" s="100">
        <v>42011</v>
      </c>
      <c r="AN1" s="100">
        <v>42012</v>
      </c>
      <c r="AO1" s="100">
        <v>42013</v>
      </c>
      <c r="AP1" s="100">
        <v>42014</v>
      </c>
      <c r="AQ1" s="100">
        <v>42015</v>
      </c>
      <c r="AR1" s="100">
        <v>42016</v>
      </c>
      <c r="AS1" s="100">
        <v>42017</v>
      </c>
      <c r="AT1" s="100">
        <v>42018</v>
      </c>
      <c r="AU1" s="100">
        <v>42019</v>
      </c>
      <c r="AV1" s="100">
        <v>42020</v>
      </c>
      <c r="AW1" s="100">
        <v>42021</v>
      </c>
      <c r="AX1" s="100">
        <v>42022</v>
      </c>
      <c r="AY1" s="100">
        <v>42023</v>
      </c>
      <c r="AZ1" s="100">
        <v>42024</v>
      </c>
      <c r="BA1" s="100">
        <v>42025</v>
      </c>
      <c r="BB1" s="100">
        <v>42026</v>
      </c>
      <c r="BC1" s="100">
        <v>42027</v>
      </c>
      <c r="BD1" s="100">
        <v>42028</v>
      </c>
      <c r="BE1" s="100">
        <v>42029</v>
      </c>
      <c r="BF1" s="100">
        <v>42030</v>
      </c>
      <c r="BG1" s="100">
        <v>42031</v>
      </c>
      <c r="BH1" s="100">
        <v>42032</v>
      </c>
      <c r="BI1" s="100">
        <v>42033</v>
      </c>
      <c r="BJ1" s="100">
        <v>42034</v>
      </c>
      <c r="BK1" s="100">
        <v>42035</v>
      </c>
      <c r="BL1" s="100">
        <v>42036</v>
      </c>
      <c r="BM1" s="100">
        <v>42037</v>
      </c>
      <c r="BN1" s="100">
        <v>42038</v>
      </c>
      <c r="BO1" s="100">
        <v>42039</v>
      </c>
      <c r="BP1" s="100">
        <v>42040</v>
      </c>
      <c r="BQ1" s="100">
        <v>42041</v>
      </c>
      <c r="BR1" s="100">
        <v>42042</v>
      </c>
      <c r="BS1" s="100">
        <v>42043</v>
      </c>
      <c r="BT1" s="100">
        <v>42044</v>
      </c>
      <c r="BU1" s="100">
        <v>42045</v>
      </c>
      <c r="BV1" s="100">
        <v>42046</v>
      </c>
      <c r="BW1" s="100">
        <v>42047</v>
      </c>
      <c r="BX1" s="100">
        <v>42048</v>
      </c>
      <c r="BY1" s="100">
        <v>42049</v>
      </c>
      <c r="BZ1" s="100">
        <v>42050</v>
      </c>
      <c r="CA1" s="100">
        <v>42051</v>
      </c>
      <c r="CB1" s="100">
        <v>42052</v>
      </c>
      <c r="CC1" s="100">
        <v>42053</v>
      </c>
      <c r="CD1" s="100">
        <v>42054</v>
      </c>
      <c r="CE1" s="100">
        <v>42055</v>
      </c>
      <c r="CF1" s="100">
        <v>42056</v>
      </c>
      <c r="CG1" s="100">
        <v>42057</v>
      </c>
      <c r="CH1" s="100">
        <v>42058</v>
      </c>
      <c r="CI1" s="100">
        <v>42059</v>
      </c>
      <c r="CJ1" s="100">
        <v>42060</v>
      </c>
      <c r="CK1" s="100">
        <v>42061</v>
      </c>
      <c r="CL1" s="100">
        <v>42062</v>
      </c>
      <c r="CM1" s="100">
        <v>42063</v>
      </c>
      <c r="CN1" s="100">
        <v>42064</v>
      </c>
      <c r="CO1" s="100">
        <v>42065</v>
      </c>
      <c r="CP1" s="100">
        <v>42066</v>
      </c>
      <c r="CQ1" s="100">
        <v>42067</v>
      </c>
      <c r="CR1" s="100">
        <v>42068</v>
      </c>
      <c r="CS1" s="100">
        <v>42069</v>
      </c>
      <c r="CT1" s="100">
        <v>42070</v>
      </c>
      <c r="CU1" s="100">
        <v>42071</v>
      </c>
      <c r="CV1" s="100">
        <v>42072</v>
      </c>
      <c r="CW1" s="100">
        <v>42073</v>
      </c>
      <c r="CX1" s="100">
        <v>42074</v>
      </c>
      <c r="CY1" s="100">
        <v>42075</v>
      </c>
      <c r="CZ1" s="100">
        <v>42076</v>
      </c>
      <c r="DA1" s="100">
        <v>42077</v>
      </c>
      <c r="DB1" s="100">
        <v>42078</v>
      </c>
      <c r="DC1" s="100">
        <v>42079</v>
      </c>
      <c r="DD1" s="100">
        <v>42080</v>
      </c>
      <c r="DE1" s="100">
        <v>42081</v>
      </c>
      <c r="DF1" s="100">
        <v>42082</v>
      </c>
      <c r="DG1" s="100">
        <v>42083</v>
      </c>
      <c r="DH1" s="100">
        <v>42084</v>
      </c>
      <c r="DI1" s="100">
        <v>42085</v>
      </c>
      <c r="DJ1" s="100">
        <v>42086</v>
      </c>
      <c r="DK1" s="100">
        <v>42087</v>
      </c>
      <c r="DL1" s="100">
        <v>42088</v>
      </c>
      <c r="DM1" s="100">
        <v>42089</v>
      </c>
      <c r="DN1" s="100">
        <v>42090</v>
      </c>
      <c r="DO1" s="100">
        <v>42091</v>
      </c>
      <c r="DP1" s="100">
        <v>42092</v>
      </c>
      <c r="DQ1" s="100">
        <v>42093</v>
      </c>
      <c r="DR1" s="100">
        <v>42094</v>
      </c>
      <c r="DS1" s="100">
        <v>42095</v>
      </c>
      <c r="DT1" s="100">
        <v>42096</v>
      </c>
      <c r="DU1" s="100">
        <v>42097</v>
      </c>
      <c r="DV1" s="100">
        <v>42098</v>
      </c>
      <c r="DW1" s="100">
        <v>42099</v>
      </c>
      <c r="DX1" s="100">
        <v>42100</v>
      </c>
      <c r="DY1" s="100">
        <v>42101</v>
      </c>
      <c r="DZ1" s="100">
        <v>42102</v>
      </c>
      <c r="EA1" s="100">
        <v>42103</v>
      </c>
      <c r="EB1" s="100">
        <v>42104</v>
      </c>
      <c r="EC1" s="100">
        <v>42105</v>
      </c>
      <c r="ED1" s="100">
        <v>42106</v>
      </c>
      <c r="EE1" s="100">
        <v>42107</v>
      </c>
      <c r="EF1" s="100">
        <v>42108</v>
      </c>
      <c r="EG1" s="100">
        <v>42109</v>
      </c>
      <c r="EH1" s="100">
        <v>42110</v>
      </c>
      <c r="EI1" s="100">
        <v>42111</v>
      </c>
      <c r="EJ1" s="100">
        <v>42112</v>
      </c>
      <c r="EK1" s="100">
        <v>42113</v>
      </c>
      <c r="EL1" s="100">
        <v>42114</v>
      </c>
      <c r="EM1" s="100">
        <v>42115</v>
      </c>
      <c r="EN1" s="100">
        <v>42116</v>
      </c>
      <c r="EO1" s="100">
        <v>42117</v>
      </c>
      <c r="EP1" s="100">
        <v>42118</v>
      </c>
      <c r="EQ1" s="100">
        <v>42119</v>
      </c>
      <c r="ER1" s="100">
        <v>42120</v>
      </c>
      <c r="ES1" s="100">
        <v>42121</v>
      </c>
      <c r="ET1" s="100">
        <v>42122</v>
      </c>
      <c r="EU1" s="100">
        <v>42123</v>
      </c>
      <c r="EV1" s="100">
        <v>42124</v>
      </c>
      <c r="EW1" s="100">
        <v>42125</v>
      </c>
      <c r="EX1" s="100">
        <v>42126</v>
      </c>
      <c r="EY1" s="100">
        <v>42127</v>
      </c>
      <c r="EZ1" s="100">
        <v>42128</v>
      </c>
      <c r="FA1" s="100">
        <v>42129</v>
      </c>
      <c r="FB1" s="100">
        <v>42130</v>
      </c>
      <c r="FC1" s="100">
        <v>42131</v>
      </c>
      <c r="FD1" s="100">
        <v>42132</v>
      </c>
      <c r="FE1" s="100">
        <v>42133</v>
      </c>
      <c r="FF1" s="100">
        <v>42134</v>
      </c>
      <c r="FG1" s="100">
        <v>42135</v>
      </c>
      <c r="FH1" s="100">
        <v>42136</v>
      </c>
      <c r="FI1" s="100">
        <v>42137</v>
      </c>
      <c r="FJ1" s="100">
        <v>42138</v>
      </c>
      <c r="FK1" s="100">
        <v>42139</v>
      </c>
      <c r="FL1" s="100">
        <v>42140</v>
      </c>
      <c r="FM1" s="100">
        <v>42141</v>
      </c>
      <c r="FN1" s="100">
        <v>42142</v>
      </c>
      <c r="FO1" s="100">
        <v>42143</v>
      </c>
      <c r="FP1" s="100">
        <v>42144</v>
      </c>
      <c r="FQ1" s="100">
        <v>42145</v>
      </c>
      <c r="FR1" s="100">
        <v>42146</v>
      </c>
      <c r="FS1" s="100">
        <v>42147</v>
      </c>
      <c r="FT1" s="100">
        <v>42148</v>
      </c>
      <c r="FU1" s="100">
        <v>42149</v>
      </c>
      <c r="FV1" s="100">
        <v>42150</v>
      </c>
      <c r="FW1" s="100">
        <v>42151</v>
      </c>
      <c r="FX1" s="100">
        <v>42152</v>
      </c>
      <c r="FY1" s="100">
        <v>42153</v>
      </c>
      <c r="FZ1" s="100">
        <v>42154</v>
      </c>
      <c r="GA1" s="100">
        <v>42155</v>
      </c>
      <c r="GB1" s="100">
        <v>42156</v>
      </c>
      <c r="GC1" s="100">
        <v>42157</v>
      </c>
      <c r="GD1" s="100">
        <v>42158</v>
      </c>
      <c r="GE1" s="100">
        <v>42159</v>
      </c>
      <c r="GF1" s="100">
        <v>42160</v>
      </c>
      <c r="GG1" s="100">
        <v>42161</v>
      </c>
      <c r="GH1" s="100">
        <v>42162</v>
      </c>
      <c r="GI1" s="100">
        <v>42163</v>
      </c>
      <c r="GJ1" s="100">
        <v>42164</v>
      </c>
      <c r="GK1" s="100">
        <v>42165</v>
      </c>
      <c r="GL1" s="100">
        <v>42166</v>
      </c>
      <c r="GM1" s="100">
        <v>42167</v>
      </c>
      <c r="GN1" s="100">
        <v>42168</v>
      </c>
      <c r="GO1" s="100">
        <v>42169</v>
      </c>
      <c r="GP1" s="100">
        <v>42170</v>
      </c>
      <c r="GQ1" s="100">
        <v>42171</v>
      </c>
      <c r="GR1" s="100">
        <v>42172</v>
      </c>
      <c r="GS1" s="100">
        <v>42173</v>
      </c>
      <c r="GT1" s="100">
        <v>42174</v>
      </c>
      <c r="GU1" s="100">
        <v>42175</v>
      </c>
      <c r="GV1" s="100">
        <v>42176</v>
      </c>
      <c r="GW1" s="100">
        <v>42177</v>
      </c>
      <c r="GX1" s="100">
        <v>42178</v>
      </c>
      <c r="GY1" s="100">
        <v>42179</v>
      </c>
      <c r="GZ1" s="100">
        <v>42180</v>
      </c>
      <c r="HA1" s="100">
        <v>42181</v>
      </c>
      <c r="HB1" s="100">
        <v>42182</v>
      </c>
      <c r="HC1" s="100">
        <v>42183</v>
      </c>
      <c r="HD1" s="100">
        <v>42184</v>
      </c>
      <c r="HE1" s="100">
        <v>42185</v>
      </c>
      <c r="HF1" s="100">
        <v>42186</v>
      </c>
      <c r="HG1" s="100">
        <v>42187</v>
      </c>
      <c r="HH1" s="100">
        <v>42188</v>
      </c>
      <c r="HI1" s="100">
        <v>42189</v>
      </c>
      <c r="HJ1" s="100">
        <v>42190</v>
      </c>
      <c r="HK1" s="100">
        <v>42191</v>
      </c>
      <c r="HL1" s="100">
        <v>42192</v>
      </c>
      <c r="HM1" s="100">
        <v>42193</v>
      </c>
      <c r="HN1" s="100">
        <v>42194</v>
      </c>
      <c r="HO1" s="100">
        <v>42195</v>
      </c>
      <c r="HP1" s="100">
        <v>42196</v>
      </c>
      <c r="HQ1" s="100">
        <v>42197</v>
      </c>
      <c r="HR1" s="100">
        <v>42198</v>
      </c>
      <c r="HS1" s="100">
        <v>42199</v>
      </c>
      <c r="HT1" s="100">
        <v>42200</v>
      </c>
      <c r="HU1" s="100">
        <v>42201</v>
      </c>
      <c r="HV1" s="100">
        <v>42202</v>
      </c>
      <c r="HW1" s="100">
        <v>42203</v>
      </c>
      <c r="HX1" s="100">
        <v>42204</v>
      </c>
      <c r="HY1" s="100">
        <v>42205</v>
      </c>
      <c r="HZ1" s="100">
        <v>42206</v>
      </c>
      <c r="IA1" s="100">
        <v>42207</v>
      </c>
      <c r="IB1" s="100">
        <v>42208</v>
      </c>
      <c r="IC1" s="100">
        <v>42209</v>
      </c>
      <c r="ID1" s="100">
        <v>42210</v>
      </c>
      <c r="IE1" s="100">
        <v>42211</v>
      </c>
      <c r="IF1" s="100">
        <v>42212</v>
      </c>
      <c r="IG1" s="100">
        <v>42213</v>
      </c>
      <c r="IH1" s="100">
        <v>42214</v>
      </c>
      <c r="II1" s="100">
        <v>42215</v>
      </c>
      <c r="IJ1" s="100">
        <v>42216</v>
      </c>
      <c r="IK1" s="100">
        <v>42217</v>
      </c>
      <c r="IL1" s="100">
        <v>42218</v>
      </c>
      <c r="IM1" s="100">
        <v>42219</v>
      </c>
      <c r="IN1" s="100">
        <v>42220</v>
      </c>
      <c r="IO1" s="100">
        <v>42221</v>
      </c>
      <c r="IP1" s="100">
        <v>42222</v>
      </c>
      <c r="IQ1" s="100">
        <v>42223</v>
      </c>
      <c r="IR1" s="100">
        <v>42224</v>
      </c>
      <c r="IS1" s="100">
        <v>42225</v>
      </c>
      <c r="IT1" s="100">
        <v>42226</v>
      </c>
      <c r="IU1" s="100">
        <v>42227</v>
      </c>
      <c r="IV1" s="100">
        <v>42228</v>
      </c>
      <c r="IW1" s="100">
        <v>42229</v>
      </c>
      <c r="IX1" s="100">
        <v>42230</v>
      </c>
      <c r="IY1" s="100">
        <v>42231</v>
      </c>
      <c r="IZ1" s="100">
        <v>42232</v>
      </c>
      <c r="JA1" s="100">
        <v>42233</v>
      </c>
      <c r="JB1" s="100">
        <v>42234</v>
      </c>
      <c r="JC1" s="100">
        <v>42235</v>
      </c>
      <c r="JD1" s="100">
        <v>42236</v>
      </c>
      <c r="JE1" s="100">
        <v>42237</v>
      </c>
      <c r="JF1" s="100">
        <v>42238</v>
      </c>
      <c r="JG1" s="100">
        <v>42239</v>
      </c>
      <c r="JH1" s="100">
        <v>42240</v>
      </c>
      <c r="JI1" s="100">
        <v>42241</v>
      </c>
      <c r="JJ1" s="100">
        <v>42242</v>
      </c>
      <c r="JK1" s="100">
        <v>42243</v>
      </c>
      <c r="JL1" s="100">
        <v>42244</v>
      </c>
      <c r="JM1" s="100">
        <v>42245</v>
      </c>
      <c r="JN1" s="100">
        <v>42246</v>
      </c>
      <c r="JO1" s="100">
        <v>42247</v>
      </c>
      <c r="JP1" s="100">
        <v>42248</v>
      </c>
      <c r="JQ1" s="100">
        <v>42249</v>
      </c>
      <c r="JR1" s="100">
        <v>42250</v>
      </c>
      <c r="JS1" s="100">
        <v>42251</v>
      </c>
      <c r="JT1" s="100">
        <v>42252</v>
      </c>
      <c r="JU1" s="100">
        <v>42253</v>
      </c>
      <c r="JV1" s="100">
        <v>42254</v>
      </c>
      <c r="JW1" s="100">
        <v>42255</v>
      </c>
      <c r="JX1" s="100">
        <v>42256</v>
      </c>
      <c r="JY1" s="100">
        <v>42257</v>
      </c>
      <c r="JZ1" s="100">
        <v>42258</v>
      </c>
      <c r="KA1" s="100">
        <v>42259</v>
      </c>
      <c r="KB1" s="100">
        <v>42260</v>
      </c>
      <c r="KC1" s="100">
        <v>42261</v>
      </c>
      <c r="KD1" s="100">
        <v>42262</v>
      </c>
      <c r="KE1" s="100">
        <v>42263</v>
      </c>
      <c r="KF1" s="100">
        <v>42264</v>
      </c>
      <c r="KG1" s="100">
        <v>42265</v>
      </c>
      <c r="KH1" s="100">
        <v>42266</v>
      </c>
      <c r="KI1" s="100">
        <v>42267</v>
      </c>
      <c r="KJ1" s="100">
        <v>42268</v>
      </c>
      <c r="KK1" s="100">
        <v>42269</v>
      </c>
      <c r="KL1" s="100">
        <v>42270</v>
      </c>
      <c r="KM1" s="100">
        <v>42271</v>
      </c>
      <c r="KN1" s="100">
        <v>42272</v>
      </c>
      <c r="KO1" s="100">
        <v>42273</v>
      </c>
      <c r="KP1" s="100">
        <v>42274</v>
      </c>
      <c r="KQ1" s="100">
        <v>42275</v>
      </c>
      <c r="KR1" s="100">
        <v>42276</v>
      </c>
      <c r="KS1" s="100">
        <v>42277</v>
      </c>
      <c r="KT1" s="100">
        <v>42278</v>
      </c>
      <c r="KU1" s="100">
        <v>42279</v>
      </c>
      <c r="KV1" s="100">
        <v>42280</v>
      </c>
      <c r="KW1" s="100">
        <v>42281</v>
      </c>
      <c r="KX1" s="100">
        <v>42282</v>
      </c>
      <c r="KY1" s="100">
        <v>42283</v>
      </c>
      <c r="KZ1" s="100">
        <v>42284</v>
      </c>
      <c r="LA1" s="100">
        <v>42285</v>
      </c>
      <c r="LB1" s="100">
        <v>42286</v>
      </c>
      <c r="LC1" s="100">
        <v>42287</v>
      </c>
      <c r="LD1" s="100">
        <v>42288</v>
      </c>
      <c r="LE1" s="100">
        <v>42289</v>
      </c>
      <c r="LF1" s="100">
        <v>42290</v>
      </c>
      <c r="LG1" s="100">
        <v>42291</v>
      </c>
      <c r="LH1" s="100">
        <v>42292</v>
      </c>
      <c r="LI1" s="100">
        <v>42293</v>
      </c>
      <c r="LJ1" s="100">
        <v>42294</v>
      </c>
      <c r="LK1" s="100">
        <v>42295</v>
      </c>
      <c r="LL1" s="100">
        <v>42296</v>
      </c>
      <c r="LM1" s="100">
        <v>42297</v>
      </c>
      <c r="LN1" s="100">
        <v>42298</v>
      </c>
      <c r="LO1" s="100">
        <v>42299</v>
      </c>
      <c r="LP1" s="100">
        <v>42300</v>
      </c>
      <c r="LQ1" s="100">
        <v>42301</v>
      </c>
      <c r="LR1" s="100">
        <v>42302</v>
      </c>
      <c r="LS1" s="100">
        <v>42303</v>
      </c>
      <c r="LT1" s="100">
        <v>42304</v>
      </c>
      <c r="LU1" s="100">
        <v>42305</v>
      </c>
      <c r="LV1" s="100">
        <v>42306</v>
      </c>
      <c r="LW1" s="100">
        <v>42307</v>
      </c>
      <c r="LX1" s="100">
        <v>42308</v>
      </c>
      <c r="LY1" s="100">
        <v>42309</v>
      </c>
      <c r="LZ1" s="100">
        <v>42310</v>
      </c>
      <c r="MA1" s="100">
        <v>42311</v>
      </c>
      <c r="MB1" s="100">
        <v>42312</v>
      </c>
      <c r="MC1" s="100">
        <v>42313</v>
      </c>
      <c r="MD1" s="100">
        <v>42314</v>
      </c>
      <c r="ME1" s="100">
        <v>42315</v>
      </c>
      <c r="MF1" s="100">
        <v>42316</v>
      </c>
      <c r="MG1" s="100">
        <v>42317</v>
      </c>
      <c r="MH1" s="100">
        <v>42318</v>
      </c>
      <c r="MI1" s="100">
        <v>42319</v>
      </c>
      <c r="MJ1" s="100">
        <v>42320</v>
      </c>
      <c r="MK1" s="100">
        <v>42321</v>
      </c>
      <c r="ML1" s="100">
        <v>42322</v>
      </c>
      <c r="MM1" s="100">
        <v>42323</v>
      </c>
      <c r="MN1" s="100">
        <v>42324</v>
      </c>
      <c r="MO1" s="100">
        <v>42325</v>
      </c>
      <c r="MP1" s="100">
        <v>42326</v>
      </c>
      <c r="MQ1" s="100">
        <v>42327</v>
      </c>
      <c r="MR1" s="100">
        <v>42328</v>
      </c>
      <c r="MS1" s="100">
        <v>42329</v>
      </c>
      <c r="MT1" s="100">
        <v>42330</v>
      </c>
      <c r="MU1" s="100">
        <v>42331</v>
      </c>
      <c r="MV1" s="100">
        <v>42332</v>
      </c>
      <c r="MW1" s="100">
        <v>42333</v>
      </c>
      <c r="MX1" s="100">
        <v>42334</v>
      </c>
      <c r="MY1" s="100">
        <v>42335</v>
      </c>
      <c r="MZ1" s="100">
        <v>42336</v>
      </c>
      <c r="NA1" s="100">
        <v>42337</v>
      </c>
      <c r="NB1" s="100">
        <v>42338</v>
      </c>
      <c r="NC1" s="100">
        <v>42339</v>
      </c>
      <c r="ND1" s="100">
        <v>42340</v>
      </c>
      <c r="NE1" s="100">
        <v>42341</v>
      </c>
      <c r="NF1" s="100">
        <v>42342</v>
      </c>
      <c r="NG1" s="100">
        <v>42343</v>
      </c>
      <c r="NH1" s="100">
        <v>42344</v>
      </c>
      <c r="NI1" s="100">
        <v>42345</v>
      </c>
      <c r="NJ1" s="100">
        <v>42346</v>
      </c>
      <c r="NK1" s="100">
        <v>42347</v>
      </c>
      <c r="NL1" s="100">
        <v>42348</v>
      </c>
      <c r="NM1" s="100">
        <v>42349</v>
      </c>
      <c r="NN1" s="100">
        <v>42350</v>
      </c>
      <c r="NO1" s="100">
        <v>42351</v>
      </c>
      <c r="NP1" s="100">
        <v>42352</v>
      </c>
      <c r="NQ1" s="100">
        <v>42353</v>
      </c>
      <c r="NR1" s="100">
        <v>42354</v>
      </c>
      <c r="NS1" s="100">
        <v>42355</v>
      </c>
      <c r="NT1" s="100">
        <v>42356</v>
      </c>
      <c r="NU1" s="100">
        <v>42357</v>
      </c>
      <c r="NV1" s="100">
        <v>42358</v>
      </c>
      <c r="NW1" s="100">
        <v>42359</v>
      </c>
      <c r="NX1" s="100">
        <v>42360</v>
      </c>
      <c r="NY1" s="100">
        <v>42361</v>
      </c>
      <c r="NZ1" s="100">
        <v>42362</v>
      </c>
      <c r="OA1" s="100">
        <v>42363</v>
      </c>
      <c r="OB1" s="100">
        <v>42364</v>
      </c>
      <c r="OC1" s="100">
        <v>42365</v>
      </c>
      <c r="OD1" s="100">
        <v>42366</v>
      </c>
      <c r="OE1" s="100">
        <v>42367</v>
      </c>
      <c r="OF1" s="100">
        <v>42368</v>
      </c>
      <c r="OG1" s="100">
        <v>42369</v>
      </c>
      <c r="OH1" s="100">
        <v>42370</v>
      </c>
      <c r="OI1" s="100">
        <v>42371</v>
      </c>
      <c r="OJ1" s="100">
        <v>42372</v>
      </c>
      <c r="OK1" s="100">
        <v>42373</v>
      </c>
      <c r="OL1" s="100">
        <v>42374</v>
      </c>
      <c r="OM1" s="100">
        <v>42375</v>
      </c>
      <c r="ON1" s="100">
        <v>42376</v>
      </c>
      <c r="OO1" s="100">
        <v>42377</v>
      </c>
      <c r="OP1" s="100">
        <v>42378</v>
      </c>
      <c r="OQ1" s="100">
        <v>42379</v>
      </c>
      <c r="OR1" s="100">
        <v>42380</v>
      </c>
      <c r="OS1" s="100">
        <v>42381</v>
      </c>
      <c r="OT1" s="100">
        <v>42382</v>
      </c>
      <c r="OU1" s="100">
        <v>42383</v>
      </c>
      <c r="OV1" s="100">
        <v>42384</v>
      </c>
      <c r="OW1" s="100">
        <v>42385</v>
      </c>
      <c r="OX1" s="100">
        <v>42386</v>
      </c>
      <c r="OY1" s="100">
        <v>42387</v>
      </c>
      <c r="OZ1" s="100">
        <v>42388</v>
      </c>
      <c r="PA1" s="100">
        <v>42389</v>
      </c>
      <c r="PB1" s="100">
        <v>42390</v>
      </c>
      <c r="PC1" s="100">
        <v>42391</v>
      </c>
      <c r="PD1" s="100">
        <v>42392</v>
      </c>
      <c r="PE1" s="100">
        <v>42393</v>
      </c>
      <c r="PF1" s="100">
        <v>42394</v>
      </c>
      <c r="PG1" s="100">
        <v>42395</v>
      </c>
      <c r="PH1" s="100">
        <v>42396</v>
      </c>
      <c r="PI1" s="100">
        <v>42397</v>
      </c>
      <c r="PJ1" s="100">
        <v>42398</v>
      </c>
      <c r="PK1" s="100">
        <v>42399</v>
      </c>
      <c r="PL1" s="100">
        <v>42400</v>
      </c>
      <c r="PM1" s="100">
        <v>42401</v>
      </c>
      <c r="PN1" s="100">
        <v>42402</v>
      </c>
      <c r="PO1" s="100">
        <v>42403</v>
      </c>
      <c r="PP1" s="100">
        <v>42404</v>
      </c>
      <c r="PQ1" s="100">
        <v>42405</v>
      </c>
      <c r="PR1" s="100">
        <v>42406</v>
      </c>
      <c r="PS1" s="100">
        <v>42407</v>
      </c>
      <c r="PT1" s="100">
        <v>42408</v>
      </c>
      <c r="PU1" s="100">
        <v>42409</v>
      </c>
      <c r="PV1" s="100">
        <v>42410</v>
      </c>
      <c r="PW1" s="100">
        <v>42411</v>
      </c>
      <c r="PX1" s="100">
        <v>42412</v>
      </c>
      <c r="PY1" s="100">
        <v>42413</v>
      </c>
      <c r="PZ1" s="100">
        <v>42414</v>
      </c>
      <c r="QA1" s="100">
        <v>42415</v>
      </c>
      <c r="QB1" s="100">
        <v>42416</v>
      </c>
      <c r="QC1" s="100">
        <v>42417</v>
      </c>
      <c r="QD1" s="100">
        <v>42418</v>
      </c>
      <c r="QE1" s="100">
        <v>42419</v>
      </c>
      <c r="QF1" s="100">
        <v>42420</v>
      </c>
      <c r="QG1" s="100">
        <v>42421</v>
      </c>
      <c r="QH1" s="100">
        <v>42422</v>
      </c>
      <c r="QI1" s="100">
        <v>42423</v>
      </c>
      <c r="QJ1" s="100">
        <v>42424</v>
      </c>
      <c r="QK1" s="100">
        <v>42425</v>
      </c>
      <c r="QL1" s="100">
        <v>42426</v>
      </c>
      <c r="QM1" s="100">
        <v>42427</v>
      </c>
      <c r="QN1" s="100">
        <v>42428</v>
      </c>
      <c r="QO1" s="100">
        <v>42429</v>
      </c>
      <c r="QP1" s="100">
        <v>42430</v>
      </c>
      <c r="QQ1" s="100">
        <v>42431</v>
      </c>
      <c r="QR1" s="100">
        <v>42432</v>
      </c>
      <c r="QS1" s="100">
        <v>42433</v>
      </c>
      <c r="QT1" s="100">
        <v>42434</v>
      </c>
      <c r="QU1" s="100">
        <v>42435</v>
      </c>
      <c r="QV1" s="100">
        <v>42436</v>
      </c>
      <c r="QW1" s="100">
        <v>42437</v>
      </c>
      <c r="QX1" s="100">
        <v>42438</v>
      </c>
      <c r="QY1" s="100">
        <v>42439</v>
      </c>
      <c r="QZ1" s="100">
        <v>42440</v>
      </c>
      <c r="RA1" s="100">
        <v>42441</v>
      </c>
      <c r="RB1" s="100">
        <v>42442</v>
      </c>
      <c r="RC1" s="100">
        <v>42443</v>
      </c>
      <c r="RD1" s="100">
        <v>42444</v>
      </c>
      <c r="RE1" s="100">
        <v>42445</v>
      </c>
      <c r="RF1" s="100">
        <v>42446</v>
      </c>
      <c r="RG1" s="100">
        <v>42447</v>
      </c>
      <c r="RH1" s="100">
        <v>42448</v>
      </c>
      <c r="RI1" s="100">
        <v>42449</v>
      </c>
      <c r="RJ1" s="100">
        <v>42450</v>
      </c>
      <c r="RK1" s="100">
        <v>42451</v>
      </c>
      <c r="RL1" s="100">
        <v>42452</v>
      </c>
      <c r="RM1" s="100">
        <v>42453</v>
      </c>
      <c r="RN1" s="100">
        <v>42454</v>
      </c>
      <c r="RO1" s="100">
        <v>42455</v>
      </c>
      <c r="RP1" s="100">
        <v>42456</v>
      </c>
      <c r="RQ1" s="100">
        <v>42457</v>
      </c>
      <c r="RR1" s="100">
        <v>42458</v>
      </c>
      <c r="RS1" s="100">
        <v>42459</v>
      </c>
      <c r="RT1" s="100">
        <v>42460</v>
      </c>
      <c r="RU1" s="100">
        <v>42461</v>
      </c>
      <c r="RV1" s="100">
        <v>42462</v>
      </c>
      <c r="RW1" s="100">
        <v>42463</v>
      </c>
      <c r="RX1" s="100">
        <v>42464</v>
      </c>
      <c r="RY1" s="100">
        <v>42465</v>
      </c>
      <c r="RZ1" s="100">
        <v>42466</v>
      </c>
      <c r="SA1" s="100">
        <v>42467</v>
      </c>
      <c r="SB1" s="100">
        <v>42468</v>
      </c>
      <c r="SC1" s="100">
        <v>42469</v>
      </c>
      <c r="SD1" s="100">
        <v>42470</v>
      </c>
      <c r="SE1" s="100">
        <v>42471</v>
      </c>
      <c r="SF1" s="100">
        <v>42472</v>
      </c>
      <c r="SG1" s="100">
        <v>42473</v>
      </c>
      <c r="SH1" s="100">
        <v>42474</v>
      </c>
      <c r="SI1" s="100">
        <v>42475</v>
      </c>
      <c r="SJ1" s="100">
        <v>42476</v>
      </c>
      <c r="SK1" s="100">
        <v>42477</v>
      </c>
      <c r="SL1" s="100">
        <v>42478</v>
      </c>
      <c r="SM1" s="100">
        <v>42479</v>
      </c>
      <c r="SN1" s="100">
        <v>42480</v>
      </c>
      <c r="SO1" s="100">
        <v>42481</v>
      </c>
      <c r="SP1" s="100">
        <v>42482</v>
      </c>
      <c r="SQ1" s="100">
        <v>42483</v>
      </c>
      <c r="SR1" s="100">
        <v>42484</v>
      </c>
      <c r="SS1" s="100">
        <v>42485</v>
      </c>
      <c r="ST1" s="100">
        <v>42486</v>
      </c>
      <c r="SU1" s="100">
        <v>42487</v>
      </c>
      <c r="SV1" s="100">
        <v>42488</v>
      </c>
      <c r="SW1" s="100">
        <v>42489</v>
      </c>
      <c r="SX1" s="100">
        <v>42490</v>
      </c>
      <c r="SY1" s="100">
        <v>42491</v>
      </c>
      <c r="SZ1" s="100">
        <v>42492</v>
      </c>
      <c r="TA1" s="100">
        <v>42493</v>
      </c>
      <c r="TB1" s="100">
        <v>42494</v>
      </c>
      <c r="TC1" s="100">
        <v>42495</v>
      </c>
      <c r="TD1" s="100">
        <v>42496</v>
      </c>
      <c r="TE1" s="100">
        <v>42497</v>
      </c>
      <c r="TF1" s="100">
        <v>42498</v>
      </c>
      <c r="TG1" s="100">
        <v>42499</v>
      </c>
      <c r="TH1" s="100">
        <v>42500</v>
      </c>
      <c r="TI1" s="100">
        <v>42501</v>
      </c>
      <c r="TJ1" s="100">
        <v>42502</v>
      </c>
      <c r="TK1" s="100">
        <v>42503</v>
      </c>
      <c r="TL1" s="100">
        <v>42504</v>
      </c>
      <c r="TM1" s="100">
        <v>42505</v>
      </c>
      <c r="TN1" s="100">
        <v>42506</v>
      </c>
      <c r="TO1" s="100">
        <v>42507</v>
      </c>
      <c r="TP1" s="100">
        <v>42508</v>
      </c>
      <c r="TQ1" s="100">
        <v>42509</v>
      </c>
      <c r="TR1" s="100">
        <v>42510</v>
      </c>
      <c r="TS1" s="100">
        <v>42511</v>
      </c>
      <c r="TT1" s="100">
        <v>42512</v>
      </c>
      <c r="TU1" s="100">
        <v>42513</v>
      </c>
      <c r="TV1" s="100">
        <v>42514</v>
      </c>
      <c r="TW1" s="100">
        <v>42515</v>
      </c>
      <c r="TX1" s="100">
        <v>42516</v>
      </c>
      <c r="TY1" s="100">
        <v>42517</v>
      </c>
      <c r="TZ1" s="100">
        <v>42518</v>
      </c>
      <c r="UA1" s="100">
        <v>42519</v>
      </c>
      <c r="UB1" s="100">
        <v>42520</v>
      </c>
      <c r="UC1" s="100">
        <v>42521</v>
      </c>
      <c r="UD1" s="100">
        <v>42522</v>
      </c>
      <c r="UE1" s="100">
        <v>42523</v>
      </c>
      <c r="UF1" s="100">
        <v>42524</v>
      </c>
      <c r="UG1" s="100">
        <v>42525</v>
      </c>
      <c r="UH1" s="100">
        <v>42526</v>
      </c>
      <c r="UI1" s="100">
        <v>42527</v>
      </c>
      <c r="UJ1" s="100">
        <v>42528</v>
      </c>
      <c r="UK1" s="100">
        <v>42529</v>
      </c>
      <c r="UL1" s="100">
        <v>42530</v>
      </c>
      <c r="UM1" s="100">
        <v>42531</v>
      </c>
      <c r="UN1" s="100">
        <v>42532</v>
      </c>
      <c r="UO1" s="100">
        <v>42533</v>
      </c>
      <c r="UP1" s="100">
        <v>42534</v>
      </c>
      <c r="UQ1" s="100">
        <v>42535</v>
      </c>
      <c r="UR1" s="100">
        <v>42536</v>
      </c>
      <c r="US1" s="100">
        <v>42537</v>
      </c>
      <c r="UT1" s="100">
        <v>42538</v>
      </c>
      <c r="UU1" s="100">
        <v>42539</v>
      </c>
      <c r="UV1" s="100">
        <v>42540</v>
      </c>
      <c r="UW1" s="100">
        <v>42541</v>
      </c>
      <c r="UX1" s="100">
        <v>42542</v>
      </c>
      <c r="UY1" s="100">
        <v>42543</v>
      </c>
      <c r="UZ1" s="100">
        <v>42544</v>
      </c>
      <c r="VA1" s="100">
        <v>42545</v>
      </c>
      <c r="VB1" s="100">
        <v>42546</v>
      </c>
      <c r="VC1" s="100">
        <v>42547</v>
      </c>
      <c r="VD1" s="100">
        <v>42548</v>
      </c>
      <c r="VE1" s="100">
        <v>42549</v>
      </c>
      <c r="VF1" s="100">
        <v>42550</v>
      </c>
      <c r="VG1" s="100">
        <v>42551</v>
      </c>
      <c r="VH1" s="100">
        <v>42552</v>
      </c>
      <c r="VI1" s="100">
        <v>42553</v>
      </c>
      <c r="VJ1" s="100">
        <v>42554</v>
      </c>
      <c r="VK1" s="100">
        <v>42555</v>
      </c>
      <c r="VL1" s="100">
        <v>42556</v>
      </c>
      <c r="VM1" s="100">
        <v>42557</v>
      </c>
      <c r="VN1" s="100">
        <v>42558</v>
      </c>
      <c r="VO1" s="100">
        <v>42559</v>
      </c>
      <c r="VP1" s="100">
        <v>42560</v>
      </c>
      <c r="VQ1" s="100">
        <v>42561</v>
      </c>
      <c r="VR1" s="100">
        <v>42562</v>
      </c>
      <c r="VS1" s="100">
        <v>42563</v>
      </c>
      <c r="VT1" s="100">
        <v>42564</v>
      </c>
      <c r="VU1" s="100">
        <v>42565</v>
      </c>
      <c r="VV1" s="100">
        <v>42566</v>
      </c>
      <c r="VW1" s="100">
        <v>42567</v>
      </c>
      <c r="VX1" s="100">
        <v>42568</v>
      </c>
      <c r="VY1" s="100">
        <v>42569</v>
      </c>
      <c r="VZ1" s="100">
        <v>42570</v>
      </c>
      <c r="WA1" s="100">
        <v>42571</v>
      </c>
      <c r="WB1" s="100">
        <v>42572</v>
      </c>
      <c r="WC1" s="100">
        <v>42573</v>
      </c>
      <c r="WD1" s="100">
        <v>42574</v>
      </c>
      <c r="WE1" s="100">
        <v>42575</v>
      </c>
      <c r="WF1" s="100">
        <v>42576</v>
      </c>
      <c r="WG1" s="100">
        <v>42577</v>
      </c>
      <c r="WH1" s="100">
        <v>42578</v>
      </c>
      <c r="WI1" s="100">
        <v>42579</v>
      </c>
      <c r="WJ1" s="100">
        <v>42580</v>
      </c>
      <c r="WK1" s="100">
        <v>42581</v>
      </c>
      <c r="WL1" s="100">
        <v>42582</v>
      </c>
      <c r="WM1" s="100">
        <v>42583</v>
      </c>
      <c r="WN1" s="100">
        <v>42584</v>
      </c>
      <c r="WO1" s="100">
        <v>42585</v>
      </c>
      <c r="WP1" s="100">
        <v>42586</v>
      </c>
      <c r="WQ1" s="100">
        <v>42587</v>
      </c>
      <c r="WR1" s="100">
        <v>42588</v>
      </c>
      <c r="WS1" s="100">
        <v>42589</v>
      </c>
      <c r="WT1" s="100">
        <v>42590</v>
      </c>
      <c r="WU1" s="100">
        <v>42591</v>
      </c>
      <c r="WV1" s="100">
        <v>42592</v>
      </c>
      <c r="WW1" s="100">
        <v>42593</v>
      </c>
      <c r="WX1" s="100">
        <v>42594</v>
      </c>
      <c r="WY1" s="100">
        <v>42595</v>
      </c>
      <c r="WZ1" s="100">
        <v>42596</v>
      </c>
      <c r="XA1" s="100">
        <v>42597</v>
      </c>
      <c r="XB1" s="100">
        <v>42598</v>
      </c>
      <c r="XC1" s="100">
        <v>42599</v>
      </c>
      <c r="XD1" s="100">
        <v>42600</v>
      </c>
      <c r="XE1" s="100">
        <v>42601</v>
      </c>
      <c r="XF1" s="100">
        <v>42602</v>
      </c>
      <c r="XG1" s="100">
        <v>42603</v>
      </c>
      <c r="XH1" s="100">
        <v>42604</v>
      </c>
      <c r="XI1" s="100">
        <v>42605</v>
      </c>
      <c r="XJ1" s="100">
        <v>42606</v>
      </c>
      <c r="XK1" s="100">
        <v>42607</v>
      </c>
      <c r="XL1" s="100">
        <v>42608</v>
      </c>
      <c r="XM1" s="100">
        <v>42609</v>
      </c>
      <c r="XN1" s="100">
        <v>42610</v>
      </c>
      <c r="XO1" s="100">
        <v>42611</v>
      </c>
      <c r="XP1" s="100">
        <v>42612</v>
      </c>
      <c r="XQ1" s="100">
        <v>42613</v>
      </c>
      <c r="XR1" s="100">
        <v>42614</v>
      </c>
      <c r="XS1" s="100">
        <v>42615</v>
      </c>
      <c r="XT1" s="100">
        <v>42616</v>
      </c>
      <c r="XU1" s="100">
        <v>42617</v>
      </c>
      <c r="XV1" s="100">
        <v>42618</v>
      </c>
      <c r="XW1" s="100">
        <v>42619</v>
      </c>
      <c r="XX1" s="100">
        <v>42620</v>
      </c>
      <c r="XY1" s="100">
        <v>42621</v>
      </c>
      <c r="XZ1" s="100">
        <v>42622</v>
      </c>
      <c r="YA1" s="100">
        <v>42623</v>
      </c>
      <c r="YB1" s="100">
        <v>42624</v>
      </c>
      <c r="YC1" s="100">
        <v>42625</v>
      </c>
      <c r="YD1" s="100">
        <v>42626</v>
      </c>
      <c r="YE1" s="100">
        <v>42627</v>
      </c>
      <c r="YF1" s="100">
        <v>42628</v>
      </c>
      <c r="YG1" s="100">
        <v>42629</v>
      </c>
      <c r="YH1" s="100">
        <v>42630</v>
      </c>
      <c r="YI1" s="100">
        <v>42631</v>
      </c>
      <c r="YJ1" s="100">
        <v>42632</v>
      </c>
      <c r="YK1" s="100">
        <v>42633</v>
      </c>
      <c r="YL1" s="100">
        <v>42634</v>
      </c>
      <c r="YM1" s="100">
        <v>42635</v>
      </c>
      <c r="YN1" s="100">
        <v>42636</v>
      </c>
      <c r="YO1" s="100">
        <v>42637</v>
      </c>
      <c r="YP1" s="100">
        <v>42638</v>
      </c>
      <c r="YQ1" s="100">
        <v>42639</v>
      </c>
      <c r="YR1" s="100">
        <v>42640</v>
      </c>
      <c r="YS1" s="100">
        <v>42641</v>
      </c>
      <c r="YT1" s="100">
        <v>42642</v>
      </c>
      <c r="YU1" s="100">
        <v>42643</v>
      </c>
      <c r="YV1" s="100">
        <v>42644</v>
      </c>
      <c r="YW1" s="100">
        <v>42645</v>
      </c>
      <c r="YX1" s="100">
        <v>42646</v>
      </c>
      <c r="YY1" s="100">
        <v>42647</v>
      </c>
      <c r="YZ1" s="100">
        <v>42648</v>
      </c>
      <c r="ZA1" s="100">
        <v>42649</v>
      </c>
      <c r="ZB1" s="100">
        <v>42650</v>
      </c>
      <c r="ZC1" s="100">
        <v>42651</v>
      </c>
      <c r="ZD1" s="100">
        <v>42652</v>
      </c>
      <c r="ZE1" s="100">
        <v>42653</v>
      </c>
      <c r="ZF1" s="100">
        <v>42654</v>
      </c>
      <c r="ZG1" s="100">
        <v>42655</v>
      </c>
      <c r="ZH1" s="100">
        <v>42656</v>
      </c>
    </row>
    <row r="2" spans="1:684">
      <c r="A2" s="75" t="s">
        <v>40</v>
      </c>
      <c r="B2" s="101">
        <v>8</v>
      </c>
      <c r="C2" s="101">
        <v>17</v>
      </c>
      <c r="D2" s="101">
        <v>17</v>
      </c>
      <c r="E2" s="101">
        <v>17</v>
      </c>
      <c r="F2" s="101"/>
      <c r="G2" s="101">
        <v>17</v>
      </c>
      <c r="H2" s="101">
        <v>17</v>
      </c>
      <c r="I2" s="101">
        <v>29</v>
      </c>
      <c r="J2" s="101">
        <v>29</v>
      </c>
      <c r="K2" s="101">
        <v>29</v>
      </c>
      <c r="L2" s="101">
        <v>29</v>
      </c>
      <c r="M2" s="101"/>
      <c r="N2" s="101">
        <v>29</v>
      </c>
      <c r="O2" s="101">
        <v>29</v>
      </c>
      <c r="P2" s="101">
        <v>29</v>
      </c>
      <c r="Q2" s="101">
        <v>29</v>
      </c>
      <c r="R2" s="101">
        <v>29</v>
      </c>
      <c r="S2" s="101"/>
      <c r="T2" s="101"/>
      <c r="U2" s="101">
        <v>29</v>
      </c>
      <c r="V2" s="101">
        <v>36</v>
      </c>
      <c r="W2" s="101">
        <v>36</v>
      </c>
      <c r="X2" s="101">
        <v>36</v>
      </c>
      <c r="Y2" s="101">
        <v>36</v>
      </c>
      <c r="Z2" s="101">
        <v>36</v>
      </c>
      <c r="AA2" s="101"/>
      <c r="AB2" s="101">
        <v>61</v>
      </c>
      <c r="AC2" s="101">
        <v>61</v>
      </c>
      <c r="AD2" s="101">
        <v>56</v>
      </c>
      <c r="AE2" s="101">
        <v>56</v>
      </c>
      <c r="AF2" s="101">
        <v>56</v>
      </c>
      <c r="AG2" s="101">
        <v>56</v>
      </c>
      <c r="AH2" s="101"/>
      <c r="AI2" s="101">
        <v>56</v>
      </c>
      <c r="AJ2" s="101">
        <v>76</v>
      </c>
      <c r="AK2" s="101">
        <v>76</v>
      </c>
      <c r="AL2" s="101">
        <v>76</v>
      </c>
      <c r="AM2" s="101">
        <v>84</v>
      </c>
      <c r="AN2" s="101">
        <v>84</v>
      </c>
      <c r="AO2" s="101"/>
      <c r="AP2" s="101">
        <v>79</v>
      </c>
      <c r="AQ2" s="101">
        <v>79</v>
      </c>
      <c r="AR2" s="101">
        <v>79</v>
      </c>
      <c r="AS2" s="101">
        <v>77</v>
      </c>
      <c r="AT2" s="101">
        <v>73</v>
      </c>
      <c r="AU2" s="101">
        <v>53</v>
      </c>
      <c r="AV2" s="101"/>
      <c r="AW2" s="101">
        <v>53</v>
      </c>
      <c r="AX2" s="101">
        <v>57</v>
      </c>
      <c r="AY2" s="101">
        <v>47</v>
      </c>
      <c r="AZ2" s="101">
        <v>63</v>
      </c>
      <c r="BA2" s="101">
        <v>63</v>
      </c>
      <c r="BB2" s="101">
        <v>57</v>
      </c>
      <c r="BC2" s="101"/>
      <c r="BD2" s="101">
        <v>57</v>
      </c>
      <c r="BE2" s="101">
        <v>57</v>
      </c>
      <c r="BF2" s="101">
        <v>57</v>
      </c>
      <c r="BG2" s="101">
        <v>74</v>
      </c>
      <c r="BH2" s="101">
        <v>64</v>
      </c>
      <c r="BI2" s="101">
        <v>64</v>
      </c>
      <c r="BJ2" s="101">
        <v>5</v>
      </c>
      <c r="BK2" s="101">
        <v>89</v>
      </c>
      <c r="BL2" s="101">
        <v>95</v>
      </c>
      <c r="BM2" s="101">
        <v>95</v>
      </c>
      <c r="BN2" s="101">
        <v>100</v>
      </c>
      <c r="BO2" s="101">
        <v>90</v>
      </c>
      <c r="BP2" s="101">
        <v>136</v>
      </c>
      <c r="BQ2" s="101">
        <v>5</v>
      </c>
      <c r="BR2" s="101">
        <v>132</v>
      </c>
      <c r="BS2" s="101">
        <v>127</v>
      </c>
      <c r="BT2" s="101">
        <v>142</v>
      </c>
      <c r="BU2" s="101">
        <v>121</v>
      </c>
      <c r="BV2" s="101">
        <v>124</v>
      </c>
      <c r="BW2" s="101">
        <v>142</v>
      </c>
      <c r="BX2" s="101"/>
      <c r="BY2" s="101">
        <v>151</v>
      </c>
      <c r="BZ2" s="101">
        <v>112</v>
      </c>
      <c r="CA2" s="101">
        <v>112</v>
      </c>
      <c r="CB2" s="101">
        <v>112</v>
      </c>
      <c r="CC2" s="101">
        <v>112</v>
      </c>
      <c r="CD2" s="101">
        <v>112</v>
      </c>
      <c r="CE2" s="101"/>
      <c r="CF2" s="101">
        <v>114</v>
      </c>
      <c r="CG2" s="101">
        <v>134</v>
      </c>
      <c r="CH2" s="101">
        <v>169</v>
      </c>
      <c r="CI2" s="101">
        <v>151</v>
      </c>
      <c r="CJ2" s="101">
        <v>106</v>
      </c>
      <c r="CK2" s="101">
        <v>140</v>
      </c>
      <c r="CL2" s="101"/>
      <c r="CM2" s="101">
        <v>115</v>
      </c>
      <c r="CN2" s="101">
        <v>142</v>
      </c>
      <c r="CO2" s="101">
        <v>160</v>
      </c>
      <c r="CP2" s="101">
        <v>180</v>
      </c>
      <c r="CQ2" s="101">
        <v>170</v>
      </c>
      <c r="CR2" s="101">
        <v>170</v>
      </c>
      <c r="CS2" s="101"/>
      <c r="CT2" s="101">
        <v>170</v>
      </c>
      <c r="CU2" s="101">
        <v>179</v>
      </c>
      <c r="CV2" s="101">
        <v>173</v>
      </c>
      <c r="CW2" s="101">
        <v>157</v>
      </c>
      <c r="CX2" s="101">
        <v>137</v>
      </c>
      <c r="CY2" s="101">
        <v>177</v>
      </c>
      <c r="CZ2" s="101">
        <v>10</v>
      </c>
      <c r="DA2" s="101">
        <v>98</v>
      </c>
      <c r="DB2" s="101">
        <v>118</v>
      </c>
      <c r="DC2" s="101">
        <v>98</v>
      </c>
      <c r="DD2" s="101">
        <v>83</v>
      </c>
      <c r="DE2" s="101">
        <v>83</v>
      </c>
      <c r="DF2" s="101">
        <v>128</v>
      </c>
      <c r="DG2" s="101"/>
      <c r="DH2" s="101">
        <v>128</v>
      </c>
      <c r="DI2" s="101">
        <v>124</v>
      </c>
      <c r="DJ2" s="101">
        <v>124</v>
      </c>
      <c r="DK2" s="101">
        <v>159</v>
      </c>
      <c r="DL2" s="101">
        <v>161</v>
      </c>
      <c r="DM2" s="101">
        <v>151</v>
      </c>
      <c r="DN2" s="101"/>
      <c r="DO2" s="101">
        <v>151</v>
      </c>
      <c r="DP2" s="101">
        <v>91</v>
      </c>
      <c r="DQ2" s="101">
        <v>123</v>
      </c>
      <c r="DR2" s="101">
        <v>107</v>
      </c>
      <c r="DS2" s="101">
        <v>74</v>
      </c>
      <c r="DT2" s="101">
        <v>68</v>
      </c>
      <c r="DU2" s="101"/>
      <c r="DV2" s="101">
        <v>70</v>
      </c>
      <c r="DW2" s="101">
        <v>70</v>
      </c>
      <c r="DX2" s="101">
        <v>70</v>
      </c>
      <c r="DY2" s="101">
        <v>70</v>
      </c>
      <c r="DZ2" s="101">
        <v>72</v>
      </c>
      <c r="EA2" s="101">
        <v>87</v>
      </c>
      <c r="EB2" s="101"/>
      <c r="EC2" s="101">
        <v>88</v>
      </c>
      <c r="ED2" s="101">
        <v>158</v>
      </c>
      <c r="EE2" s="101">
        <v>154</v>
      </c>
      <c r="EF2" s="101">
        <v>172</v>
      </c>
      <c r="EG2" s="101">
        <v>146</v>
      </c>
      <c r="EH2" s="101">
        <v>150</v>
      </c>
      <c r="EI2" s="101">
        <v>10</v>
      </c>
      <c r="EJ2" s="101">
        <v>163</v>
      </c>
      <c r="EK2" s="101">
        <v>153</v>
      </c>
      <c r="EL2" s="101">
        <v>205</v>
      </c>
      <c r="EM2" s="101">
        <v>181</v>
      </c>
      <c r="EN2" s="101">
        <v>270</v>
      </c>
      <c r="EO2" s="101">
        <v>326</v>
      </c>
      <c r="EP2" s="101">
        <v>10</v>
      </c>
      <c r="EQ2" s="101">
        <v>363</v>
      </c>
      <c r="ER2" s="101">
        <v>388</v>
      </c>
      <c r="ES2" s="101">
        <v>344</v>
      </c>
      <c r="ET2" s="101">
        <v>292</v>
      </c>
      <c r="EU2" s="101">
        <v>277</v>
      </c>
      <c r="EV2" s="101">
        <v>279</v>
      </c>
      <c r="EW2" s="101"/>
      <c r="EX2" s="101">
        <v>203</v>
      </c>
      <c r="EY2" s="101">
        <v>178</v>
      </c>
      <c r="EZ2" s="101">
        <v>191</v>
      </c>
      <c r="FA2" s="101">
        <v>210</v>
      </c>
      <c r="FB2" s="101">
        <v>212</v>
      </c>
      <c r="FC2" s="101">
        <v>172</v>
      </c>
      <c r="FD2" s="101"/>
      <c r="FE2" s="101">
        <v>163</v>
      </c>
      <c r="FF2" s="101">
        <v>132</v>
      </c>
      <c r="FG2" s="101">
        <v>159</v>
      </c>
      <c r="FH2" s="101">
        <v>155</v>
      </c>
      <c r="FI2" s="101">
        <v>116</v>
      </c>
      <c r="FJ2" s="101">
        <v>84</v>
      </c>
      <c r="FK2" s="101"/>
      <c r="FL2" s="101">
        <v>179</v>
      </c>
      <c r="FM2" s="101">
        <v>282</v>
      </c>
      <c r="FN2" s="101">
        <v>323</v>
      </c>
      <c r="FO2" s="101">
        <v>315</v>
      </c>
      <c r="FP2" s="101">
        <v>303</v>
      </c>
      <c r="FQ2" s="101">
        <v>280</v>
      </c>
      <c r="FR2" s="101"/>
      <c r="FS2" s="101">
        <v>295</v>
      </c>
      <c r="FT2" s="101">
        <v>300</v>
      </c>
      <c r="FU2" s="101">
        <v>317</v>
      </c>
      <c r="FV2" s="101">
        <v>292</v>
      </c>
      <c r="FW2" s="101">
        <v>307</v>
      </c>
      <c r="FX2" s="101">
        <v>349</v>
      </c>
      <c r="FY2" s="101"/>
      <c r="FZ2" s="101">
        <v>341</v>
      </c>
      <c r="GA2" s="101">
        <v>328</v>
      </c>
      <c r="GB2" s="101">
        <v>290</v>
      </c>
      <c r="GC2" s="101">
        <v>224</v>
      </c>
      <c r="GD2" s="101">
        <v>286</v>
      </c>
      <c r="GE2" s="101">
        <v>407</v>
      </c>
      <c r="GF2" s="101"/>
      <c r="GG2" s="101">
        <v>491</v>
      </c>
      <c r="GH2" s="101">
        <v>493</v>
      </c>
      <c r="GI2" s="101">
        <v>578</v>
      </c>
      <c r="GJ2" s="101">
        <v>578</v>
      </c>
      <c r="GK2" s="101">
        <v>679</v>
      </c>
      <c r="GL2" s="101">
        <v>681</v>
      </c>
      <c r="GM2" s="101"/>
      <c r="GN2" s="101">
        <v>675</v>
      </c>
      <c r="GO2" s="101">
        <v>534</v>
      </c>
      <c r="GP2" s="101">
        <v>489</v>
      </c>
      <c r="GQ2" s="101">
        <v>476</v>
      </c>
      <c r="GR2" s="101">
        <v>488</v>
      </c>
      <c r="GS2" s="101">
        <v>502</v>
      </c>
      <c r="GT2" s="101"/>
      <c r="GU2" s="101">
        <v>445</v>
      </c>
      <c r="GV2" s="101">
        <v>322</v>
      </c>
      <c r="GW2" s="101">
        <v>321</v>
      </c>
      <c r="GX2" s="101">
        <v>335</v>
      </c>
      <c r="GY2" s="101">
        <v>326</v>
      </c>
      <c r="GZ2" s="101">
        <v>274</v>
      </c>
      <c r="HA2" s="101"/>
      <c r="HB2" s="101">
        <v>224</v>
      </c>
      <c r="HC2" s="101">
        <v>330</v>
      </c>
      <c r="HD2" s="101">
        <v>376</v>
      </c>
      <c r="HE2" s="101">
        <v>395</v>
      </c>
      <c r="HF2" s="101">
        <v>406</v>
      </c>
      <c r="HG2" s="101">
        <v>510</v>
      </c>
      <c r="HH2" s="101"/>
      <c r="HI2" s="101">
        <v>546</v>
      </c>
      <c r="HJ2" s="101">
        <v>532</v>
      </c>
      <c r="HK2" s="101">
        <v>497</v>
      </c>
      <c r="HL2" s="101">
        <v>365</v>
      </c>
      <c r="HM2" s="101">
        <v>301</v>
      </c>
      <c r="HN2" s="101">
        <v>287</v>
      </c>
      <c r="HO2" s="101"/>
      <c r="HP2" s="101">
        <v>355</v>
      </c>
      <c r="HQ2" s="101">
        <v>281</v>
      </c>
      <c r="HR2" s="101">
        <v>278</v>
      </c>
      <c r="HS2" s="101">
        <v>270</v>
      </c>
      <c r="HT2" s="101">
        <v>320</v>
      </c>
      <c r="HU2" s="101">
        <v>391</v>
      </c>
      <c r="HV2" s="101"/>
      <c r="HW2" s="101"/>
      <c r="HX2" s="101"/>
      <c r="HY2" s="101"/>
      <c r="HZ2" s="101"/>
      <c r="IA2" s="101">
        <v>351</v>
      </c>
      <c r="IB2" s="101">
        <v>320</v>
      </c>
      <c r="IC2" s="101"/>
      <c r="ID2" s="101">
        <v>245</v>
      </c>
      <c r="IE2" s="101">
        <v>347</v>
      </c>
      <c r="IF2" s="101">
        <v>432</v>
      </c>
      <c r="IG2" s="101">
        <v>482</v>
      </c>
      <c r="IH2" s="101">
        <v>508</v>
      </c>
      <c r="II2" s="101">
        <v>520</v>
      </c>
      <c r="IJ2" s="101"/>
      <c r="IK2" s="101">
        <v>529</v>
      </c>
      <c r="IL2" s="101">
        <v>522</v>
      </c>
      <c r="IM2" s="101">
        <v>550</v>
      </c>
      <c r="IN2" s="101">
        <v>470</v>
      </c>
      <c r="IO2" s="101">
        <v>425</v>
      </c>
      <c r="IP2" s="101">
        <v>415</v>
      </c>
      <c r="IQ2" s="101"/>
      <c r="IR2" s="101">
        <v>418</v>
      </c>
      <c r="IS2" s="101">
        <v>420</v>
      </c>
      <c r="IT2" s="101">
        <v>478</v>
      </c>
      <c r="IU2" s="101">
        <v>476</v>
      </c>
      <c r="IV2" s="101">
        <v>430</v>
      </c>
      <c r="IW2" s="101">
        <v>464</v>
      </c>
      <c r="IX2" s="101"/>
      <c r="IY2" s="101">
        <v>453</v>
      </c>
      <c r="IZ2" s="101">
        <v>437</v>
      </c>
      <c r="JA2" s="101">
        <v>403</v>
      </c>
      <c r="JB2" s="101">
        <v>482</v>
      </c>
      <c r="JC2" s="101">
        <v>540</v>
      </c>
      <c r="JD2" s="101">
        <v>580</v>
      </c>
      <c r="JE2" s="101"/>
      <c r="JF2" s="101">
        <v>634</v>
      </c>
      <c r="JG2" s="101">
        <v>622</v>
      </c>
      <c r="JH2" s="101">
        <v>616</v>
      </c>
      <c r="JI2" s="101">
        <v>596</v>
      </c>
      <c r="JJ2" s="101">
        <v>628</v>
      </c>
      <c r="JK2" s="101">
        <v>504</v>
      </c>
      <c r="JL2" s="101"/>
      <c r="JM2" s="101">
        <v>455</v>
      </c>
      <c r="JN2" s="101">
        <v>414</v>
      </c>
      <c r="JO2" s="101">
        <v>402</v>
      </c>
      <c r="JP2" s="101">
        <v>402</v>
      </c>
      <c r="JQ2" s="101">
        <v>455</v>
      </c>
      <c r="JR2" s="101">
        <v>461</v>
      </c>
      <c r="JS2" s="101"/>
      <c r="JT2" s="101">
        <v>511</v>
      </c>
      <c r="JU2" s="101">
        <v>617</v>
      </c>
      <c r="JV2" s="101">
        <v>597</v>
      </c>
      <c r="JW2" s="101">
        <v>611</v>
      </c>
      <c r="JX2" s="101">
        <v>612</v>
      </c>
      <c r="JY2" s="101">
        <v>609</v>
      </c>
      <c r="JZ2" s="101"/>
      <c r="KA2" s="101">
        <v>628</v>
      </c>
      <c r="KB2" s="101">
        <v>550</v>
      </c>
      <c r="KC2" s="101">
        <v>604</v>
      </c>
      <c r="KD2" s="101">
        <v>593</v>
      </c>
      <c r="KE2" s="101">
        <v>594</v>
      </c>
      <c r="KF2" s="101">
        <v>579</v>
      </c>
      <c r="KG2" s="101"/>
      <c r="KH2" s="101">
        <v>593</v>
      </c>
      <c r="KI2" s="101">
        <v>570</v>
      </c>
      <c r="KJ2" s="101">
        <v>573</v>
      </c>
      <c r="KK2" s="101">
        <v>536</v>
      </c>
      <c r="KL2" s="101"/>
      <c r="KM2" s="101"/>
      <c r="KN2" s="101"/>
      <c r="KO2" s="101"/>
      <c r="KP2" s="101"/>
      <c r="KQ2" s="101"/>
      <c r="KR2" s="101">
        <v>501</v>
      </c>
      <c r="KS2" s="101">
        <v>494</v>
      </c>
      <c r="KT2" s="101">
        <v>534</v>
      </c>
      <c r="KU2" s="101"/>
      <c r="KV2" s="101">
        <v>587</v>
      </c>
      <c r="KW2" s="101">
        <v>583</v>
      </c>
      <c r="KX2" s="101">
        <v>608</v>
      </c>
      <c r="KY2" s="101">
        <v>591</v>
      </c>
      <c r="KZ2" s="101">
        <v>663</v>
      </c>
      <c r="LA2" s="101">
        <v>665</v>
      </c>
      <c r="LB2" s="101"/>
      <c r="LC2" s="101">
        <v>678</v>
      </c>
      <c r="LD2" s="101">
        <v>674</v>
      </c>
      <c r="LE2" s="101">
        <v>751</v>
      </c>
      <c r="LF2" s="101">
        <v>839</v>
      </c>
      <c r="LG2" s="101">
        <v>881</v>
      </c>
      <c r="LH2" s="101">
        <v>893</v>
      </c>
      <c r="LI2" s="101"/>
      <c r="LJ2" s="101">
        <v>896</v>
      </c>
      <c r="LK2" s="101">
        <v>925</v>
      </c>
      <c r="LL2" s="101">
        <v>970</v>
      </c>
      <c r="LM2" s="101">
        <v>939</v>
      </c>
      <c r="LN2" s="101">
        <v>942</v>
      </c>
      <c r="LO2" s="101">
        <v>960</v>
      </c>
      <c r="LP2" s="101"/>
      <c r="LQ2" s="101">
        <v>936</v>
      </c>
      <c r="LR2" s="101">
        <v>938</v>
      </c>
      <c r="LS2" s="101">
        <v>931</v>
      </c>
      <c r="LT2" s="101">
        <v>933</v>
      </c>
      <c r="LU2" s="101">
        <v>1018</v>
      </c>
      <c r="LV2" s="101">
        <v>982</v>
      </c>
      <c r="LW2" s="101">
        <v>4</v>
      </c>
      <c r="LX2" s="101">
        <v>1088</v>
      </c>
      <c r="LY2" s="101">
        <v>1096</v>
      </c>
      <c r="LZ2" s="101">
        <v>1089</v>
      </c>
      <c r="MA2" s="101">
        <v>1114</v>
      </c>
      <c r="MB2" s="101">
        <v>1108</v>
      </c>
      <c r="MC2" s="101">
        <v>1081</v>
      </c>
      <c r="MD2" s="101">
        <v>4</v>
      </c>
      <c r="ME2" s="101">
        <v>1086</v>
      </c>
      <c r="MF2" s="101">
        <v>1228</v>
      </c>
      <c r="MG2" s="101">
        <v>1346</v>
      </c>
      <c r="MH2" s="101">
        <v>1354</v>
      </c>
      <c r="MI2" s="101">
        <v>1340</v>
      </c>
      <c r="MJ2" s="101">
        <v>1379</v>
      </c>
      <c r="MK2" s="101">
        <v>30</v>
      </c>
      <c r="ML2" s="101">
        <v>1379</v>
      </c>
      <c r="MM2" s="101">
        <v>1392</v>
      </c>
      <c r="MN2" s="101">
        <v>1385</v>
      </c>
      <c r="MO2" s="101">
        <v>1330</v>
      </c>
      <c r="MP2" s="101">
        <v>1282</v>
      </c>
      <c r="MQ2" s="101">
        <v>1303</v>
      </c>
      <c r="MR2" s="101">
        <v>30</v>
      </c>
      <c r="MS2" s="101">
        <v>1361</v>
      </c>
      <c r="MT2" s="101">
        <v>1315</v>
      </c>
      <c r="MU2" s="101">
        <v>1387</v>
      </c>
      <c r="MV2" s="101">
        <v>1402</v>
      </c>
      <c r="MW2" s="101">
        <v>1322</v>
      </c>
      <c r="MX2" s="101">
        <v>1285</v>
      </c>
      <c r="MY2" s="101">
        <v>38</v>
      </c>
      <c r="MZ2" s="101">
        <v>1256</v>
      </c>
      <c r="NA2" s="101">
        <v>1198</v>
      </c>
      <c r="NB2" s="101">
        <v>1212</v>
      </c>
      <c r="NC2" s="101">
        <v>1217</v>
      </c>
      <c r="ND2" s="101">
        <v>1278</v>
      </c>
      <c r="NE2" s="101">
        <v>1353</v>
      </c>
      <c r="NF2" s="101">
        <v>38</v>
      </c>
      <c r="NG2" s="101">
        <v>1412</v>
      </c>
      <c r="NH2" s="101">
        <v>1415</v>
      </c>
      <c r="NI2" s="101">
        <v>1486</v>
      </c>
      <c r="NJ2" s="101">
        <v>1477</v>
      </c>
      <c r="NK2" s="101">
        <v>1510</v>
      </c>
      <c r="NL2" s="101">
        <v>1507</v>
      </c>
      <c r="NM2" s="101">
        <v>62</v>
      </c>
      <c r="NN2" s="101">
        <v>1469</v>
      </c>
      <c r="NO2" s="101">
        <v>1458</v>
      </c>
      <c r="NP2" s="101">
        <v>1505</v>
      </c>
      <c r="NQ2" s="101">
        <v>1480</v>
      </c>
      <c r="NR2" s="101">
        <v>1567</v>
      </c>
      <c r="NS2" s="101">
        <v>1533</v>
      </c>
      <c r="NT2" s="101">
        <v>20</v>
      </c>
      <c r="NU2" s="101">
        <v>1565</v>
      </c>
      <c r="NV2" s="101">
        <v>1547</v>
      </c>
      <c r="NW2" s="101">
        <v>1540</v>
      </c>
      <c r="NX2" s="101">
        <v>1534</v>
      </c>
      <c r="NY2" s="101">
        <v>1516</v>
      </c>
      <c r="NZ2" s="101">
        <v>1479</v>
      </c>
      <c r="OA2" s="101">
        <v>40</v>
      </c>
      <c r="OB2" s="101">
        <v>1518</v>
      </c>
      <c r="OC2" s="101">
        <v>1547</v>
      </c>
      <c r="OD2" s="101">
        <v>1637</v>
      </c>
      <c r="OE2" s="101">
        <v>1693</v>
      </c>
      <c r="OF2" s="101">
        <v>1713</v>
      </c>
      <c r="OG2" s="101">
        <v>1690</v>
      </c>
      <c r="OH2" s="101">
        <v>20</v>
      </c>
      <c r="OI2" s="101">
        <v>1741</v>
      </c>
      <c r="OJ2" s="101">
        <v>1647</v>
      </c>
      <c r="OK2" s="101">
        <v>1594</v>
      </c>
      <c r="OL2" s="101">
        <v>1614</v>
      </c>
      <c r="OM2" s="101">
        <v>1677</v>
      </c>
      <c r="ON2" s="101">
        <v>1699</v>
      </c>
      <c r="OO2" s="101">
        <v>72</v>
      </c>
      <c r="OP2" s="101">
        <v>1780</v>
      </c>
      <c r="OQ2" s="101">
        <v>1778</v>
      </c>
      <c r="OR2" s="101">
        <v>1839</v>
      </c>
      <c r="OS2" s="101">
        <v>1753</v>
      </c>
      <c r="OT2" s="101">
        <v>1757</v>
      </c>
      <c r="OU2" s="101">
        <v>1678</v>
      </c>
      <c r="OV2" s="101">
        <v>86</v>
      </c>
      <c r="OW2" s="101">
        <v>1714</v>
      </c>
      <c r="OX2" s="101">
        <v>1773</v>
      </c>
      <c r="OY2" s="101">
        <v>1846</v>
      </c>
      <c r="OZ2" s="101">
        <v>1786</v>
      </c>
      <c r="PA2" s="101">
        <v>1801</v>
      </c>
      <c r="PB2" s="101">
        <v>1865</v>
      </c>
      <c r="PC2" s="101">
        <v>62</v>
      </c>
      <c r="PD2" s="101">
        <v>1848</v>
      </c>
      <c r="PE2" s="101">
        <v>1794</v>
      </c>
      <c r="PF2" s="101">
        <v>1758</v>
      </c>
      <c r="PG2" s="101">
        <v>1790</v>
      </c>
      <c r="PH2" s="101">
        <v>1827</v>
      </c>
      <c r="PI2" s="101">
        <v>1903</v>
      </c>
      <c r="PJ2" s="101">
        <v>100</v>
      </c>
      <c r="PK2" s="101">
        <v>1983</v>
      </c>
      <c r="PL2" s="101">
        <v>1987</v>
      </c>
      <c r="PM2" s="101">
        <v>1853</v>
      </c>
      <c r="PN2" s="101">
        <v>1888</v>
      </c>
      <c r="PO2" s="101">
        <v>1792</v>
      </c>
      <c r="PP2" s="101">
        <v>1729</v>
      </c>
      <c r="PQ2" s="101">
        <v>56</v>
      </c>
      <c r="PR2" s="101">
        <v>1707</v>
      </c>
      <c r="PS2" s="101">
        <v>1777</v>
      </c>
      <c r="PT2" s="101">
        <v>1838</v>
      </c>
      <c r="PU2" s="101">
        <v>1901</v>
      </c>
      <c r="PV2" s="101">
        <v>2030</v>
      </c>
      <c r="PW2" s="101">
        <v>2023</v>
      </c>
      <c r="PX2" s="101">
        <v>45</v>
      </c>
      <c r="PY2" s="101">
        <v>1979</v>
      </c>
      <c r="PZ2" s="101">
        <v>1830</v>
      </c>
      <c r="QA2" s="101">
        <v>1842</v>
      </c>
      <c r="QB2" s="101">
        <v>1748</v>
      </c>
      <c r="QC2" s="101">
        <v>1714</v>
      </c>
      <c r="QD2" s="101">
        <v>1955</v>
      </c>
      <c r="QE2" s="101">
        <v>55</v>
      </c>
      <c r="QF2" s="101">
        <v>1959</v>
      </c>
      <c r="QG2" s="101">
        <v>1934</v>
      </c>
      <c r="QH2" s="101">
        <v>1986</v>
      </c>
      <c r="QI2" s="101">
        <v>2072</v>
      </c>
      <c r="QJ2" s="101">
        <v>2063</v>
      </c>
      <c r="QK2" s="101">
        <v>2018</v>
      </c>
      <c r="QL2" s="101">
        <v>110</v>
      </c>
      <c r="QM2" s="101">
        <v>1980</v>
      </c>
      <c r="QN2" s="101">
        <v>1846</v>
      </c>
      <c r="QO2" s="101">
        <v>1796</v>
      </c>
      <c r="QP2" s="101">
        <v>1869</v>
      </c>
      <c r="QQ2" s="101">
        <v>1884</v>
      </c>
      <c r="QR2" s="101">
        <v>1865</v>
      </c>
      <c r="QS2" s="101">
        <v>139</v>
      </c>
      <c r="QT2" s="101">
        <v>1858</v>
      </c>
      <c r="QU2" s="101">
        <v>1868</v>
      </c>
      <c r="QV2" s="101">
        <v>1720</v>
      </c>
      <c r="QW2" s="101">
        <v>1683</v>
      </c>
      <c r="QX2" s="101">
        <v>1676</v>
      </c>
      <c r="QY2" s="101">
        <v>1568</v>
      </c>
      <c r="QZ2" s="101">
        <v>91</v>
      </c>
      <c r="RA2" s="101">
        <v>1545</v>
      </c>
      <c r="RB2" s="101">
        <v>1427</v>
      </c>
      <c r="RC2" s="101">
        <v>1447</v>
      </c>
      <c r="RD2" s="101">
        <v>1381</v>
      </c>
      <c r="RE2" s="101">
        <v>1331</v>
      </c>
      <c r="RF2" s="101">
        <v>1384</v>
      </c>
      <c r="RG2" s="101">
        <v>100</v>
      </c>
      <c r="RH2" s="101">
        <v>1218</v>
      </c>
      <c r="RI2" s="101">
        <v>1152</v>
      </c>
      <c r="RJ2" s="101">
        <v>1065</v>
      </c>
      <c r="RK2" s="101">
        <v>1021</v>
      </c>
      <c r="RL2" s="101">
        <v>1009</v>
      </c>
      <c r="RM2" s="101">
        <v>1004</v>
      </c>
      <c r="RN2" s="101">
        <v>59</v>
      </c>
      <c r="RO2" s="101">
        <v>994</v>
      </c>
      <c r="RP2" s="101">
        <v>936</v>
      </c>
      <c r="RQ2" s="101">
        <v>966</v>
      </c>
      <c r="RR2" s="101">
        <v>994</v>
      </c>
      <c r="RS2" s="101">
        <v>861</v>
      </c>
      <c r="RT2" s="101">
        <v>842</v>
      </c>
      <c r="RU2" s="101">
        <v>88</v>
      </c>
      <c r="RV2" s="101">
        <v>846</v>
      </c>
      <c r="RW2" s="101">
        <v>826</v>
      </c>
      <c r="RX2" s="101">
        <v>844</v>
      </c>
      <c r="RY2" s="101">
        <v>874</v>
      </c>
      <c r="RZ2" s="101">
        <v>909</v>
      </c>
      <c r="SA2" s="101">
        <v>901</v>
      </c>
      <c r="SB2" s="101">
        <v>98</v>
      </c>
      <c r="SC2" s="101">
        <v>932</v>
      </c>
      <c r="SD2" s="101">
        <v>976</v>
      </c>
      <c r="SE2" s="101">
        <v>922</v>
      </c>
      <c r="SF2" s="101">
        <v>1037</v>
      </c>
      <c r="SG2" s="101">
        <v>1110</v>
      </c>
      <c r="SH2" s="101">
        <v>1085</v>
      </c>
      <c r="SI2" s="101">
        <v>89</v>
      </c>
      <c r="SJ2" s="101">
        <v>993</v>
      </c>
      <c r="SK2" s="101">
        <v>1001</v>
      </c>
      <c r="SL2" s="101">
        <v>1033</v>
      </c>
      <c r="SM2" s="101">
        <v>1027</v>
      </c>
      <c r="SN2" s="101">
        <v>1020</v>
      </c>
      <c r="SO2" s="101">
        <v>1005</v>
      </c>
      <c r="SP2" s="101">
        <v>97</v>
      </c>
      <c r="SQ2" s="101">
        <v>982</v>
      </c>
      <c r="SR2" s="101">
        <v>982</v>
      </c>
      <c r="SS2" s="101">
        <v>1038</v>
      </c>
      <c r="ST2" s="101">
        <v>999</v>
      </c>
      <c r="SU2" s="101">
        <v>915</v>
      </c>
      <c r="SV2" s="101">
        <v>913</v>
      </c>
      <c r="SW2" s="101">
        <v>102</v>
      </c>
      <c r="SX2" s="101">
        <v>937</v>
      </c>
      <c r="SY2" s="101">
        <v>879</v>
      </c>
      <c r="SZ2" s="101">
        <v>887</v>
      </c>
      <c r="TA2" s="101">
        <v>874</v>
      </c>
      <c r="TB2" s="101">
        <v>858</v>
      </c>
      <c r="TC2" s="101">
        <v>810</v>
      </c>
      <c r="TD2" s="101">
        <v>96</v>
      </c>
      <c r="TE2" s="101">
        <v>826</v>
      </c>
      <c r="TF2" s="101">
        <v>828</v>
      </c>
      <c r="TG2" s="101">
        <v>751</v>
      </c>
      <c r="TH2" s="101">
        <v>714</v>
      </c>
      <c r="TI2" s="101">
        <v>756</v>
      </c>
      <c r="TJ2" s="101">
        <v>768</v>
      </c>
      <c r="TK2" s="101">
        <v>40</v>
      </c>
      <c r="TL2" s="101">
        <v>739</v>
      </c>
      <c r="TM2" s="101">
        <v>715</v>
      </c>
      <c r="TN2" s="101">
        <v>720</v>
      </c>
      <c r="TO2" s="101">
        <v>775</v>
      </c>
      <c r="TP2" s="101">
        <v>815</v>
      </c>
      <c r="TQ2" s="101">
        <v>801</v>
      </c>
      <c r="TR2" s="101">
        <v>28</v>
      </c>
      <c r="TS2" s="101">
        <v>783</v>
      </c>
      <c r="TT2" s="101">
        <v>787</v>
      </c>
      <c r="TU2" s="101">
        <v>709</v>
      </c>
      <c r="TV2" s="101">
        <v>701</v>
      </c>
      <c r="TW2" s="101">
        <v>678</v>
      </c>
      <c r="TX2" s="101">
        <v>666</v>
      </c>
      <c r="TY2" s="101">
        <v>20</v>
      </c>
      <c r="TZ2" s="101">
        <v>630</v>
      </c>
      <c r="UA2" s="101">
        <v>560</v>
      </c>
      <c r="UB2" s="101">
        <v>498</v>
      </c>
      <c r="UC2" s="101">
        <v>476</v>
      </c>
      <c r="UD2" s="101">
        <v>449</v>
      </c>
      <c r="UE2" s="101">
        <v>416</v>
      </c>
      <c r="UF2" s="101">
        <v>10</v>
      </c>
      <c r="UG2" s="101">
        <v>356</v>
      </c>
      <c r="UH2" s="101">
        <v>332</v>
      </c>
      <c r="UI2" s="101">
        <v>323</v>
      </c>
      <c r="UJ2" s="101">
        <v>323</v>
      </c>
      <c r="UK2" s="101">
        <v>307</v>
      </c>
      <c r="UL2" s="101">
        <v>291</v>
      </c>
      <c r="UM2" s="101"/>
      <c r="UN2" s="101">
        <v>267</v>
      </c>
      <c r="UO2" s="101">
        <v>247</v>
      </c>
      <c r="UP2" s="101">
        <v>248</v>
      </c>
      <c r="UQ2" s="101">
        <v>235</v>
      </c>
      <c r="UR2" s="101">
        <v>191</v>
      </c>
      <c r="US2" s="101">
        <v>196</v>
      </c>
      <c r="UT2" s="101"/>
      <c r="UU2" s="101">
        <v>196</v>
      </c>
      <c r="UV2" s="101">
        <v>197</v>
      </c>
      <c r="UW2" s="101">
        <v>202</v>
      </c>
      <c r="UX2" s="101">
        <v>192</v>
      </c>
      <c r="UY2" s="101">
        <v>188</v>
      </c>
      <c r="UZ2" s="101">
        <v>172</v>
      </c>
      <c r="VA2" s="101"/>
      <c r="VB2" s="101">
        <v>170</v>
      </c>
      <c r="VC2" s="101">
        <v>170</v>
      </c>
      <c r="VD2" s="101">
        <v>166</v>
      </c>
      <c r="VE2" s="101">
        <v>166</v>
      </c>
      <c r="VF2" s="101">
        <v>166</v>
      </c>
      <c r="VG2" s="101">
        <v>162</v>
      </c>
      <c r="VH2" s="101">
        <v>10</v>
      </c>
      <c r="VI2" s="101">
        <v>146</v>
      </c>
      <c r="VJ2" s="101">
        <v>146</v>
      </c>
      <c r="VK2" s="101">
        <v>139</v>
      </c>
      <c r="VL2" s="101">
        <v>139</v>
      </c>
      <c r="VM2" s="101">
        <v>138</v>
      </c>
      <c r="VN2" s="101">
        <v>14</v>
      </c>
      <c r="VO2" s="101">
        <v>14</v>
      </c>
      <c r="VP2" s="101">
        <v>14</v>
      </c>
      <c r="VQ2" s="101">
        <v>14</v>
      </c>
      <c r="VR2" s="101">
        <v>4</v>
      </c>
      <c r="VS2" s="101">
        <v>123</v>
      </c>
      <c r="VT2" s="101">
        <v>119</v>
      </c>
      <c r="VU2" s="101">
        <v>119</v>
      </c>
      <c r="VV2" s="101">
        <v>4</v>
      </c>
      <c r="VW2" s="101">
        <v>119</v>
      </c>
      <c r="VX2" s="101">
        <v>115</v>
      </c>
      <c r="VY2" s="101">
        <v>95</v>
      </c>
      <c r="VZ2" s="101">
        <v>95</v>
      </c>
      <c r="WA2" s="101">
        <v>95</v>
      </c>
      <c r="WB2" s="101">
        <v>95</v>
      </c>
      <c r="WC2" s="101"/>
      <c r="WD2" s="101">
        <v>95</v>
      </c>
      <c r="WE2" s="101">
        <v>93</v>
      </c>
      <c r="WF2" s="101">
        <v>111</v>
      </c>
      <c r="WG2" s="101">
        <v>104</v>
      </c>
      <c r="WH2" s="101">
        <v>104</v>
      </c>
      <c r="WI2" s="101">
        <v>102</v>
      </c>
      <c r="WJ2" s="101"/>
      <c r="WK2" s="101">
        <v>94</v>
      </c>
      <c r="WL2" s="101">
        <v>94</v>
      </c>
      <c r="WM2" s="101">
        <v>57</v>
      </c>
      <c r="WN2" s="101">
        <v>57</v>
      </c>
      <c r="WO2" s="101">
        <v>57</v>
      </c>
      <c r="WP2" s="101">
        <v>57</v>
      </c>
      <c r="WQ2" s="101"/>
      <c r="WR2" s="101">
        <v>50</v>
      </c>
      <c r="WS2" s="101">
        <v>50</v>
      </c>
      <c r="WT2" s="101">
        <v>53</v>
      </c>
      <c r="WU2" s="101">
        <v>63</v>
      </c>
      <c r="WV2" s="101">
        <v>63</v>
      </c>
      <c r="WW2" s="101">
        <v>46</v>
      </c>
      <c r="WX2" s="101"/>
      <c r="WY2" s="101">
        <v>46</v>
      </c>
      <c r="WZ2" s="101">
        <v>46</v>
      </c>
      <c r="XA2" s="101">
        <v>45</v>
      </c>
      <c r="XB2" s="101">
        <v>44</v>
      </c>
      <c r="XC2" s="101">
        <v>44</v>
      </c>
      <c r="XD2" s="101">
        <v>38</v>
      </c>
      <c r="XE2" s="101"/>
      <c r="XF2" s="101">
        <v>38</v>
      </c>
      <c r="XG2" s="101">
        <v>45</v>
      </c>
      <c r="XH2" s="101">
        <v>43</v>
      </c>
      <c r="XI2" s="101">
        <v>22</v>
      </c>
      <c r="XJ2" s="101">
        <v>22</v>
      </c>
      <c r="XK2" s="101">
        <v>22</v>
      </c>
      <c r="XL2" s="101"/>
      <c r="XM2" s="101">
        <v>22</v>
      </c>
      <c r="XN2" s="101">
        <v>20</v>
      </c>
      <c r="XO2" s="101">
        <v>20</v>
      </c>
      <c r="XP2" s="101">
        <v>20</v>
      </c>
      <c r="XQ2" s="101">
        <v>20</v>
      </c>
      <c r="XR2" s="101">
        <v>23</v>
      </c>
      <c r="XS2" s="101"/>
      <c r="XT2" s="101">
        <v>23</v>
      </c>
      <c r="XU2" s="101">
        <v>23</v>
      </c>
      <c r="XV2" s="101">
        <v>19</v>
      </c>
      <c r="XW2" s="101">
        <v>19</v>
      </c>
      <c r="XX2" s="101">
        <v>9</v>
      </c>
      <c r="XY2" s="101"/>
      <c r="XZ2" s="101"/>
      <c r="YA2" s="101"/>
      <c r="YB2" s="101"/>
      <c r="YC2" s="101"/>
      <c r="YD2" s="101">
        <v>9</v>
      </c>
      <c r="YE2" s="101">
        <v>9</v>
      </c>
      <c r="YF2" s="101">
        <v>9</v>
      </c>
      <c r="YG2" s="101"/>
      <c r="YH2" s="101">
        <v>8</v>
      </c>
      <c r="YI2" s="101">
        <v>4</v>
      </c>
      <c r="YJ2" s="101">
        <v>4</v>
      </c>
      <c r="YK2" s="101">
        <v>4</v>
      </c>
      <c r="YL2" s="101">
        <v>4</v>
      </c>
      <c r="YM2" s="101">
        <v>4</v>
      </c>
      <c r="YN2" s="101"/>
      <c r="YO2" s="101">
        <v>4</v>
      </c>
      <c r="YP2" s="101">
        <v>4</v>
      </c>
      <c r="YQ2" s="101">
        <v>4</v>
      </c>
      <c r="YR2" s="101"/>
      <c r="YS2" s="101"/>
      <c r="YT2" s="101"/>
      <c r="YU2" s="101"/>
      <c r="YV2" s="101"/>
      <c r="YW2" s="101"/>
      <c r="YX2" s="101"/>
      <c r="YY2" s="101"/>
      <c r="YZ2" s="101"/>
      <c r="ZA2" s="101"/>
      <c r="ZB2" s="101"/>
      <c r="ZC2" s="101"/>
      <c r="ZD2" s="101"/>
      <c r="ZE2" s="101"/>
      <c r="ZF2" s="101"/>
      <c r="ZG2" s="101"/>
      <c r="ZH2" s="101"/>
    </row>
    <row r="3" spans="1:684">
      <c r="A3" s="75" t="s">
        <v>41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>
        <v>10</v>
      </c>
      <c r="AK3" s="101">
        <v>10</v>
      </c>
      <c r="AL3" s="101">
        <v>10</v>
      </c>
      <c r="AM3" s="101">
        <v>10</v>
      </c>
      <c r="AN3" s="101">
        <v>10</v>
      </c>
      <c r="AO3" s="101"/>
      <c r="AP3" s="101">
        <v>10</v>
      </c>
      <c r="AQ3" s="101">
        <v>10</v>
      </c>
      <c r="AR3" s="101">
        <v>10</v>
      </c>
      <c r="AS3" s="101">
        <v>10</v>
      </c>
      <c r="AT3" s="101">
        <v>13</v>
      </c>
      <c r="AU3" s="101">
        <v>3</v>
      </c>
      <c r="AV3" s="101"/>
      <c r="AW3" s="101">
        <v>3</v>
      </c>
      <c r="AX3" s="101">
        <v>3</v>
      </c>
      <c r="AY3" s="101">
        <v>3</v>
      </c>
      <c r="AZ3" s="101">
        <v>11</v>
      </c>
      <c r="BA3" s="101">
        <v>11</v>
      </c>
      <c r="BB3" s="101">
        <v>8</v>
      </c>
      <c r="BC3" s="101"/>
      <c r="BD3" s="101">
        <v>8</v>
      </c>
      <c r="BE3" s="101">
        <v>8</v>
      </c>
      <c r="BF3" s="101">
        <v>8</v>
      </c>
      <c r="BG3" s="101">
        <v>8</v>
      </c>
      <c r="BH3" s="101">
        <v>8</v>
      </c>
      <c r="BI3" s="101">
        <v>8</v>
      </c>
      <c r="BJ3" s="101"/>
      <c r="BK3" s="101">
        <v>8</v>
      </c>
      <c r="BL3" s="101">
        <v>11</v>
      </c>
      <c r="BM3" s="101">
        <v>11</v>
      </c>
      <c r="BN3" s="101">
        <v>3</v>
      </c>
      <c r="BO3" s="101">
        <v>3</v>
      </c>
      <c r="BP3" s="101">
        <v>3</v>
      </c>
      <c r="BQ3" s="101"/>
      <c r="BR3" s="101">
        <v>3</v>
      </c>
      <c r="BS3" s="101">
        <v>3</v>
      </c>
      <c r="BT3" s="101"/>
      <c r="BU3" s="101"/>
      <c r="BV3" s="101">
        <v>9</v>
      </c>
      <c r="BW3" s="101">
        <v>9</v>
      </c>
      <c r="BX3" s="101"/>
      <c r="BY3" s="101">
        <v>19</v>
      </c>
      <c r="BZ3" s="101">
        <v>19</v>
      </c>
      <c r="CA3" s="101">
        <v>19</v>
      </c>
      <c r="CB3" s="101">
        <v>19</v>
      </c>
      <c r="CC3" s="101">
        <v>19</v>
      </c>
      <c r="CD3" s="101">
        <v>19</v>
      </c>
      <c r="CE3" s="101"/>
      <c r="CF3" s="101">
        <v>19</v>
      </c>
      <c r="CG3" s="101">
        <v>29</v>
      </c>
      <c r="CH3" s="101">
        <v>29</v>
      </c>
      <c r="CI3" s="101">
        <v>20</v>
      </c>
      <c r="CJ3" s="101">
        <v>10</v>
      </c>
      <c r="CK3" s="101">
        <v>10</v>
      </c>
      <c r="CL3" s="101"/>
      <c r="CM3" s="101">
        <v>20</v>
      </c>
      <c r="CN3" s="101">
        <v>30</v>
      </c>
      <c r="CO3" s="101">
        <v>38</v>
      </c>
      <c r="CP3" s="101">
        <v>48</v>
      </c>
      <c r="CQ3" s="101">
        <v>48</v>
      </c>
      <c r="CR3" s="101">
        <v>48</v>
      </c>
      <c r="CS3" s="101"/>
      <c r="CT3" s="101">
        <v>48</v>
      </c>
      <c r="CU3" s="101">
        <v>38</v>
      </c>
      <c r="CV3" s="101">
        <v>38</v>
      </c>
      <c r="CW3" s="101">
        <v>38</v>
      </c>
      <c r="CX3" s="101">
        <v>28</v>
      </c>
      <c r="CY3" s="101">
        <v>8</v>
      </c>
      <c r="CZ3" s="101"/>
      <c r="DA3" s="101">
        <v>8</v>
      </c>
      <c r="DB3" s="101">
        <v>8</v>
      </c>
      <c r="DC3" s="101"/>
      <c r="DD3" s="101"/>
      <c r="DE3" s="101"/>
      <c r="DF3" s="101"/>
      <c r="DG3" s="101"/>
      <c r="DH3" s="101"/>
      <c r="DI3" s="101"/>
      <c r="DJ3" s="101"/>
      <c r="DK3" s="101"/>
      <c r="DL3" s="101"/>
      <c r="DM3" s="101"/>
      <c r="DN3" s="101"/>
      <c r="DO3" s="101"/>
      <c r="DP3" s="101"/>
      <c r="DQ3" s="101">
        <v>16</v>
      </c>
      <c r="DR3" s="101">
        <v>16</v>
      </c>
      <c r="DS3" s="101">
        <v>16</v>
      </c>
      <c r="DT3" s="101">
        <v>16</v>
      </c>
      <c r="DU3" s="101"/>
      <c r="DV3" s="101">
        <v>20</v>
      </c>
      <c r="DW3" s="101">
        <v>20</v>
      </c>
      <c r="DX3" s="101">
        <v>20</v>
      </c>
      <c r="DY3" s="101">
        <v>20</v>
      </c>
      <c r="DZ3" s="101">
        <v>21</v>
      </c>
      <c r="EA3" s="101">
        <v>21</v>
      </c>
      <c r="EB3" s="101"/>
      <c r="EC3" s="101">
        <v>20</v>
      </c>
      <c r="ED3" s="101">
        <v>53</v>
      </c>
      <c r="EE3" s="101">
        <v>54</v>
      </c>
      <c r="EF3" s="101">
        <v>38</v>
      </c>
      <c r="EG3" s="101">
        <v>37</v>
      </c>
      <c r="EH3" s="101">
        <v>37</v>
      </c>
      <c r="EI3" s="101"/>
      <c r="EJ3" s="101">
        <v>33</v>
      </c>
      <c r="EK3" s="101">
        <v>33</v>
      </c>
      <c r="EL3" s="101">
        <v>33</v>
      </c>
      <c r="EM3" s="101">
        <v>12</v>
      </c>
      <c r="EN3" s="101">
        <v>70</v>
      </c>
      <c r="EO3" s="101">
        <v>70</v>
      </c>
      <c r="EP3" s="101"/>
      <c r="EQ3" s="101">
        <v>70</v>
      </c>
      <c r="ER3" s="101">
        <v>70</v>
      </c>
      <c r="ES3" s="101">
        <v>58</v>
      </c>
      <c r="ET3" s="101">
        <v>58</v>
      </c>
      <c r="EU3" s="101">
        <v>58</v>
      </c>
      <c r="EV3" s="101">
        <v>59</v>
      </c>
      <c r="EW3" s="101"/>
      <c r="EX3" s="101">
        <v>22</v>
      </c>
      <c r="EY3" s="101">
        <v>22</v>
      </c>
      <c r="EZ3" s="101">
        <v>22</v>
      </c>
      <c r="FA3" s="101">
        <v>48</v>
      </c>
      <c r="FB3" s="101">
        <v>49</v>
      </c>
      <c r="FC3" s="101">
        <v>28</v>
      </c>
      <c r="FD3" s="101"/>
      <c r="FE3" s="101">
        <v>28</v>
      </c>
      <c r="FF3" s="101">
        <v>27</v>
      </c>
      <c r="FG3" s="101">
        <v>27</v>
      </c>
      <c r="FH3" s="101">
        <v>27</v>
      </c>
      <c r="FI3" s="101">
        <v>27</v>
      </c>
      <c r="FJ3" s="101">
        <v>11</v>
      </c>
      <c r="FK3" s="101"/>
      <c r="FL3" s="101">
        <v>71</v>
      </c>
      <c r="FM3" s="101">
        <v>93</v>
      </c>
      <c r="FN3" s="101">
        <v>93</v>
      </c>
      <c r="FO3" s="101">
        <v>93</v>
      </c>
      <c r="FP3" s="101">
        <v>87</v>
      </c>
      <c r="FQ3" s="101">
        <v>88</v>
      </c>
      <c r="FR3" s="101"/>
      <c r="FS3" s="101">
        <v>88</v>
      </c>
      <c r="FT3" s="101">
        <v>83</v>
      </c>
      <c r="FU3" s="101">
        <v>81</v>
      </c>
      <c r="FV3" s="101">
        <v>85</v>
      </c>
      <c r="FW3" s="101">
        <v>85</v>
      </c>
      <c r="FX3" s="101">
        <v>106</v>
      </c>
      <c r="FY3" s="101"/>
      <c r="FZ3" s="101">
        <v>102</v>
      </c>
      <c r="GA3" s="101">
        <v>82</v>
      </c>
      <c r="GB3" s="101">
        <v>76</v>
      </c>
      <c r="GC3" s="101">
        <v>78</v>
      </c>
      <c r="GD3" s="101">
        <v>81</v>
      </c>
      <c r="GE3" s="101">
        <v>139</v>
      </c>
      <c r="GF3" s="101"/>
      <c r="GG3" s="101">
        <v>139</v>
      </c>
      <c r="GH3" s="101">
        <v>126</v>
      </c>
      <c r="GI3" s="101">
        <v>181</v>
      </c>
      <c r="GJ3" s="101">
        <v>181</v>
      </c>
      <c r="GK3" s="101">
        <v>181</v>
      </c>
      <c r="GL3" s="101">
        <v>183</v>
      </c>
      <c r="GM3" s="101"/>
      <c r="GN3" s="101">
        <v>180</v>
      </c>
      <c r="GO3" s="101">
        <v>122</v>
      </c>
      <c r="GP3" s="101">
        <v>122</v>
      </c>
      <c r="GQ3" s="101">
        <v>119</v>
      </c>
      <c r="GR3" s="101">
        <v>110</v>
      </c>
      <c r="GS3" s="101">
        <v>116</v>
      </c>
      <c r="GT3" s="101"/>
      <c r="GU3" s="101">
        <v>92</v>
      </c>
      <c r="GV3" s="101">
        <v>57</v>
      </c>
      <c r="GW3" s="101">
        <v>70</v>
      </c>
      <c r="GX3" s="101">
        <v>60</v>
      </c>
      <c r="GY3" s="101">
        <v>62</v>
      </c>
      <c r="GZ3" s="101">
        <v>62</v>
      </c>
      <c r="HA3" s="101"/>
      <c r="HB3" s="101">
        <v>36</v>
      </c>
      <c r="HC3" s="101">
        <v>91</v>
      </c>
      <c r="HD3" s="101">
        <v>89</v>
      </c>
      <c r="HE3" s="101">
        <v>94</v>
      </c>
      <c r="HF3" s="101">
        <v>85</v>
      </c>
      <c r="HG3" s="101">
        <v>146</v>
      </c>
      <c r="HH3" s="101"/>
      <c r="HI3" s="101">
        <v>146</v>
      </c>
      <c r="HJ3" s="101">
        <v>138</v>
      </c>
      <c r="HK3" s="101">
        <v>132</v>
      </c>
      <c r="HL3" s="101">
        <v>66</v>
      </c>
      <c r="HM3" s="101">
        <v>66</v>
      </c>
      <c r="HN3" s="101">
        <v>67</v>
      </c>
      <c r="HO3" s="101"/>
      <c r="HP3" s="101">
        <v>86</v>
      </c>
      <c r="HQ3" s="101">
        <v>49</v>
      </c>
      <c r="HR3" s="101">
        <v>47</v>
      </c>
      <c r="HS3" s="101">
        <v>46</v>
      </c>
      <c r="HT3" s="101">
        <v>46</v>
      </c>
      <c r="HU3" s="101">
        <v>45</v>
      </c>
      <c r="HV3" s="101"/>
      <c r="HW3" s="101"/>
      <c r="HX3" s="101"/>
      <c r="HY3" s="101"/>
      <c r="HZ3" s="101"/>
      <c r="IA3" s="101">
        <v>24</v>
      </c>
      <c r="IB3" s="101">
        <v>24</v>
      </c>
      <c r="IC3" s="101"/>
      <c r="ID3" s="101">
        <v>3</v>
      </c>
      <c r="IE3" s="101">
        <v>62</v>
      </c>
      <c r="IF3" s="101">
        <v>70</v>
      </c>
      <c r="IG3" s="101">
        <v>74</v>
      </c>
      <c r="IH3" s="101">
        <v>74</v>
      </c>
      <c r="II3" s="101">
        <v>80</v>
      </c>
      <c r="IJ3" s="101"/>
      <c r="IK3" s="101">
        <v>80</v>
      </c>
      <c r="IL3" s="101">
        <v>80</v>
      </c>
      <c r="IM3" s="101">
        <v>77</v>
      </c>
      <c r="IN3" s="101">
        <v>28</v>
      </c>
      <c r="IO3" s="101">
        <v>28</v>
      </c>
      <c r="IP3" s="101">
        <v>25</v>
      </c>
      <c r="IQ3" s="101"/>
      <c r="IR3" s="101">
        <v>36</v>
      </c>
      <c r="IS3" s="101">
        <v>36</v>
      </c>
      <c r="IT3" s="101">
        <v>38</v>
      </c>
      <c r="IU3" s="101">
        <v>37</v>
      </c>
      <c r="IV3" s="101">
        <v>36</v>
      </c>
      <c r="IW3" s="101">
        <v>34</v>
      </c>
      <c r="IX3" s="101"/>
      <c r="IY3" s="101">
        <v>28</v>
      </c>
      <c r="IZ3" s="101">
        <v>24</v>
      </c>
      <c r="JA3" s="101">
        <v>7</v>
      </c>
      <c r="JB3" s="101">
        <v>62</v>
      </c>
      <c r="JC3" s="101">
        <v>62</v>
      </c>
      <c r="JD3" s="101">
        <v>62</v>
      </c>
      <c r="JE3" s="101"/>
      <c r="JF3" s="101">
        <v>62</v>
      </c>
      <c r="JG3" s="101">
        <v>62</v>
      </c>
      <c r="JH3" s="101">
        <v>62</v>
      </c>
      <c r="JI3" s="101">
        <v>65</v>
      </c>
      <c r="JJ3" s="101">
        <v>65</v>
      </c>
      <c r="JK3" s="101">
        <v>8</v>
      </c>
      <c r="JL3" s="101"/>
      <c r="JM3" s="101">
        <v>8</v>
      </c>
      <c r="JN3" s="101">
        <v>5</v>
      </c>
      <c r="JO3" s="101">
        <v>7</v>
      </c>
      <c r="JP3" s="101">
        <v>7</v>
      </c>
      <c r="JQ3" s="101">
        <v>6</v>
      </c>
      <c r="JR3" s="101">
        <v>6</v>
      </c>
      <c r="JS3" s="101"/>
      <c r="JT3" s="101">
        <v>38</v>
      </c>
      <c r="JU3" s="101">
        <v>41</v>
      </c>
      <c r="JV3" s="101">
        <v>41</v>
      </c>
      <c r="JW3" s="101">
        <v>41</v>
      </c>
      <c r="JX3" s="101">
        <v>39</v>
      </c>
      <c r="JY3" s="101">
        <v>44</v>
      </c>
      <c r="JZ3" s="101"/>
      <c r="KA3" s="101">
        <v>44</v>
      </c>
      <c r="KB3" s="101">
        <v>13</v>
      </c>
      <c r="KC3" s="101">
        <v>16</v>
      </c>
      <c r="KD3" s="101">
        <v>20</v>
      </c>
      <c r="KE3" s="101">
        <v>20</v>
      </c>
      <c r="KF3" s="101">
        <v>23</v>
      </c>
      <c r="KG3" s="101"/>
      <c r="KH3" s="101">
        <v>19</v>
      </c>
      <c r="KI3" s="101">
        <v>11</v>
      </c>
      <c r="KJ3" s="101">
        <v>11</v>
      </c>
      <c r="KK3" s="101">
        <v>8</v>
      </c>
      <c r="KL3" s="101"/>
      <c r="KM3" s="101"/>
      <c r="KN3" s="101"/>
      <c r="KO3" s="101"/>
      <c r="KP3" s="101"/>
      <c r="KQ3" s="101"/>
      <c r="KR3" s="101">
        <v>11</v>
      </c>
      <c r="KS3" s="101">
        <v>10</v>
      </c>
      <c r="KT3" s="101">
        <v>7</v>
      </c>
      <c r="KU3" s="101"/>
      <c r="KV3" s="101">
        <v>7</v>
      </c>
      <c r="KW3" s="101">
        <v>7</v>
      </c>
      <c r="KX3" s="101">
        <v>7</v>
      </c>
      <c r="KY3" s="101">
        <v>7</v>
      </c>
      <c r="KZ3" s="101">
        <v>7</v>
      </c>
      <c r="LA3" s="101">
        <v>7</v>
      </c>
      <c r="LB3" s="101"/>
      <c r="LC3" s="101">
        <v>4</v>
      </c>
      <c r="LD3" s="101">
        <v>4</v>
      </c>
      <c r="LE3" s="101">
        <v>14</v>
      </c>
      <c r="LF3" s="101">
        <v>16</v>
      </c>
      <c r="LG3" s="101">
        <v>17</v>
      </c>
      <c r="LH3" s="101">
        <v>16</v>
      </c>
      <c r="LI3" s="101"/>
      <c r="LJ3" s="101">
        <v>19</v>
      </c>
      <c r="LK3" s="101">
        <v>19</v>
      </c>
      <c r="LL3" s="101">
        <v>29</v>
      </c>
      <c r="LM3" s="101">
        <v>29</v>
      </c>
      <c r="LN3" s="101">
        <v>27</v>
      </c>
      <c r="LO3" s="101">
        <v>27</v>
      </c>
      <c r="LP3" s="101"/>
      <c r="LQ3" s="101">
        <v>21</v>
      </c>
      <c r="LR3" s="101">
        <v>22</v>
      </c>
      <c r="LS3" s="101">
        <v>24</v>
      </c>
      <c r="LT3" s="101">
        <v>19</v>
      </c>
      <c r="LU3" s="101">
        <v>21</v>
      </c>
      <c r="LV3" s="101">
        <v>21</v>
      </c>
      <c r="LW3" s="101"/>
      <c r="LX3" s="101">
        <v>33</v>
      </c>
      <c r="LY3" s="101">
        <v>33</v>
      </c>
      <c r="LZ3" s="101">
        <v>29</v>
      </c>
      <c r="MA3" s="101">
        <v>29</v>
      </c>
      <c r="MB3" s="101">
        <v>29</v>
      </c>
      <c r="MC3" s="101">
        <v>18</v>
      </c>
      <c r="MD3" s="101"/>
      <c r="ME3" s="101">
        <v>15</v>
      </c>
      <c r="MF3" s="101">
        <v>15</v>
      </c>
      <c r="MG3" s="101">
        <v>17</v>
      </c>
      <c r="MH3" s="101">
        <v>17</v>
      </c>
      <c r="MI3" s="101">
        <v>29</v>
      </c>
      <c r="MJ3" s="101">
        <v>29</v>
      </c>
      <c r="MK3" s="101"/>
      <c r="ML3" s="101">
        <v>25</v>
      </c>
      <c r="MM3" s="101">
        <v>29</v>
      </c>
      <c r="MN3" s="101">
        <v>29</v>
      </c>
      <c r="MO3" s="101">
        <v>19</v>
      </c>
      <c r="MP3" s="101">
        <v>19</v>
      </c>
      <c r="MQ3" s="101">
        <v>19</v>
      </c>
      <c r="MR3" s="101"/>
      <c r="MS3" s="101">
        <v>21</v>
      </c>
      <c r="MT3" s="101">
        <v>21</v>
      </c>
      <c r="MU3" s="101">
        <v>21</v>
      </c>
      <c r="MV3" s="101">
        <v>23</v>
      </c>
      <c r="MW3" s="101">
        <v>26</v>
      </c>
      <c r="MX3" s="101">
        <v>22</v>
      </c>
      <c r="MY3" s="101"/>
      <c r="MZ3" s="101">
        <v>22</v>
      </c>
      <c r="NA3" s="101">
        <v>12</v>
      </c>
      <c r="NB3" s="101">
        <v>12</v>
      </c>
      <c r="NC3" s="101">
        <v>12</v>
      </c>
      <c r="ND3" s="101">
        <v>12</v>
      </c>
      <c r="NE3" s="101">
        <v>12</v>
      </c>
      <c r="NF3" s="101"/>
      <c r="NG3" s="101">
        <v>16</v>
      </c>
      <c r="NH3" s="101">
        <v>18</v>
      </c>
      <c r="NI3" s="101">
        <v>26</v>
      </c>
      <c r="NJ3" s="101">
        <v>26</v>
      </c>
      <c r="NK3" s="101">
        <v>26</v>
      </c>
      <c r="NL3" s="101">
        <v>30</v>
      </c>
      <c r="NM3" s="101"/>
      <c r="NN3" s="101">
        <v>28</v>
      </c>
      <c r="NO3" s="101">
        <v>20</v>
      </c>
      <c r="NP3" s="101">
        <v>20</v>
      </c>
      <c r="NQ3" s="101">
        <v>20</v>
      </c>
      <c r="NR3" s="101">
        <v>20</v>
      </c>
      <c r="NS3" s="101">
        <v>22</v>
      </c>
      <c r="NT3" s="101"/>
      <c r="NU3" s="101">
        <v>30</v>
      </c>
      <c r="NV3" s="101">
        <v>30</v>
      </c>
      <c r="NW3" s="101">
        <v>30</v>
      </c>
      <c r="NX3" s="101">
        <v>36</v>
      </c>
      <c r="NY3" s="101">
        <v>34</v>
      </c>
      <c r="NZ3" s="101">
        <v>26</v>
      </c>
      <c r="OA3" s="101"/>
      <c r="OB3" s="101">
        <v>26</v>
      </c>
      <c r="OC3" s="101">
        <v>26</v>
      </c>
      <c r="OD3" s="101">
        <v>26</v>
      </c>
      <c r="OE3" s="101">
        <v>26</v>
      </c>
      <c r="OF3" s="101">
        <v>26</v>
      </c>
      <c r="OG3" s="101">
        <v>26</v>
      </c>
      <c r="OH3" s="101"/>
      <c r="OI3" s="101">
        <v>26</v>
      </c>
      <c r="OJ3" s="101">
        <v>36</v>
      </c>
      <c r="OK3" s="101">
        <v>34</v>
      </c>
      <c r="OL3" s="101">
        <v>30</v>
      </c>
      <c r="OM3" s="101">
        <v>30</v>
      </c>
      <c r="ON3" s="101">
        <v>34</v>
      </c>
      <c r="OO3" s="101"/>
      <c r="OP3" s="101">
        <v>30</v>
      </c>
      <c r="OQ3" s="101">
        <v>30</v>
      </c>
      <c r="OR3" s="101">
        <v>28</v>
      </c>
      <c r="OS3" s="101">
        <v>28</v>
      </c>
      <c r="OT3" s="101">
        <v>28</v>
      </c>
      <c r="OU3" s="101">
        <v>24</v>
      </c>
      <c r="OV3" s="101"/>
      <c r="OW3" s="101">
        <v>24</v>
      </c>
      <c r="OX3" s="101">
        <v>28</v>
      </c>
      <c r="OY3" s="101">
        <v>28</v>
      </c>
      <c r="OZ3" s="101">
        <v>24</v>
      </c>
      <c r="PA3" s="101">
        <v>24</v>
      </c>
      <c r="PB3" s="101">
        <v>24</v>
      </c>
      <c r="PC3" s="101"/>
      <c r="PD3" s="101">
        <v>24</v>
      </c>
      <c r="PE3" s="101">
        <v>24</v>
      </c>
      <c r="PF3" s="101">
        <v>24</v>
      </c>
      <c r="PG3" s="101">
        <v>10</v>
      </c>
      <c r="PH3" s="101">
        <v>10</v>
      </c>
      <c r="PI3" s="101">
        <v>14</v>
      </c>
      <c r="PJ3" s="101"/>
      <c r="PK3" s="101">
        <v>14</v>
      </c>
      <c r="PL3" s="101">
        <v>16</v>
      </c>
      <c r="PM3" s="101">
        <v>16</v>
      </c>
      <c r="PN3" s="101">
        <v>16</v>
      </c>
      <c r="PO3" s="101">
        <v>17</v>
      </c>
      <c r="PP3" s="101">
        <v>18</v>
      </c>
      <c r="PQ3" s="101">
        <v>1</v>
      </c>
      <c r="PR3" s="101">
        <v>16</v>
      </c>
      <c r="PS3" s="101">
        <v>6</v>
      </c>
      <c r="PT3" s="101">
        <v>6</v>
      </c>
      <c r="PU3" s="101">
        <v>6</v>
      </c>
      <c r="PV3" s="101">
        <v>6</v>
      </c>
      <c r="PW3" s="101">
        <v>6</v>
      </c>
      <c r="PX3" s="101"/>
      <c r="PY3" s="101">
        <v>6</v>
      </c>
      <c r="PZ3" s="101">
        <v>4</v>
      </c>
      <c r="QA3" s="101">
        <v>4</v>
      </c>
      <c r="QB3" s="101">
        <v>4</v>
      </c>
      <c r="QC3" s="101">
        <v>4</v>
      </c>
      <c r="QD3" s="101">
        <v>4</v>
      </c>
      <c r="QE3" s="101"/>
      <c r="QF3" s="101">
        <v>4</v>
      </c>
      <c r="QG3" s="101">
        <v>4</v>
      </c>
      <c r="QH3" s="101">
        <v>4</v>
      </c>
      <c r="QI3" s="101">
        <v>4</v>
      </c>
      <c r="QJ3" s="101">
        <v>4</v>
      </c>
      <c r="QK3" s="101">
        <v>4</v>
      </c>
      <c r="QL3" s="101"/>
      <c r="QM3" s="101">
        <v>4</v>
      </c>
      <c r="QN3" s="101">
        <v>4</v>
      </c>
      <c r="QO3" s="101">
        <v>4</v>
      </c>
      <c r="QP3" s="101">
        <v>4</v>
      </c>
      <c r="QQ3" s="101">
        <v>4</v>
      </c>
      <c r="QR3" s="101">
        <v>4</v>
      </c>
      <c r="QS3" s="101"/>
      <c r="QT3" s="101">
        <v>4</v>
      </c>
      <c r="QU3" s="101">
        <v>4</v>
      </c>
      <c r="QV3" s="101">
        <v>4</v>
      </c>
      <c r="QW3" s="101">
        <v>4</v>
      </c>
      <c r="QX3" s="101">
        <v>4</v>
      </c>
      <c r="QY3" s="101">
        <v>4</v>
      </c>
      <c r="QZ3" s="101"/>
      <c r="RA3" s="101">
        <v>5</v>
      </c>
      <c r="RB3" s="101">
        <v>4</v>
      </c>
      <c r="RC3" s="101">
        <v>4</v>
      </c>
      <c r="RD3" s="101">
        <v>4</v>
      </c>
      <c r="RE3" s="101">
        <v>4</v>
      </c>
      <c r="RF3" s="101">
        <v>4</v>
      </c>
      <c r="RG3" s="101"/>
      <c r="RH3" s="101">
        <v>4</v>
      </c>
      <c r="RI3" s="101">
        <v>4</v>
      </c>
      <c r="RJ3" s="101">
        <v>4</v>
      </c>
      <c r="RK3" s="101">
        <v>4</v>
      </c>
      <c r="RL3" s="101">
        <v>4</v>
      </c>
      <c r="RM3" s="101">
        <v>4</v>
      </c>
      <c r="RN3" s="101"/>
      <c r="RO3" s="101">
        <v>4</v>
      </c>
      <c r="RP3" s="101">
        <v>4</v>
      </c>
      <c r="RQ3" s="101">
        <v>4</v>
      </c>
      <c r="RR3" s="101">
        <v>4</v>
      </c>
      <c r="RS3" s="101">
        <v>4</v>
      </c>
      <c r="RT3" s="101">
        <v>4</v>
      </c>
      <c r="RU3" s="101"/>
      <c r="RV3" s="101">
        <v>4</v>
      </c>
      <c r="RW3" s="101">
        <v>4</v>
      </c>
      <c r="RX3" s="101">
        <v>4</v>
      </c>
      <c r="RY3" s="101">
        <v>4</v>
      </c>
      <c r="RZ3" s="101">
        <v>4</v>
      </c>
      <c r="SA3" s="101">
        <v>4</v>
      </c>
      <c r="SB3" s="101"/>
      <c r="SC3" s="101">
        <v>4</v>
      </c>
      <c r="SD3" s="101">
        <v>4</v>
      </c>
      <c r="SE3" s="101">
        <v>4</v>
      </c>
      <c r="SF3" s="101">
        <v>4</v>
      </c>
      <c r="SG3" s="101">
        <v>4</v>
      </c>
      <c r="SH3" s="101">
        <v>4</v>
      </c>
      <c r="SI3" s="101"/>
      <c r="SJ3" s="101">
        <v>3</v>
      </c>
      <c r="SK3" s="101"/>
      <c r="SL3" s="101"/>
      <c r="SM3" s="101"/>
      <c r="SN3" s="101"/>
      <c r="SO3" s="101"/>
      <c r="SP3" s="101"/>
      <c r="SQ3" s="101"/>
      <c r="SR3" s="101"/>
      <c r="SS3" s="101"/>
      <c r="ST3" s="101"/>
      <c r="SU3" s="101"/>
      <c r="SV3" s="101"/>
      <c r="SW3" s="101"/>
      <c r="SX3" s="101"/>
      <c r="SY3" s="101"/>
      <c r="SZ3" s="101"/>
      <c r="TA3" s="101"/>
      <c r="TB3" s="101"/>
      <c r="TC3" s="101"/>
      <c r="TD3" s="101"/>
      <c r="TE3" s="101"/>
      <c r="TF3" s="101"/>
      <c r="TG3" s="101"/>
      <c r="TH3" s="101"/>
      <c r="TI3" s="101"/>
      <c r="TJ3" s="101"/>
      <c r="TK3" s="101"/>
      <c r="TL3" s="101"/>
      <c r="TM3" s="101"/>
      <c r="TN3" s="101"/>
      <c r="TO3" s="101"/>
      <c r="TP3" s="101"/>
      <c r="TQ3" s="101"/>
      <c r="TR3" s="101"/>
      <c r="TS3" s="101"/>
      <c r="TT3" s="101"/>
      <c r="TU3" s="101"/>
      <c r="TV3" s="101"/>
      <c r="TW3" s="101"/>
      <c r="TX3" s="101"/>
      <c r="TY3" s="101"/>
      <c r="TZ3" s="101"/>
      <c r="UA3" s="101"/>
      <c r="UB3" s="101"/>
      <c r="UC3" s="101"/>
      <c r="UD3" s="101"/>
      <c r="UE3" s="101"/>
      <c r="UF3" s="101"/>
      <c r="UG3" s="101"/>
      <c r="UH3" s="101"/>
      <c r="UI3" s="101"/>
      <c r="UJ3" s="101"/>
      <c r="UK3" s="101"/>
      <c r="UL3" s="101"/>
      <c r="UM3" s="101"/>
      <c r="UN3" s="101"/>
      <c r="UO3" s="101"/>
      <c r="UP3" s="101"/>
      <c r="UQ3" s="101"/>
      <c r="UR3" s="101"/>
      <c r="US3" s="101"/>
      <c r="UT3" s="101"/>
      <c r="UU3" s="101"/>
      <c r="UV3" s="101"/>
      <c r="UW3" s="101"/>
      <c r="UX3" s="101"/>
      <c r="UY3" s="101"/>
      <c r="UZ3" s="101"/>
      <c r="VA3" s="101"/>
      <c r="VB3" s="101"/>
      <c r="VC3" s="101"/>
      <c r="VD3" s="101"/>
      <c r="VE3" s="101"/>
      <c r="VF3" s="101"/>
      <c r="VG3" s="101"/>
      <c r="VH3" s="101"/>
      <c r="VI3" s="101"/>
      <c r="VJ3" s="101"/>
      <c r="VK3" s="101"/>
      <c r="VL3" s="101"/>
      <c r="VM3" s="101"/>
      <c r="VN3" s="101"/>
      <c r="VO3" s="101"/>
      <c r="VP3" s="101"/>
      <c r="VQ3" s="101"/>
      <c r="VR3" s="101"/>
      <c r="VS3" s="101"/>
      <c r="VT3" s="101"/>
      <c r="VU3" s="101"/>
      <c r="VV3" s="101"/>
      <c r="VW3" s="101"/>
      <c r="VX3" s="101"/>
      <c r="VY3" s="101"/>
      <c r="VZ3" s="101"/>
      <c r="WA3" s="101"/>
      <c r="WB3" s="101"/>
      <c r="WC3" s="101"/>
      <c r="WD3" s="101"/>
      <c r="WE3" s="101"/>
      <c r="WF3" s="101"/>
      <c r="WG3" s="101"/>
      <c r="WH3" s="101"/>
      <c r="WI3" s="101"/>
      <c r="WJ3" s="101"/>
      <c r="WK3" s="101"/>
      <c r="WL3" s="101"/>
      <c r="WM3" s="101"/>
      <c r="WN3" s="101"/>
      <c r="WO3" s="101"/>
      <c r="WP3" s="101"/>
      <c r="WQ3" s="101"/>
      <c r="WR3" s="101"/>
      <c r="WS3" s="101"/>
      <c r="WT3" s="101"/>
      <c r="WU3" s="101"/>
      <c r="WV3" s="101"/>
      <c r="WW3" s="101"/>
      <c r="WX3" s="101"/>
      <c r="WY3" s="101"/>
      <c r="WZ3" s="101"/>
      <c r="XA3" s="101"/>
      <c r="XB3" s="101"/>
      <c r="XC3" s="101"/>
      <c r="XD3" s="101"/>
      <c r="XE3" s="101"/>
      <c r="XF3" s="101"/>
      <c r="XG3" s="101"/>
      <c r="XH3" s="101"/>
      <c r="XI3" s="101"/>
      <c r="XJ3" s="101"/>
      <c r="XK3" s="101"/>
      <c r="XL3" s="101"/>
      <c r="XM3" s="101"/>
      <c r="XN3" s="101"/>
      <c r="XO3" s="101"/>
      <c r="XP3" s="101"/>
      <c r="XQ3" s="101"/>
      <c r="XR3" s="101"/>
      <c r="XS3" s="101"/>
      <c r="XT3" s="101"/>
      <c r="XU3" s="101"/>
      <c r="XV3" s="101"/>
      <c r="XW3" s="101"/>
      <c r="XX3" s="101"/>
      <c r="XY3" s="101"/>
      <c r="XZ3" s="101"/>
      <c r="YA3" s="101"/>
      <c r="YB3" s="101"/>
      <c r="YC3" s="101"/>
      <c r="YD3" s="101"/>
      <c r="YE3" s="101"/>
      <c r="YF3" s="101"/>
      <c r="YG3" s="101"/>
      <c r="YH3" s="101"/>
      <c r="YI3" s="101"/>
      <c r="YJ3" s="101"/>
      <c r="YK3" s="101"/>
      <c r="YL3" s="101"/>
      <c r="YM3" s="101"/>
      <c r="YN3" s="101"/>
      <c r="YO3" s="101"/>
      <c r="YP3" s="101"/>
      <c r="YQ3" s="101"/>
      <c r="YR3" s="101"/>
      <c r="YS3" s="101"/>
      <c r="YT3" s="101"/>
      <c r="YU3" s="101"/>
      <c r="YV3" s="101"/>
      <c r="YW3" s="101"/>
      <c r="YX3" s="101"/>
      <c r="YY3" s="101"/>
      <c r="YZ3" s="101"/>
      <c r="ZA3" s="101"/>
      <c r="ZB3" s="101"/>
      <c r="ZC3" s="101"/>
      <c r="ZD3" s="101"/>
      <c r="ZE3" s="101"/>
      <c r="ZF3" s="101"/>
      <c r="ZG3" s="101"/>
      <c r="ZH3" s="101"/>
    </row>
    <row r="4" spans="1:684">
      <c r="A4" s="75" t="s">
        <v>42</v>
      </c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>
        <v>12</v>
      </c>
      <c r="AK4" s="101">
        <v>12</v>
      </c>
      <c r="AL4" s="101">
        <v>12</v>
      </c>
      <c r="AM4" s="101">
        <v>12</v>
      </c>
      <c r="AN4" s="101">
        <v>12</v>
      </c>
      <c r="AO4" s="101"/>
      <c r="AP4" s="101">
        <v>12</v>
      </c>
      <c r="AQ4" s="101">
        <v>12</v>
      </c>
      <c r="AR4" s="101">
        <v>12</v>
      </c>
      <c r="AS4" s="101">
        <v>12</v>
      </c>
      <c r="AT4" s="101">
        <v>12</v>
      </c>
      <c r="AU4" s="101">
        <v>12</v>
      </c>
      <c r="AV4" s="101"/>
      <c r="AW4" s="101">
        <v>12</v>
      </c>
      <c r="AX4" s="101">
        <v>4</v>
      </c>
      <c r="AY4" s="101">
        <v>8</v>
      </c>
      <c r="AZ4" s="101">
        <v>8</v>
      </c>
      <c r="BA4" s="101">
        <v>8</v>
      </c>
      <c r="BB4" s="101">
        <v>8</v>
      </c>
      <c r="BC4" s="101"/>
      <c r="BD4" s="101">
        <v>8</v>
      </c>
      <c r="BE4" s="101">
        <v>8</v>
      </c>
      <c r="BF4" s="101">
        <v>8</v>
      </c>
      <c r="BG4" s="101">
        <v>4</v>
      </c>
      <c r="BH4" s="101">
        <v>4</v>
      </c>
      <c r="BI4" s="101">
        <v>4</v>
      </c>
      <c r="BJ4" s="101"/>
      <c r="BK4" s="101">
        <v>2</v>
      </c>
      <c r="BL4" s="101">
        <v>2</v>
      </c>
      <c r="BM4" s="101">
        <v>2</v>
      </c>
      <c r="BN4" s="101">
        <v>2</v>
      </c>
      <c r="BO4" s="101">
        <v>2</v>
      </c>
      <c r="BP4" s="101">
        <v>2</v>
      </c>
      <c r="BQ4" s="101"/>
      <c r="BR4" s="101"/>
      <c r="BS4" s="101"/>
      <c r="BT4" s="101"/>
      <c r="BU4" s="101"/>
      <c r="BV4" s="101"/>
      <c r="BW4" s="101">
        <v>9</v>
      </c>
      <c r="BX4" s="101"/>
      <c r="BY4" s="101">
        <v>21</v>
      </c>
      <c r="BZ4" s="101">
        <v>24</v>
      </c>
      <c r="CA4" s="101">
        <v>24</v>
      </c>
      <c r="CB4" s="101">
        <v>24</v>
      </c>
      <c r="CC4" s="101">
        <v>24</v>
      </c>
      <c r="CD4" s="101">
        <v>24</v>
      </c>
      <c r="CE4" s="101"/>
      <c r="CF4" s="101">
        <v>30</v>
      </c>
      <c r="CG4" s="101">
        <v>30</v>
      </c>
      <c r="CH4" s="101">
        <v>30</v>
      </c>
      <c r="CI4" s="101">
        <v>30</v>
      </c>
      <c r="CJ4" s="101">
        <v>30</v>
      </c>
      <c r="CK4" s="101">
        <v>18</v>
      </c>
      <c r="CL4" s="101"/>
      <c r="CM4" s="101">
        <v>19</v>
      </c>
      <c r="CN4" s="101">
        <v>23</v>
      </c>
      <c r="CO4" s="101">
        <v>29</v>
      </c>
      <c r="CP4" s="101">
        <v>29</v>
      </c>
      <c r="CQ4" s="101">
        <v>23</v>
      </c>
      <c r="CR4" s="101">
        <v>23</v>
      </c>
      <c r="CS4" s="101"/>
      <c r="CT4" s="101">
        <v>23</v>
      </c>
      <c r="CU4" s="101">
        <v>23</v>
      </c>
      <c r="CV4" s="101">
        <v>13</v>
      </c>
      <c r="CW4" s="101">
        <v>4</v>
      </c>
      <c r="CX4" s="101">
        <v>4</v>
      </c>
      <c r="CY4" s="101"/>
      <c r="CZ4" s="101"/>
      <c r="DA4" s="101"/>
      <c r="DB4" s="101"/>
      <c r="DC4" s="101"/>
      <c r="DD4" s="101"/>
      <c r="DE4" s="101"/>
      <c r="DF4" s="101"/>
      <c r="DG4" s="101"/>
      <c r="DH4" s="101"/>
      <c r="DI4" s="101"/>
      <c r="DJ4" s="101"/>
      <c r="DK4" s="101"/>
      <c r="DL4" s="101">
        <v>6</v>
      </c>
      <c r="DM4" s="101">
        <v>6</v>
      </c>
      <c r="DN4" s="101"/>
      <c r="DO4" s="101">
        <v>6</v>
      </c>
      <c r="DP4" s="101">
        <v>11</v>
      </c>
      <c r="DQ4" s="101">
        <v>11</v>
      </c>
      <c r="DR4" s="101">
        <v>11</v>
      </c>
      <c r="DS4" s="101">
        <v>11</v>
      </c>
      <c r="DT4" s="101">
        <v>13</v>
      </c>
      <c r="DU4" s="101"/>
      <c r="DV4" s="101">
        <v>15</v>
      </c>
      <c r="DW4" s="101">
        <v>15</v>
      </c>
      <c r="DX4" s="101">
        <v>15</v>
      </c>
      <c r="DY4" s="101">
        <v>15</v>
      </c>
      <c r="DZ4" s="101">
        <v>15</v>
      </c>
      <c r="EA4" s="101">
        <v>10</v>
      </c>
      <c r="EB4" s="101"/>
      <c r="EC4" s="101">
        <v>24</v>
      </c>
      <c r="ED4" s="101">
        <v>18</v>
      </c>
      <c r="EE4" s="101">
        <v>18</v>
      </c>
      <c r="EF4" s="101">
        <v>15</v>
      </c>
      <c r="EG4" s="101">
        <v>15</v>
      </c>
      <c r="EH4" s="101">
        <v>14</v>
      </c>
      <c r="EI4" s="101"/>
      <c r="EJ4" s="101">
        <v>14</v>
      </c>
      <c r="EK4" s="101">
        <v>14</v>
      </c>
      <c r="EL4" s="101">
        <v>5</v>
      </c>
      <c r="EM4" s="101">
        <v>5</v>
      </c>
      <c r="EN4" s="101">
        <v>5</v>
      </c>
      <c r="EO4" s="101">
        <v>33</v>
      </c>
      <c r="EP4" s="101"/>
      <c r="EQ4" s="101">
        <v>33</v>
      </c>
      <c r="ER4" s="101">
        <v>28</v>
      </c>
      <c r="ES4" s="101">
        <v>28</v>
      </c>
      <c r="ET4" s="101">
        <v>28</v>
      </c>
      <c r="EU4" s="101">
        <v>48</v>
      </c>
      <c r="EV4" s="101">
        <v>48</v>
      </c>
      <c r="EW4" s="101"/>
      <c r="EX4" s="101">
        <v>48</v>
      </c>
      <c r="EY4" s="101">
        <v>31</v>
      </c>
      <c r="EZ4" s="101">
        <v>42</v>
      </c>
      <c r="FA4" s="101">
        <v>42</v>
      </c>
      <c r="FB4" s="101">
        <v>42</v>
      </c>
      <c r="FC4" s="101">
        <v>48</v>
      </c>
      <c r="FD4" s="101"/>
      <c r="FE4" s="101">
        <v>39</v>
      </c>
      <c r="FF4" s="101">
        <v>39</v>
      </c>
      <c r="FG4" s="101">
        <v>38</v>
      </c>
      <c r="FH4" s="101">
        <v>38</v>
      </c>
      <c r="FI4" s="101">
        <v>11</v>
      </c>
      <c r="FJ4" s="101">
        <v>11</v>
      </c>
      <c r="FK4" s="101"/>
      <c r="FL4" s="101">
        <v>19</v>
      </c>
      <c r="FM4" s="101">
        <v>46</v>
      </c>
      <c r="FN4" s="101">
        <v>46</v>
      </c>
      <c r="FO4" s="101">
        <v>42</v>
      </c>
      <c r="FP4" s="101">
        <v>42</v>
      </c>
      <c r="FQ4" s="101">
        <v>42</v>
      </c>
      <c r="FR4" s="101"/>
      <c r="FS4" s="101">
        <v>37</v>
      </c>
      <c r="FT4" s="101">
        <v>51</v>
      </c>
      <c r="FU4" s="101">
        <v>50</v>
      </c>
      <c r="FV4" s="101">
        <v>32</v>
      </c>
      <c r="FW4" s="101">
        <v>43</v>
      </c>
      <c r="FX4" s="101">
        <v>43</v>
      </c>
      <c r="FY4" s="101"/>
      <c r="FZ4" s="101">
        <v>43</v>
      </c>
      <c r="GA4" s="101">
        <v>43</v>
      </c>
      <c r="GB4" s="101">
        <v>25</v>
      </c>
      <c r="GC4" s="101">
        <v>11</v>
      </c>
      <c r="GD4" s="101">
        <v>35</v>
      </c>
      <c r="GE4" s="101">
        <v>51</v>
      </c>
      <c r="GF4" s="101"/>
      <c r="GG4" s="101">
        <v>72</v>
      </c>
      <c r="GH4" s="101">
        <v>72</v>
      </c>
      <c r="GI4" s="101">
        <v>72</v>
      </c>
      <c r="GJ4" s="101">
        <v>72</v>
      </c>
      <c r="GK4" s="101">
        <v>100</v>
      </c>
      <c r="GL4" s="101">
        <v>98</v>
      </c>
      <c r="GM4" s="101"/>
      <c r="GN4" s="101">
        <v>98</v>
      </c>
      <c r="GO4" s="101">
        <v>98</v>
      </c>
      <c r="GP4" s="101">
        <v>71</v>
      </c>
      <c r="GQ4" s="101">
        <v>82</v>
      </c>
      <c r="GR4" s="101">
        <v>82</v>
      </c>
      <c r="GS4" s="101">
        <v>93</v>
      </c>
      <c r="GT4" s="101"/>
      <c r="GU4" s="101">
        <v>65</v>
      </c>
      <c r="GV4" s="101">
        <v>50</v>
      </c>
      <c r="GW4" s="101">
        <v>44</v>
      </c>
      <c r="GX4" s="101">
        <v>51</v>
      </c>
      <c r="GY4" s="101">
        <v>42</v>
      </c>
      <c r="GZ4" s="101">
        <v>31</v>
      </c>
      <c r="HA4" s="101"/>
      <c r="HB4" s="101">
        <v>30</v>
      </c>
      <c r="HC4" s="101">
        <v>30</v>
      </c>
      <c r="HD4" s="101">
        <v>56</v>
      </c>
      <c r="HE4" s="101">
        <v>50</v>
      </c>
      <c r="HF4" s="101">
        <v>50</v>
      </c>
      <c r="HG4" s="101">
        <v>51</v>
      </c>
      <c r="HH4" s="101"/>
      <c r="HI4" s="101">
        <v>71</v>
      </c>
      <c r="HJ4" s="101">
        <v>65</v>
      </c>
      <c r="HK4" s="101">
        <v>67</v>
      </c>
      <c r="HL4" s="101">
        <v>67</v>
      </c>
      <c r="HM4" s="101">
        <v>37</v>
      </c>
      <c r="HN4" s="101">
        <v>47</v>
      </c>
      <c r="HO4" s="101"/>
      <c r="HP4" s="101">
        <v>46</v>
      </c>
      <c r="HQ4" s="101">
        <v>46</v>
      </c>
      <c r="HR4" s="101">
        <v>23</v>
      </c>
      <c r="HS4" s="101">
        <v>23</v>
      </c>
      <c r="HT4" s="101">
        <v>25</v>
      </c>
      <c r="HU4" s="101">
        <v>25</v>
      </c>
      <c r="HV4" s="101"/>
      <c r="HW4" s="101"/>
      <c r="HX4" s="101"/>
      <c r="HY4" s="101"/>
      <c r="HZ4" s="101"/>
      <c r="IA4" s="101">
        <v>24</v>
      </c>
      <c r="IB4" s="101">
        <v>3</v>
      </c>
      <c r="IC4" s="101"/>
      <c r="ID4" s="101">
        <v>3</v>
      </c>
      <c r="IE4" s="101">
        <v>4</v>
      </c>
      <c r="IF4" s="101">
        <v>33</v>
      </c>
      <c r="IG4" s="101">
        <v>32</v>
      </c>
      <c r="IH4" s="101">
        <v>32</v>
      </c>
      <c r="II4" s="101">
        <v>32</v>
      </c>
      <c r="IJ4" s="101"/>
      <c r="IK4" s="101">
        <v>32</v>
      </c>
      <c r="IL4" s="101">
        <v>32</v>
      </c>
      <c r="IM4" s="101">
        <v>32</v>
      </c>
      <c r="IN4" s="101">
        <v>34</v>
      </c>
      <c r="IO4" s="101">
        <v>7</v>
      </c>
      <c r="IP4" s="101">
        <v>15</v>
      </c>
      <c r="IQ4" s="101"/>
      <c r="IR4" s="101">
        <v>14</v>
      </c>
      <c r="IS4" s="101">
        <v>15</v>
      </c>
      <c r="IT4" s="101">
        <v>13</v>
      </c>
      <c r="IU4" s="101">
        <v>13</v>
      </c>
      <c r="IV4" s="101">
        <v>12</v>
      </c>
      <c r="IW4" s="101">
        <v>11</v>
      </c>
      <c r="IX4" s="101"/>
      <c r="IY4" s="101">
        <v>11</v>
      </c>
      <c r="IZ4" s="101">
        <v>2</v>
      </c>
      <c r="JA4" s="101">
        <v>2</v>
      </c>
      <c r="JB4" s="101">
        <v>2</v>
      </c>
      <c r="JC4" s="101">
        <v>31</v>
      </c>
      <c r="JD4" s="101">
        <v>31</v>
      </c>
      <c r="JE4" s="101"/>
      <c r="JF4" s="101">
        <v>31</v>
      </c>
      <c r="JG4" s="101">
        <v>31</v>
      </c>
      <c r="JH4" s="101">
        <v>31</v>
      </c>
      <c r="JI4" s="101">
        <v>31</v>
      </c>
      <c r="JJ4" s="101">
        <v>32</v>
      </c>
      <c r="JK4" s="101">
        <v>32</v>
      </c>
      <c r="JL4" s="101"/>
      <c r="JM4" s="101">
        <v>3</v>
      </c>
      <c r="JN4" s="101">
        <v>4</v>
      </c>
      <c r="JO4" s="101">
        <v>4</v>
      </c>
      <c r="JP4" s="101">
        <v>4</v>
      </c>
      <c r="JQ4" s="101">
        <v>4</v>
      </c>
      <c r="JR4" s="101">
        <v>3</v>
      </c>
      <c r="JS4" s="101"/>
      <c r="JT4" s="101">
        <v>3</v>
      </c>
      <c r="JU4" s="101">
        <v>21</v>
      </c>
      <c r="JV4" s="101">
        <v>21</v>
      </c>
      <c r="JW4" s="101">
        <v>20</v>
      </c>
      <c r="JX4" s="101">
        <v>20</v>
      </c>
      <c r="JY4" s="101">
        <v>20</v>
      </c>
      <c r="JZ4" s="101"/>
      <c r="KA4" s="101">
        <v>23</v>
      </c>
      <c r="KB4" s="101">
        <v>23</v>
      </c>
      <c r="KC4" s="101">
        <v>5</v>
      </c>
      <c r="KD4" s="101">
        <v>5</v>
      </c>
      <c r="KE4" s="101">
        <v>5</v>
      </c>
      <c r="KF4" s="101">
        <v>5</v>
      </c>
      <c r="KG4" s="101"/>
      <c r="KH4" s="101">
        <v>5</v>
      </c>
      <c r="KI4" s="101">
        <v>5</v>
      </c>
      <c r="KJ4" s="101">
        <v>2</v>
      </c>
      <c r="KK4" s="101">
        <v>2</v>
      </c>
      <c r="KL4" s="101"/>
      <c r="KM4" s="101"/>
      <c r="KN4" s="101"/>
      <c r="KO4" s="101"/>
      <c r="KP4" s="101"/>
      <c r="KQ4" s="101"/>
      <c r="KR4" s="101">
        <v>2</v>
      </c>
      <c r="KS4" s="101">
        <v>2</v>
      </c>
      <c r="KT4" s="101">
        <v>2</v>
      </c>
      <c r="KU4" s="101"/>
      <c r="KV4" s="101">
        <v>2</v>
      </c>
      <c r="KW4" s="101">
        <v>2</v>
      </c>
      <c r="KX4" s="101">
        <v>2</v>
      </c>
      <c r="KY4" s="101">
        <v>2</v>
      </c>
      <c r="KZ4" s="101">
        <v>2</v>
      </c>
      <c r="LA4" s="101">
        <v>2</v>
      </c>
      <c r="LB4" s="101"/>
      <c r="LC4" s="101">
        <v>2</v>
      </c>
      <c r="LD4" s="101">
        <v>2</v>
      </c>
      <c r="LE4" s="101">
        <v>8</v>
      </c>
      <c r="LF4" s="101">
        <v>8</v>
      </c>
      <c r="LG4" s="101">
        <v>8</v>
      </c>
      <c r="LH4" s="101">
        <v>8</v>
      </c>
      <c r="LI4" s="101"/>
      <c r="LJ4" s="101">
        <v>8</v>
      </c>
      <c r="LK4" s="101">
        <v>8</v>
      </c>
      <c r="LL4" s="101">
        <v>9</v>
      </c>
      <c r="LM4" s="101">
        <v>9</v>
      </c>
      <c r="LN4" s="101">
        <v>9</v>
      </c>
      <c r="LO4" s="101">
        <v>9</v>
      </c>
      <c r="LP4" s="101"/>
      <c r="LQ4" s="101">
        <v>3</v>
      </c>
      <c r="LR4" s="101">
        <v>3</v>
      </c>
      <c r="LS4" s="101">
        <v>3</v>
      </c>
      <c r="LT4" s="101">
        <v>3</v>
      </c>
      <c r="LU4" s="101">
        <v>3</v>
      </c>
      <c r="LV4" s="101">
        <v>3</v>
      </c>
      <c r="LW4" s="101"/>
      <c r="LX4" s="101">
        <v>5</v>
      </c>
      <c r="LY4" s="101">
        <v>5</v>
      </c>
      <c r="LZ4" s="101">
        <v>3</v>
      </c>
      <c r="MA4" s="101">
        <v>3</v>
      </c>
      <c r="MB4" s="101">
        <v>3</v>
      </c>
      <c r="MC4" s="101">
        <v>3</v>
      </c>
      <c r="MD4" s="101"/>
      <c r="ME4" s="101">
        <v>3</v>
      </c>
      <c r="MF4" s="101">
        <v>3</v>
      </c>
      <c r="MG4" s="101">
        <v>3</v>
      </c>
      <c r="MH4" s="101">
        <v>3</v>
      </c>
      <c r="MI4" s="101">
        <v>5</v>
      </c>
      <c r="MJ4" s="101">
        <v>5</v>
      </c>
      <c r="MK4" s="101"/>
      <c r="ML4" s="101">
        <v>3</v>
      </c>
      <c r="MM4" s="101">
        <v>3</v>
      </c>
      <c r="MN4" s="101">
        <v>3</v>
      </c>
      <c r="MO4" s="101">
        <v>3</v>
      </c>
      <c r="MP4" s="101">
        <v>3</v>
      </c>
      <c r="MQ4" s="101">
        <v>3</v>
      </c>
      <c r="MR4" s="101"/>
      <c r="MS4" s="101">
        <v>3</v>
      </c>
      <c r="MT4" s="101">
        <v>3</v>
      </c>
      <c r="MU4" s="101">
        <v>3</v>
      </c>
      <c r="MV4" s="101">
        <v>3</v>
      </c>
      <c r="MW4" s="101"/>
      <c r="MX4" s="101"/>
      <c r="MY4" s="101"/>
      <c r="MZ4" s="101"/>
      <c r="NA4" s="101"/>
      <c r="NB4" s="101"/>
      <c r="NC4" s="101"/>
      <c r="ND4" s="101"/>
      <c r="NE4" s="101"/>
      <c r="NF4" s="101"/>
      <c r="NG4" s="101">
        <v>2</v>
      </c>
      <c r="NH4" s="101">
        <v>2</v>
      </c>
      <c r="NI4" s="101">
        <v>2</v>
      </c>
      <c r="NJ4" s="101">
        <v>2</v>
      </c>
      <c r="NK4" s="101">
        <v>2</v>
      </c>
      <c r="NL4" s="101">
        <v>2</v>
      </c>
      <c r="NM4" s="101"/>
      <c r="NN4" s="101">
        <v>2</v>
      </c>
      <c r="NO4" s="101">
        <v>2</v>
      </c>
      <c r="NP4" s="101">
        <v>2</v>
      </c>
      <c r="NQ4" s="101">
        <v>2</v>
      </c>
      <c r="NR4" s="101">
        <v>2</v>
      </c>
      <c r="NS4" s="101">
        <v>2</v>
      </c>
      <c r="NT4" s="101"/>
      <c r="NU4" s="101">
        <v>2</v>
      </c>
      <c r="NV4" s="101">
        <v>2</v>
      </c>
      <c r="NW4" s="101">
        <v>2</v>
      </c>
      <c r="NX4" s="101">
        <v>2</v>
      </c>
      <c r="NY4" s="101">
        <v>2</v>
      </c>
      <c r="NZ4" s="101">
        <v>2</v>
      </c>
      <c r="OA4" s="101"/>
      <c r="OB4" s="101">
        <v>2</v>
      </c>
      <c r="OC4" s="101">
        <v>2</v>
      </c>
      <c r="OD4" s="101">
        <v>2</v>
      </c>
      <c r="OE4" s="101">
        <v>2</v>
      </c>
      <c r="OF4" s="101">
        <v>2</v>
      </c>
      <c r="OG4" s="101">
        <v>2</v>
      </c>
      <c r="OH4" s="101"/>
      <c r="OI4" s="101">
        <v>2</v>
      </c>
      <c r="OJ4" s="101">
        <v>2</v>
      </c>
      <c r="OK4" s="101">
        <v>2</v>
      </c>
      <c r="OL4" s="101">
        <v>2</v>
      </c>
      <c r="OM4" s="101">
        <v>2</v>
      </c>
      <c r="ON4" s="101">
        <v>2</v>
      </c>
      <c r="OO4" s="101"/>
      <c r="OP4" s="101"/>
      <c r="OQ4" s="101"/>
      <c r="OR4" s="101"/>
      <c r="OS4" s="101"/>
      <c r="OT4" s="101"/>
      <c r="OU4" s="101"/>
      <c r="OV4" s="101"/>
      <c r="OW4" s="101"/>
      <c r="OX4" s="101"/>
      <c r="OY4" s="101"/>
      <c r="OZ4" s="101"/>
      <c r="PA4" s="101"/>
      <c r="PB4" s="101"/>
      <c r="PC4" s="101"/>
      <c r="PD4" s="101"/>
      <c r="PE4" s="101"/>
      <c r="PF4" s="101"/>
      <c r="PG4" s="101"/>
      <c r="PH4" s="101"/>
      <c r="PI4" s="101"/>
      <c r="PJ4" s="101"/>
      <c r="PK4" s="101"/>
      <c r="PL4" s="101">
        <v>1</v>
      </c>
      <c r="PM4" s="101">
        <v>1</v>
      </c>
      <c r="PN4" s="101">
        <v>1</v>
      </c>
      <c r="PO4" s="101">
        <v>1</v>
      </c>
      <c r="PP4" s="101">
        <v>1</v>
      </c>
      <c r="PQ4" s="101"/>
      <c r="PR4" s="101">
        <v>1</v>
      </c>
      <c r="PS4" s="101">
        <v>1</v>
      </c>
      <c r="PT4" s="101">
        <v>1</v>
      </c>
      <c r="PU4" s="101">
        <v>1</v>
      </c>
      <c r="PV4" s="101">
        <v>1</v>
      </c>
      <c r="PW4" s="101">
        <v>1</v>
      </c>
      <c r="PX4" s="101"/>
      <c r="PY4" s="101">
        <v>1</v>
      </c>
      <c r="PZ4" s="101"/>
      <c r="QA4" s="101"/>
      <c r="QB4" s="101"/>
      <c r="QC4" s="101"/>
      <c r="QD4" s="101"/>
      <c r="QE4" s="101"/>
      <c r="QF4" s="101"/>
      <c r="QG4" s="101"/>
      <c r="QH4" s="101"/>
      <c r="QI4" s="101"/>
      <c r="QJ4" s="101"/>
      <c r="QK4" s="101"/>
      <c r="QL4" s="101"/>
      <c r="QM4" s="101"/>
      <c r="QN4" s="101"/>
      <c r="QO4" s="101"/>
      <c r="QP4" s="101"/>
      <c r="QQ4" s="101"/>
      <c r="QR4" s="101"/>
      <c r="QS4" s="101"/>
      <c r="QT4" s="101"/>
      <c r="QU4" s="101"/>
      <c r="QV4" s="101"/>
      <c r="QW4" s="101"/>
      <c r="QX4" s="101"/>
      <c r="QY4" s="101"/>
      <c r="QZ4" s="101"/>
      <c r="RA4" s="101"/>
      <c r="RB4" s="101"/>
      <c r="RC4" s="101"/>
      <c r="RD4" s="101"/>
      <c r="RE4" s="101"/>
      <c r="RF4" s="101"/>
      <c r="RG4" s="101"/>
      <c r="RH4" s="101"/>
      <c r="RI4" s="101"/>
      <c r="RJ4" s="101"/>
      <c r="RK4" s="101"/>
      <c r="RL4" s="101"/>
      <c r="RM4" s="101"/>
      <c r="RN4" s="101"/>
      <c r="RO4" s="101"/>
      <c r="RP4" s="101"/>
      <c r="RQ4" s="101"/>
      <c r="RR4" s="101"/>
      <c r="RS4" s="101"/>
      <c r="RT4" s="101"/>
      <c r="RU4" s="101"/>
      <c r="RV4" s="101"/>
      <c r="RW4" s="101"/>
      <c r="RX4" s="101"/>
      <c r="RY4" s="101"/>
      <c r="RZ4" s="101"/>
      <c r="SA4" s="101"/>
      <c r="SB4" s="101"/>
      <c r="SC4" s="101"/>
      <c r="SD4" s="101"/>
      <c r="SE4" s="101"/>
      <c r="SF4" s="101"/>
      <c r="SG4" s="101"/>
      <c r="SH4" s="101"/>
      <c r="SI4" s="101"/>
      <c r="SJ4" s="101"/>
      <c r="SK4" s="101"/>
      <c r="SL4" s="101"/>
      <c r="SM4" s="101"/>
      <c r="SN4" s="101"/>
      <c r="SO4" s="101"/>
      <c r="SP4" s="101"/>
      <c r="SQ4" s="101"/>
      <c r="SR4" s="101"/>
      <c r="SS4" s="101"/>
      <c r="ST4" s="101"/>
      <c r="SU4" s="101"/>
      <c r="SV4" s="101"/>
      <c r="SW4" s="101"/>
      <c r="SX4" s="101"/>
      <c r="SY4" s="101"/>
      <c r="SZ4" s="101"/>
      <c r="TA4" s="101"/>
      <c r="TB4" s="101"/>
      <c r="TC4" s="101"/>
      <c r="TD4" s="101"/>
      <c r="TE4" s="101"/>
      <c r="TF4" s="101"/>
      <c r="TG4" s="101"/>
      <c r="TH4" s="101"/>
      <c r="TI4" s="101"/>
      <c r="TJ4" s="101"/>
      <c r="TK4" s="101"/>
      <c r="TL4" s="101"/>
      <c r="TM4" s="101"/>
      <c r="TN4" s="101"/>
      <c r="TO4" s="101"/>
      <c r="TP4" s="101"/>
      <c r="TQ4" s="101"/>
      <c r="TR4" s="101"/>
      <c r="TS4" s="101"/>
      <c r="TT4" s="101"/>
      <c r="TU4" s="101"/>
      <c r="TV4" s="101"/>
      <c r="TW4" s="101"/>
      <c r="TX4" s="101"/>
      <c r="TY4" s="101"/>
      <c r="TZ4" s="101"/>
      <c r="UA4" s="101"/>
      <c r="UB4" s="101"/>
      <c r="UC4" s="101"/>
      <c r="UD4" s="101"/>
      <c r="UE4" s="101"/>
      <c r="UF4" s="101"/>
      <c r="UG4" s="101"/>
      <c r="UH4" s="101"/>
      <c r="UI4" s="101"/>
      <c r="UJ4" s="101"/>
      <c r="UK4" s="101"/>
      <c r="UL4" s="101"/>
      <c r="UM4" s="101"/>
      <c r="UN4" s="101"/>
      <c r="UO4" s="101"/>
      <c r="UP4" s="101"/>
      <c r="UQ4" s="101"/>
      <c r="UR4" s="101"/>
      <c r="US4" s="101"/>
      <c r="UT4" s="101"/>
      <c r="UU4" s="101"/>
      <c r="UV4" s="101"/>
      <c r="UW4" s="101"/>
      <c r="UX4" s="101"/>
      <c r="UY4" s="101"/>
      <c r="UZ4" s="101"/>
      <c r="VA4" s="101"/>
      <c r="VB4" s="101"/>
      <c r="VC4" s="101"/>
      <c r="VD4" s="101"/>
      <c r="VE4" s="101"/>
      <c r="VF4" s="101"/>
      <c r="VG4" s="101"/>
      <c r="VH4" s="101"/>
      <c r="VI4" s="101"/>
      <c r="VJ4" s="101"/>
      <c r="VK4" s="101"/>
      <c r="VL4" s="101"/>
      <c r="VM4" s="101"/>
      <c r="VN4" s="101"/>
      <c r="VO4" s="101"/>
      <c r="VP4" s="101"/>
      <c r="VQ4" s="101"/>
      <c r="VR4" s="101"/>
      <c r="VS4" s="101"/>
      <c r="VT4" s="101"/>
      <c r="VU4" s="101"/>
      <c r="VV4" s="101"/>
      <c r="VW4" s="101"/>
      <c r="VX4" s="101"/>
      <c r="VY4" s="101"/>
      <c r="VZ4" s="101"/>
      <c r="WA4" s="101"/>
      <c r="WB4" s="101"/>
      <c r="WC4" s="101"/>
      <c r="WD4" s="101"/>
      <c r="WE4" s="101"/>
      <c r="WF4" s="101"/>
      <c r="WG4" s="101"/>
      <c r="WH4" s="101"/>
      <c r="WI4" s="101"/>
      <c r="WJ4" s="101"/>
      <c r="WK4" s="101"/>
      <c r="WL4" s="101"/>
      <c r="WM4" s="101"/>
      <c r="WN4" s="101"/>
      <c r="WO4" s="101"/>
      <c r="WP4" s="101"/>
      <c r="WQ4" s="101"/>
      <c r="WR4" s="101"/>
      <c r="WS4" s="101"/>
      <c r="WT4" s="101"/>
      <c r="WU4" s="101"/>
      <c r="WV4" s="101"/>
      <c r="WW4" s="101"/>
      <c r="WX4" s="101"/>
      <c r="WY4" s="101"/>
      <c r="WZ4" s="101"/>
      <c r="XA4" s="101"/>
      <c r="XB4" s="101"/>
      <c r="XC4" s="101"/>
      <c r="XD4" s="101"/>
      <c r="XE4" s="101"/>
      <c r="XF4" s="101"/>
      <c r="XG4" s="101"/>
      <c r="XH4" s="101"/>
      <c r="XI4" s="101"/>
      <c r="XJ4" s="101"/>
      <c r="XK4" s="101"/>
      <c r="XL4" s="101"/>
      <c r="XM4" s="101"/>
      <c r="XN4" s="101"/>
      <c r="XO4" s="101"/>
      <c r="XP4" s="101"/>
      <c r="XQ4" s="101"/>
      <c r="XR4" s="101"/>
      <c r="XS4" s="101"/>
      <c r="XT4" s="101"/>
      <c r="XU4" s="101"/>
      <c r="XV4" s="101"/>
      <c r="XW4" s="101"/>
      <c r="XX4" s="101"/>
      <c r="XY4" s="101"/>
      <c r="XZ4" s="101"/>
      <c r="YA4" s="101"/>
      <c r="YB4" s="101"/>
      <c r="YC4" s="101"/>
      <c r="YD4" s="101"/>
      <c r="YE4" s="101"/>
      <c r="YF4" s="101"/>
      <c r="YG4" s="101"/>
      <c r="YH4" s="101"/>
      <c r="YI4" s="101"/>
      <c r="YJ4" s="101"/>
      <c r="YK4" s="101"/>
      <c r="YL4" s="101"/>
      <c r="YM4" s="101"/>
      <c r="YN4" s="101"/>
      <c r="YO4" s="101"/>
      <c r="YP4" s="101"/>
      <c r="YQ4" s="101"/>
      <c r="YR4" s="101"/>
      <c r="YS4" s="101"/>
      <c r="YT4" s="101"/>
      <c r="YU4" s="101"/>
      <c r="YV4" s="101"/>
      <c r="YW4" s="101"/>
      <c r="YX4" s="101"/>
      <c r="YY4" s="101"/>
      <c r="YZ4" s="101"/>
      <c r="ZA4" s="101"/>
      <c r="ZB4" s="101"/>
      <c r="ZC4" s="101"/>
      <c r="ZD4" s="101"/>
      <c r="ZE4" s="101"/>
      <c r="ZF4" s="101"/>
      <c r="ZG4" s="101"/>
      <c r="ZH4" s="101"/>
    </row>
    <row r="5" spans="1:684">
      <c r="A5" s="75" t="s">
        <v>43</v>
      </c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>
        <v>10</v>
      </c>
      <c r="AC5" s="101">
        <v>10</v>
      </c>
      <c r="AD5" s="101">
        <v>10</v>
      </c>
      <c r="AE5" s="101">
        <v>10</v>
      </c>
      <c r="AF5" s="101">
        <v>10</v>
      </c>
      <c r="AG5" s="101">
        <v>10</v>
      </c>
      <c r="AH5" s="101"/>
      <c r="AI5" s="101">
        <v>10</v>
      </c>
      <c r="AJ5" s="101"/>
      <c r="AK5" s="101"/>
      <c r="AL5" s="101"/>
      <c r="AM5" s="101"/>
      <c r="AN5" s="101"/>
      <c r="AO5" s="101"/>
      <c r="AP5" s="101"/>
      <c r="AQ5" s="101"/>
      <c r="AR5" s="101"/>
      <c r="AS5" s="101"/>
      <c r="AT5" s="101"/>
      <c r="AU5" s="101"/>
      <c r="AV5" s="101"/>
      <c r="AW5" s="101"/>
      <c r="AX5" s="101">
        <v>10</v>
      </c>
      <c r="AY5" s="101"/>
      <c r="AZ5" s="101"/>
      <c r="BA5" s="101"/>
      <c r="BB5" s="101"/>
      <c r="BC5" s="101"/>
      <c r="BD5" s="101"/>
      <c r="BE5" s="101"/>
      <c r="BF5" s="101"/>
      <c r="BG5" s="101">
        <v>10</v>
      </c>
      <c r="BH5" s="101"/>
      <c r="BI5" s="101"/>
      <c r="BJ5" s="101"/>
      <c r="BK5" s="101">
        <v>8</v>
      </c>
      <c r="BL5" s="101">
        <v>8</v>
      </c>
      <c r="BM5" s="101">
        <v>8</v>
      </c>
      <c r="BN5" s="101">
        <v>16</v>
      </c>
      <c r="BO5" s="101">
        <v>8</v>
      </c>
      <c r="BP5" s="101">
        <v>16</v>
      </c>
      <c r="BQ5" s="101"/>
      <c r="BR5" s="101">
        <v>16</v>
      </c>
      <c r="BS5" s="101">
        <v>16</v>
      </c>
      <c r="BT5" s="101">
        <v>24</v>
      </c>
      <c r="BU5" s="101">
        <v>16</v>
      </c>
      <c r="BV5" s="101">
        <v>18</v>
      </c>
      <c r="BW5" s="101">
        <v>18</v>
      </c>
      <c r="BX5" s="101"/>
      <c r="BY5" s="101">
        <v>8</v>
      </c>
      <c r="BZ5" s="101"/>
      <c r="CA5" s="101"/>
      <c r="CB5" s="101"/>
      <c r="CC5" s="101"/>
      <c r="CD5" s="101"/>
      <c r="CE5" s="101"/>
      <c r="CF5" s="101"/>
      <c r="CG5" s="101"/>
      <c r="CH5" s="101">
        <v>10</v>
      </c>
      <c r="CI5" s="101">
        <v>10</v>
      </c>
      <c r="CJ5" s="101"/>
      <c r="CK5" s="101">
        <v>20</v>
      </c>
      <c r="CL5" s="101"/>
      <c r="CM5" s="101">
        <v>10</v>
      </c>
      <c r="CN5" s="101"/>
      <c r="CO5" s="101"/>
      <c r="CP5" s="101"/>
      <c r="CQ5" s="101"/>
      <c r="CR5" s="101"/>
      <c r="CS5" s="101"/>
      <c r="CT5" s="101"/>
      <c r="CU5" s="101">
        <v>10</v>
      </c>
      <c r="CV5" s="101"/>
      <c r="CW5" s="101"/>
      <c r="CX5" s="101"/>
      <c r="CY5" s="101">
        <v>40</v>
      </c>
      <c r="CZ5" s="101"/>
      <c r="DA5" s="101">
        <v>10</v>
      </c>
      <c r="DB5" s="101">
        <v>10</v>
      </c>
      <c r="DC5" s="101">
        <v>8</v>
      </c>
      <c r="DD5" s="101"/>
      <c r="DE5" s="101"/>
      <c r="DF5" s="101">
        <v>8</v>
      </c>
      <c r="DG5" s="101"/>
      <c r="DH5" s="101">
        <v>8</v>
      </c>
      <c r="DI5" s="101">
        <v>8</v>
      </c>
      <c r="DJ5" s="101">
        <v>8</v>
      </c>
      <c r="DK5" s="101">
        <v>18</v>
      </c>
      <c r="DL5" s="101">
        <v>18</v>
      </c>
      <c r="DM5" s="101">
        <v>18</v>
      </c>
      <c r="DN5" s="101"/>
      <c r="DO5" s="101">
        <v>18</v>
      </c>
      <c r="DP5" s="101"/>
      <c r="DQ5" s="101"/>
      <c r="DR5" s="101"/>
      <c r="DS5" s="101"/>
      <c r="DT5" s="101"/>
      <c r="DU5" s="101"/>
      <c r="DV5" s="101"/>
      <c r="DW5" s="101"/>
      <c r="DX5" s="101"/>
      <c r="DY5" s="101"/>
      <c r="DZ5" s="101"/>
      <c r="EA5" s="101">
        <v>10</v>
      </c>
      <c r="EB5" s="101"/>
      <c r="EC5" s="101"/>
      <c r="ED5" s="101">
        <v>2</v>
      </c>
      <c r="EE5" s="101"/>
      <c r="EF5" s="101">
        <v>20</v>
      </c>
      <c r="EG5" s="101"/>
      <c r="EH5" s="101">
        <v>2</v>
      </c>
      <c r="EI5" s="101"/>
      <c r="EJ5" s="101">
        <v>10</v>
      </c>
      <c r="EK5" s="101">
        <v>10</v>
      </c>
      <c r="EL5" s="101">
        <v>28</v>
      </c>
      <c r="EM5" s="101">
        <v>18</v>
      </c>
      <c r="EN5" s="101">
        <v>8</v>
      </c>
      <c r="EO5" s="101">
        <v>8</v>
      </c>
      <c r="EP5" s="101"/>
      <c r="EQ5" s="101">
        <v>18</v>
      </c>
      <c r="ER5" s="101">
        <v>28</v>
      </c>
      <c r="ES5" s="101">
        <v>28</v>
      </c>
      <c r="ET5" s="101">
        <v>8</v>
      </c>
      <c r="EU5" s="101"/>
      <c r="EV5" s="101"/>
      <c r="EW5" s="101"/>
      <c r="EX5" s="101"/>
      <c r="EY5" s="101">
        <v>10</v>
      </c>
      <c r="EZ5" s="101"/>
      <c r="FA5" s="101"/>
      <c r="FB5" s="101"/>
      <c r="FC5" s="101"/>
      <c r="FD5" s="101"/>
      <c r="FE5" s="101">
        <v>10</v>
      </c>
      <c r="FF5" s="101"/>
      <c r="FG5" s="101">
        <v>11</v>
      </c>
      <c r="FH5" s="101">
        <v>10</v>
      </c>
      <c r="FI5" s="101">
        <v>15</v>
      </c>
      <c r="FJ5" s="101">
        <v>15</v>
      </c>
      <c r="FK5" s="101"/>
      <c r="FL5" s="101"/>
      <c r="FM5" s="101">
        <v>1</v>
      </c>
      <c r="FN5" s="101">
        <v>10</v>
      </c>
      <c r="FO5" s="101">
        <v>10</v>
      </c>
      <c r="FP5" s="101">
        <v>10</v>
      </c>
      <c r="FQ5" s="101"/>
      <c r="FR5" s="101"/>
      <c r="FS5" s="101">
        <v>10</v>
      </c>
      <c r="FT5" s="101">
        <v>4</v>
      </c>
      <c r="FU5" s="101">
        <v>12</v>
      </c>
      <c r="FV5" s="101">
        <v>20</v>
      </c>
      <c r="FW5" s="101">
        <v>10</v>
      </c>
      <c r="FX5" s="101">
        <v>10</v>
      </c>
      <c r="FY5" s="101"/>
      <c r="FZ5" s="101">
        <v>10</v>
      </c>
      <c r="GA5" s="101">
        <v>20</v>
      </c>
      <c r="GB5" s="101">
        <v>30</v>
      </c>
      <c r="GC5" s="101">
        <v>16</v>
      </c>
      <c r="GD5" s="101">
        <v>20</v>
      </c>
      <c r="GE5" s="101">
        <v>10</v>
      </c>
      <c r="GF5" s="101"/>
      <c r="GG5" s="101">
        <v>10</v>
      </c>
      <c r="GH5" s="101">
        <v>10</v>
      </c>
      <c r="GI5" s="101"/>
      <c r="GJ5" s="101"/>
      <c r="GK5" s="101">
        <v>10</v>
      </c>
      <c r="GL5" s="101">
        <v>12</v>
      </c>
      <c r="GM5" s="101"/>
      <c r="GN5" s="101">
        <v>12</v>
      </c>
      <c r="GO5" s="101">
        <v>2</v>
      </c>
      <c r="GP5" s="101">
        <v>12</v>
      </c>
      <c r="GQ5" s="101">
        <v>2</v>
      </c>
      <c r="GR5" s="101">
        <v>2</v>
      </c>
      <c r="GS5" s="101">
        <v>2</v>
      </c>
      <c r="GT5" s="101"/>
      <c r="GU5" s="101">
        <v>12</v>
      </c>
      <c r="GV5" s="101">
        <v>8</v>
      </c>
      <c r="GW5" s="101">
        <v>6</v>
      </c>
      <c r="GX5" s="101">
        <v>15</v>
      </c>
      <c r="GY5" s="101">
        <v>24</v>
      </c>
      <c r="GZ5" s="101">
        <v>14</v>
      </c>
      <c r="HA5" s="101"/>
      <c r="HB5" s="101">
        <v>15</v>
      </c>
      <c r="HC5" s="101">
        <v>14</v>
      </c>
      <c r="HD5" s="101">
        <v>12</v>
      </c>
      <c r="HE5" s="101">
        <v>12</v>
      </c>
      <c r="HF5" s="101">
        <v>22</v>
      </c>
      <c r="HG5" s="101">
        <v>13</v>
      </c>
      <c r="HH5" s="101"/>
      <c r="HI5" s="101">
        <v>12</v>
      </c>
      <c r="HJ5" s="101">
        <v>22</v>
      </c>
      <c r="HK5" s="101">
        <v>12</v>
      </c>
      <c r="HL5" s="101">
        <v>12</v>
      </c>
      <c r="HM5" s="101">
        <v>17</v>
      </c>
      <c r="HN5" s="101">
        <v>4</v>
      </c>
      <c r="HO5" s="101"/>
      <c r="HP5" s="101">
        <v>2</v>
      </c>
      <c r="HQ5" s="101">
        <v>2</v>
      </c>
      <c r="HR5" s="101">
        <v>12</v>
      </c>
      <c r="HS5" s="101">
        <v>2</v>
      </c>
      <c r="HT5" s="101"/>
      <c r="HU5" s="101">
        <v>11</v>
      </c>
      <c r="HV5" s="101"/>
      <c r="HW5" s="101"/>
      <c r="HX5" s="101"/>
      <c r="HY5" s="101"/>
      <c r="HZ5" s="101"/>
      <c r="IA5" s="101">
        <v>11</v>
      </c>
      <c r="IB5" s="101">
        <v>23</v>
      </c>
      <c r="IC5" s="101"/>
      <c r="ID5" s="101">
        <v>12</v>
      </c>
      <c r="IE5" s="101">
        <v>2</v>
      </c>
      <c r="IF5" s="101">
        <v>2</v>
      </c>
      <c r="IG5" s="101">
        <v>3</v>
      </c>
      <c r="IH5" s="101">
        <v>2</v>
      </c>
      <c r="II5" s="101">
        <v>2</v>
      </c>
      <c r="IJ5" s="101"/>
      <c r="IK5" s="101">
        <v>2</v>
      </c>
      <c r="IL5" s="101">
        <v>2</v>
      </c>
      <c r="IM5" s="101">
        <v>2</v>
      </c>
      <c r="IN5" s="101">
        <v>4</v>
      </c>
      <c r="IO5" s="101">
        <v>14</v>
      </c>
      <c r="IP5" s="101">
        <v>4</v>
      </c>
      <c r="IQ5" s="101"/>
      <c r="IR5" s="101">
        <v>4</v>
      </c>
      <c r="IS5" s="101">
        <v>4</v>
      </c>
      <c r="IT5" s="101">
        <v>2</v>
      </c>
      <c r="IU5" s="101">
        <v>2</v>
      </c>
      <c r="IV5" s="101">
        <v>2</v>
      </c>
      <c r="IW5" s="101">
        <v>13</v>
      </c>
      <c r="IX5" s="101"/>
      <c r="IY5" s="101">
        <v>12</v>
      </c>
      <c r="IZ5" s="101">
        <v>12</v>
      </c>
      <c r="JA5" s="101">
        <v>12</v>
      </c>
      <c r="JB5" s="101">
        <v>2</v>
      </c>
      <c r="JC5" s="101">
        <v>2</v>
      </c>
      <c r="JD5" s="101">
        <v>2</v>
      </c>
      <c r="JE5" s="101"/>
      <c r="JF5" s="101">
        <v>2</v>
      </c>
      <c r="JG5" s="101">
        <v>2</v>
      </c>
      <c r="JH5" s="101">
        <v>2</v>
      </c>
      <c r="JI5" s="101">
        <v>4</v>
      </c>
      <c r="JJ5" s="101">
        <v>4</v>
      </c>
      <c r="JK5" s="101">
        <v>4</v>
      </c>
      <c r="JL5" s="101"/>
      <c r="JM5" s="101">
        <v>14</v>
      </c>
      <c r="JN5" s="101">
        <v>4</v>
      </c>
      <c r="JO5" s="101">
        <v>4</v>
      </c>
      <c r="JP5" s="101">
        <v>4</v>
      </c>
      <c r="JQ5" s="101">
        <v>4</v>
      </c>
      <c r="JR5" s="101">
        <v>6</v>
      </c>
      <c r="JS5" s="101"/>
      <c r="JT5" s="101">
        <v>4</v>
      </c>
      <c r="JU5" s="101">
        <v>12</v>
      </c>
      <c r="JV5" s="101">
        <v>12</v>
      </c>
      <c r="JW5" s="101">
        <v>12</v>
      </c>
      <c r="JX5" s="101">
        <v>12</v>
      </c>
      <c r="JY5" s="101">
        <v>2</v>
      </c>
      <c r="JZ5" s="101"/>
      <c r="KA5" s="101">
        <v>2</v>
      </c>
      <c r="KB5" s="101">
        <v>2</v>
      </c>
      <c r="KC5" s="101">
        <v>12</v>
      </c>
      <c r="KD5" s="101">
        <v>2</v>
      </c>
      <c r="KE5" s="101">
        <v>2</v>
      </c>
      <c r="KF5" s="101">
        <v>7</v>
      </c>
      <c r="KG5" s="101"/>
      <c r="KH5" s="101">
        <v>10</v>
      </c>
      <c r="KI5" s="101">
        <v>12</v>
      </c>
      <c r="KJ5" s="101">
        <v>22</v>
      </c>
      <c r="KK5" s="101">
        <v>12</v>
      </c>
      <c r="KL5" s="101"/>
      <c r="KM5" s="101"/>
      <c r="KN5" s="101"/>
      <c r="KO5" s="101"/>
      <c r="KP5" s="101"/>
      <c r="KQ5" s="101"/>
      <c r="KR5" s="101">
        <v>12</v>
      </c>
      <c r="KS5" s="101">
        <v>12</v>
      </c>
      <c r="KT5" s="101">
        <v>12</v>
      </c>
      <c r="KU5" s="101"/>
      <c r="KV5" s="101">
        <v>12</v>
      </c>
      <c r="KW5" s="101">
        <v>12</v>
      </c>
      <c r="KX5" s="101">
        <v>12</v>
      </c>
      <c r="KY5" s="101">
        <v>14</v>
      </c>
      <c r="KZ5" s="101">
        <v>14</v>
      </c>
      <c r="LA5" s="101">
        <v>14</v>
      </c>
      <c r="LB5" s="101"/>
      <c r="LC5" s="101">
        <v>14</v>
      </c>
      <c r="LD5" s="101">
        <v>14</v>
      </c>
      <c r="LE5" s="101">
        <v>20</v>
      </c>
      <c r="LF5" s="101">
        <v>20</v>
      </c>
      <c r="LG5" s="101">
        <v>20</v>
      </c>
      <c r="LH5" s="101">
        <v>20</v>
      </c>
      <c r="LI5" s="101"/>
      <c r="LJ5" s="101">
        <v>20</v>
      </c>
      <c r="LK5" s="101">
        <v>18</v>
      </c>
      <c r="LL5" s="101">
        <v>21</v>
      </c>
      <c r="LM5" s="101">
        <v>21</v>
      </c>
      <c r="LN5" s="101">
        <v>21</v>
      </c>
      <c r="LO5" s="101">
        <v>21</v>
      </c>
      <c r="LP5" s="101"/>
      <c r="LQ5" s="101">
        <v>15</v>
      </c>
      <c r="LR5" s="101">
        <v>13</v>
      </c>
      <c r="LS5" s="101">
        <v>13</v>
      </c>
      <c r="LT5" s="101">
        <v>13</v>
      </c>
      <c r="LU5" s="101">
        <v>8</v>
      </c>
      <c r="LV5" s="101">
        <v>5</v>
      </c>
      <c r="LW5" s="101"/>
      <c r="LX5" s="101">
        <v>9</v>
      </c>
      <c r="LY5" s="101">
        <v>9</v>
      </c>
      <c r="LZ5" s="101">
        <v>7</v>
      </c>
      <c r="MA5" s="101">
        <v>7</v>
      </c>
      <c r="MB5" s="101">
        <v>7</v>
      </c>
      <c r="MC5" s="101">
        <v>5</v>
      </c>
      <c r="MD5" s="101"/>
      <c r="ME5" s="101">
        <v>5</v>
      </c>
      <c r="MF5" s="101">
        <v>5</v>
      </c>
      <c r="MG5" s="101">
        <v>5</v>
      </c>
      <c r="MH5" s="101">
        <v>5</v>
      </c>
      <c r="MI5" s="101">
        <v>11</v>
      </c>
      <c r="MJ5" s="101">
        <v>11</v>
      </c>
      <c r="MK5" s="101"/>
      <c r="ML5" s="101">
        <v>9</v>
      </c>
      <c r="MM5" s="101">
        <v>9</v>
      </c>
      <c r="MN5" s="101">
        <v>9</v>
      </c>
      <c r="MO5" s="101">
        <v>7</v>
      </c>
      <c r="MP5" s="101">
        <v>7</v>
      </c>
      <c r="MQ5" s="101">
        <v>7</v>
      </c>
      <c r="MR5" s="101"/>
      <c r="MS5" s="101">
        <v>7</v>
      </c>
      <c r="MT5" s="101">
        <v>7</v>
      </c>
      <c r="MU5" s="101">
        <v>11</v>
      </c>
      <c r="MV5" s="101">
        <v>11</v>
      </c>
      <c r="MW5" s="101">
        <v>8</v>
      </c>
      <c r="MX5" s="101">
        <v>8</v>
      </c>
      <c r="MY5" s="101"/>
      <c r="MZ5" s="101">
        <v>8</v>
      </c>
      <c r="NA5" s="101">
        <v>4</v>
      </c>
      <c r="NB5" s="101">
        <v>4</v>
      </c>
      <c r="NC5" s="101">
        <v>4</v>
      </c>
      <c r="ND5" s="101">
        <v>4</v>
      </c>
      <c r="NE5" s="101">
        <v>4</v>
      </c>
      <c r="NF5" s="101">
        <v>5</v>
      </c>
      <c r="NG5" s="101">
        <v>17</v>
      </c>
      <c r="NH5" s="101">
        <v>17</v>
      </c>
      <c r="NI5" s="101">
        <v>17</v>
      </c>
      <c r="NJ5" s="101">
        <v>17</v>
      </c>
      <c r="NK5" s="101">
        <v>17</v>
      </c>
      <c r="NL5" s="101">
        <v>8</v>
      </c>
      <c r="NM5" s="101"/>
      <c r="NN5" s="101">
        <v>8</v>
      </c>
      <c r="NO5" s="101">
        <v>8</v>
      </c>
      <c r="NP5" s="101">
        <v>8</v>
      </c>
      <c r="NQ5" s="101">
        <v>8</v>
      </c>
      <c r="NR5" s="101">
        <v>12</v>
      </c>
      <c r="NS5" s="101">
        <v>12</v>
      </c>
      <c r="NT5" s="101"/>
      <c r="NU5" s="101">
        <v>12</v>
      </c>
      <c r="NV5" s="101">
        <v>12</v>
      </c>
      <c r="NW5" s="101">
        <v>12</v>
      </c>
      <c r="NX5" s="101">
        <v>8</v>
      </c>
      <c r="NY5" s="101">
        <v>8</v>
      </c>
      <c r="NZ5" s="101">
        <v>8</v>
      </c>
      <c r="OA5" s="101"/>
      <c r="OB5" s="101">
        <v>8</v>
      </c>
      <c r="OC5" s="101">
        <v>8</v>
      </c>
      <c r="OD5" s="101">
        <v>12</v>
      </c>
      <c r="OE5" s="101">
        <v>12</v>
      </c>
      <c r="OF5" s="101">
        <v>12</v>
      </c>
      <c r="OG5" s="101">
        <v>12</v>
      </c>
      <c r="OH5" s="101"/>
      <c r="OI5" s="101">
        <v>12</v>
      </c>
      <c r="OJ5" s="101">
        <v>8</v>
      </c>
      <c r="OK5" s="101">
        <v>8</v>
      </c>
      <c r="OL5" s="101">
        <v>8</v>
      </c>
      <c r="OM5" s="101">
        <v>8</v>
      </c>
      <c r="ON5" s="101">
        <v>8</v>
      </c>
      <c r="OO5" s="101">
        <v>2</v>
      </c>
      <c r="OP5" s="101">
        <v>20</v>
      </c>
      <c r="OQ5" s="101">
        <v>20</v>
      </c>
      <c r="OR5" s="101">
        <v>20</v>
      </c>
      <c r="OS5" s="101">
        <v>20</v>
      </c>
      <c r="OT5" s="101">
        <v>20</v>
      </c>
      <c r="OU5" s="101">
        <v>16</v>
      </c>
      <c r="OV5" s="101"/>
      <c r="OW5" s="101">
        <v>14</v>
      </c>
      <c r="OX5" s="101">
        <v>14</v>
      </c>
      <c r="OY5" s="101">
        <v>14</v>
      </c>
      <c r="OZ5" s="101">
        <v>14</v>
      </c>
      <c r="PA5" s="101">
        <v>16</v>
      </c>
      <c r="PB5" s="101">
        <v>16</v>
      </c>
      <c r="PC5" s="101">
        <v>2</v>
      </c>
      <c r="PD5" s="101">
        <v>6</v>
      </c>
      <c r="PE5" s="101">
        <v>6</v>
      </c>
      <c r="PF5" s="101">
        <v>6</v>
      </c>
      <c r="PG5" s="101">
        <v>2</v>
      </c>
      <c r="PH5" s="101"/>
      <c r="PI5" s="101"/>
      <c r="PJ5" s="101"/>
      <c r="PK5" s="101"/>
      <c r="PL5" s="101">
        <v>2</v>
      </c>
      <c r="PM5" s="101">
        <v>4</v>
      </c>
      <c r="PN5" s="101">
        <v>4</v>
      </c>
      <c r="PO5" s="101">
        <v>4</v>
      </c>
      <c r="PP5" s="101">
        <v>4</v>
      </c>
      <c r="PQ5" s="101">
        <v>2</v>
      </c>
      <c r="PR5" s="101">
        <v>4</v>
      </c>
      <c r="PS5" s="101">
        <v>4</v>
      </c>
      <c r="PT5" s="101">
        <v>2</v>
      </c>
      <c r="PU5" s="101">
        <v>2</v>
      </c>
      <c r="PV5" s="101">
        <v>2</v>
      </c>
      <c r="PW5" s="101">
        <v>2</v>
      </c>
      <c r="PX5" s="101"/>
      <c r="PY5" s="101">
        <v>2</v>
      </c>
      <c r="PZ5" s="101"/>
      <c r="QA5" s="101"/>
      <c r="QB5" s="101"/>
      <c r="QC5" s="101"/>
      <c r="QD5" s="101"/>
      <c r="QE5" s="101"/>
      <c r="QF5" s="101"/>
      <c r="QG5" s="101"/>
      <c r="QH5" s="101"/>
      <c r="QI5" s="101"/>
      <c r="QJ5" s="101"/>
      <c r="QK5" s="101"/>
      <c r="QL5" s="101"/>
      <c r="QM5" s="101"/>
      <c r="QN5" s="101"/>
      <c r="QO5" s="101"/>
      <c r="QP5" s="101">
        <v>2</v>
      </c>
      <c r="QQ5" s="101">
        <v>2</v>
      </c>
      <c r="QR5" s="101"/>
      <c r="QS5" s="101"/>
      <c r="QT5" s="101"/>
      <c r="QU5" s="101"/>
      <c r="QV5" s="101"/>
      <c r="QW5" s="101"/>
      <c r="QX5" s="101"/>
      <c r="QY5" s="101"/>
      <c r="QZ5" s="101"/>
      <c r="RA5" s="101"/>
      <c r="RB5" s="101">
        <v>2</v>
      </c>
      <c r="RC5" s="101">
        <v>2</v>
      </c>
      <c r="RD5" s="101"/>
      <c r="RE5" s="101"/>
      <c r="RF5" s="101"/>
      <c r="RG5" s="101"/>
      <c r="RH5" s="101"/>
      <c r="RI5" s="101"/>
      <c r="RJ5" s="101"/>
      <c r="RK5" s="101"/>
      <c r="RL5" s="101"/>
      <c r="RM5" s="101"/>
      <c r="RN5" s="101">
        <v>2</v>
      </c>
      <c r="RO5" s="101">
        <v>2</v>
      </c>
      <c r="RP5" s="101"/>
      <c r="RQ5" s="101"/>
      <c r="RR5" s="101"/>
      <c r="RS5" s="101"/>
      <c r="RT5" s="101"/>
      <c r="RU5" s="101"/>
      <c r="RV5" s="101"/>
      <c r="RW5" s="101"/>
      <c r="RX5" s="101"/>
      <c r="RY5" s="101"/>
      <c r="RZ5" s="101"/>
      <c r="SA5" s="101"/>
      <c r="SB5" s="101"/>
      <c r="SC5" s="101"/>
      <c r="SD5" s="101"/>
      <c r="SE5" s="101"/>
      <c r="SF5" s="101"/>
      <c r="SG5" s="101"/>
      <c r="SH5" s="101"/>
      <c r="SI5" s="101"/>
      <c r="SJ5" s="101"/>
      <c r="SK5" s="101"/>
      <c r="SL5" s="101"/>
      <c r="SM5" s="101"/>
      <c r="SN5" s="101"/>
      <c r="SO5" s="101"/>
      <c r="SP5" s="101"/>
      <c r="SQ5" s="101"/>
      <c r="SR5" s="101"/>
      <c r="SS5" s="101"/>
      <c r="ST5" s="101"/>
      <c r="SU5" s="101"/>
      <c r="SV5" s="101"/>
      <c r="SW5" s="101"/>
      <c r="SX5" s="101"/>
      <c r="SY5" s="101"/>
      <c r="SZ5" s="101"/>
      <c r="TA5" s="101"/>
      <c r="TB5" s="101"/>
      <c r="TC5" s="101"/>
      <c r="TD5" s="101"/>
      <c r="TE5" s="101"/>
      <c r="TF5" s="101"/>
      <c r="TG5" s="101"/>
      <c r="TH5" s="101"/>
      <c r="TI5" s="101"/>
      <c r="TJ5" s="101"/>
      <c r="TK5" s="101"/>
      <c r="TL5" s="101"/>
      <c r="TM5" s="101"/>
      <c r="TN5" s="101"/>
      <c r="TO5" s="101"/>
      <c r="TP5" s="101"/>
      <c r="TQ5" s="101"/>
      <c r="TR5" s="101"/>
      <c r="TS5" s="101"/>
      <c r="TT5" s="101"/>
      <c r="TU5" s="101"/>
      <c r="TV5" s="101"/>
      <c r="TW5" s="101"/>
      <c r="TX5" s="101"/>
      <c r="TY5" s="101"/>
      <c r="TZ5" s="101"/>
      <c r="UA5" s="101"/>
      <c r="UB5" s="101"/>
      <c r="UC5" s="101"/>
      <c r="UD5" s="101"/>
      <c r="UE5" s="101"/>
      <c r="UF5" s="101"/>
      <c r="UG5" s="101"/>
      <c r="UH5" s="101"/>
      <c r="UI5" s="101"/>
      <c r="UJ5" s="101"/>
      <c r="UK5" s="101"/>
      <c r="UL5" s="101"/>
      <c r="UM5" s="101"/>
      <c r="UN5" s="101"/>
      <c r="UO5" s="101"/>
      <c r="UP5" s="101"/>
      <c r="UQ5" s="101"/>
      <c r="UR5" s="101"/>
      <c r="US5" s="101"/>
      <c r="UT5" s="101"/>
      <c r="UU5" s="101"/>
      <c r="UV5" s="101"/>
      <c r="UW5" s="101"/>
      <c r="UX5" s="101"/>
      <c r="UY5" s="101"/>
      <c r="UZ5" s="101"/>
      <c r="VA5" s="101"/>
      <c r="VB5" s="101"/>
      <c r="VC5" s="101"/>
      <c r="VD5" s="101"/>
      <c r="VE5" s="101"/>
      <c r="VF5" s="101"/>
      <c r="VG5" s="101"/>
      <c r="VH5" s="101"/>
      <c r="VI5" s="101"/>
      <c r="VJ5" s="101"/>
      <c r="VK5" s="101"/>
      <c r="VL5" s="101"/>
      <c r="VM5" s="101"/>
      <c r="VN5" s="101"/>
      <c r="VO5" s="101"/>
      <c r="VP5" s="101"/>
      <c r="VQ5" s="101"/>
      <c r="VR5" s="101"/>
      <c r="VS5" s="101"/>
      <c r="VT5" s="101"/>
      <c r="VU5" s="101"/>
      <c r="VV5" s="101"/>
      <c r="VW5" s="101"/>
      <c r="VX5" s="101"/>
      <c r="VY5" s="101"/>
      <c r="VZ5" s="101"/>
      <c r="WA5" s="101"/>
      <c r="WB5" s="101"/>
      <c r="WC5" s="101"/>
      <c r="WD5" s="101"/>
      <c r="WE5" s="101"/>
      <c r="WF5" s="101"/>
      <c r="WG5" s="101"/>
      <c r="WH5" s="101"/>
      <c r="WI5" s="101"/>
      <c r="WJ5" s="101"/>
      <c r="WK5" s="101"/>
      <c r="WL5" s="101"/>
      <c r="WM5" s="101"/>
      <c r="WN5" s="101"/>
      <c r="WO5" s="101"/>
      <c r="WP5" s="101"/>
      <c r="WQ5" s="101"/>
      <c r="WR5" s="101"/>
      <c r="WS5" s="101"/>
      <c r="WT5" s="101"/>
      <c r="WU5" s="101"/>
      <c r="WV5" s="101"/>
      <c r="WW5" s="101"/>
      <c r="WX5" s="101"/>
      <c r="WY5" s="101"/>
      <c r="WZ5" s="101"/>
      <c r="XA5" s="101"/>
      <c r="XB5" s="101"/>
      <c r="XC5" s="101"/>
      <c r="XD5" s="101"/>
      <c r="XE5" s="101"/>
      <c r="XF5" s="101"/>
      <c r="XG5" s="101"/>
      <c r="XH5" s="101"/>
      <c r="XI5" s="101"/>
      <c r="XJ5" s="101"/>
      <c r="XK5" s="101"/>
      <c r="XL5" s="101"/>
      <c r="XM5" s="101"/>
      <c r="XN5" s="101"/>
      <c r="XO5" s="101"/>
      <c r="XP5" s="101"/>
      <c r="XQ5" s="101"/>
      <c r="XR5" s="101"/>
      <c r="XS5" s="101"/>
      <c r="XT5" s="101"/>
      <c r="XU5" s="101"/>
      <c r="XV5" s="101"/>
      <c r="XW5" s="101"/>
      <c r="XX5" s="101"/>
      <c r="XY5" s="101"/>
      <c r="XZ5" s="101"/>
      <c r="YA5" s="101"/>
      <c r="YB5" s="101"/>
      <c r="YC5" s="101"/>
      <c r="YD5" s="101"/>
      <c r="YE5" s="101"/>
      <c r="YF5" s="101"/>
      <c r="YG5" s="101"/>
      <c r="YH5" s="101"/>
      <c r="YI5" s="101"/>
      <c r="YJ5" s="101"/>
      <c r="YK5" s="101"/>
      <c r="YL5" s="101"/>
      <c r="YM5" s="101"/>
      <c r="YN5" s="101"/>
      <c r="YO5" s="101"/>
      <c r="YP5" s="101"/>
      <c r="YQ5" s="101"/>
      <c r="YR5" s="101"/>
      <c r="YS5" s="101"/>
      <c r="YT5" s="101"/>
      <c r="YU5" s="101"/>
      <c r="YV5" s="101"/>
      <c r="YW5" s="101"/>
      <c r="YX5" s="101"/>
      <c r="YY5" s="101"/>
      <c r="YZ5" s="101"/>
      <c r="ZA5" s="101"/>
      <c r="ZB5" s="101"/>
      <c r="ZC5" s="101"/>
      <c r="ZD5" s="101"/>
      <c r="ZE5" s="101"/>
      <c r="ZF5" s="101"/>
      <c r="ZG5" s="101"/>
      <c r="ZH5" s="101"/>
    </row>
    <row r="6" spans="1:684">
      <c r="A6" s="75" t="s">
        <v>44</v>
      </c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>
        <v>10</v>
      </c>
      <c r="AC6" s="101">
        <v>10</v>
      </c>
      <c r="AD6" s="101">
        <v>10</v>
      </c>
      <c r="AE6" s="101">
        <v>10</v>
      </c>
      <c r="AF6" s="101">
        <v>10</v>
      </c>
      <c r="AG6" s="101">
        <v>10</v>
      </c>
      <c r="AH6" s="101"/>
      <c r="AI6" s="101">
        <v>10</v>
      </c>
      <c r="AJ6" s="101">
        <v>22</v>
      </c>
      <c r="AK6" s="101">
        <v>22</v>
      </c>
      <c r="AL6" s="101">
        <v>22</v>
      </c>
      <c r="AM6" s="101">
        <v>22</v>
      </c>
      <c r="AN6" s="101">
        <v>22</v>
      </c>
      <c r="AO6" s="101"/>
      <c r="AP6" s="101">
        <v>22</v>
      </c>
      <c r="AQ6" s="101">
        <v>22</v>
      </c>
      <c r="AR6" s="101">
        <v>22</v>
      </c>
      <c r="AS6" s="101">
        <v>22</v>
      </c>
      <c r="AT6" s="101">
        <v>25</v>
      </c>
      <c r="AU6" s="101">
        <v>15</v>
      </c>
      <c r="AV6" s="101"/>
      <c r="AW6" s="101">
        <v>15</v>
      </c>
      <c r="AX6" s="101">
        <v>17</v>
      </c>
      <c r="AY6" s="101">
        <v>16</v>
      </c>
      <c r="AZ6" s="101">
        <v>24</v>
      </c>
      <c r="BA6" s="101">
        <v>24</v>
      </c>
      <c r="BB6" s="101">
        <v>21</v>
      </c>
      <c r="BC6" s="101"/>
      <c r="BD6" s="101">
        <v>21</v>
      </c>
      <c r="BE6" s="101">
        <v>21</v>
      </c>
      <c r="BF6" s="101">
        <v>21</v>
      </c>
      <c r="BG6" s="101">
        <v>27</v>
      </c>
      <c r="BH6" s="101">
        <v>22</v>
      </c>
      <c r="BI6" s="101">
        <v>22</v>
      </c>
      <c r="BJ6" s="101"/>
      <c r="BK6" s="101">
        <v>23</v>
      </c>
      <c r="BL6" s="101">
        <v>26</v>
      </c>
      <c r="BM6" s="101">
        <v>26</v>
      </c>
      <c r="BN6" s="101">
        <v>26</v>
      </c>
      <c r="BO6" s="101">
        <v>18</v>
      </c>
      <c r="BP6" s="101">
        <v>21</v>
      </c>
      <c r="BQ6" s="101"/>
      <c r="BR6" s="101">
        <v>19</v>
      </c>
      <c r="BS6" s="101">
        <v>19</v>
      </c>
      <c r="BT6" s="101">
        <v>24</v>
      </c>
      <c r="BU6" s="101">
        <v>16</v>
      </c>
      <c r="BV6" s="101">
        <v>27</v>
      </c>
      <c r="BW6" s="101">
        <v>36</v>
      </c>
      <c r="BX6" s="101"/>
      <c r="BY6" s="101">
        <v>48</v>
      </c>
      <c r="BZ6" s="101">
        <v>43</v>
      </c>
      <c r="CA6" s="101">
        <v>43</v>
      </c>
      <c r="CB6" s="101">
        <v>43</v>
      </c>
      <c r="CC6" s="101">
        <v>43</v>
      </c>
      <c r="CD6" s="101">
        <v>43</v>
      </c>
      <c r="CE6" s="101"/>
      <c r="CF6" s="101">
        <v>49</v>
      </c>
      <c r="CG6" s="101">
        <v>59</v>
      </c>
      <c r="CH6" s="101">
        <v>69</v>
      </c>
      <c r="CI6" s="101">
        <v>60</v>
      </c>
      <c r="CJ6" s="101">
        <v>40</v>
      </c>
      <c r="CK6" s="101">
        <v>48</v>
      </c>
      <c r="CL6" s="101"/>
      <c r="CM6" s="101">
        <v>49</v>
      </c>
      <c r="CN6" s="101">
        <v>66</v>
      </c>
      <c r="CO6" s="101">
        <v>80</v>
      </c>
      <c r="CP6" s="101">
        <v>90</v>
      </c>
      <c r="CQ6" s="101">
        <v>84</v>
      </c>
      <c r="CR6" s="101">
        <v>84</v>
      </c>
      <c r="CS6" s="101"/>
      <c r="CT6" s="101">
        <v>84</v>
      </c>
      <c r="CU6" s="101">
        <v>84</v>
      </c>
      <c r="CV6" s="101">
        <v>64</v>
      </c>
      <c r="CW6" s="101">
        <v>55</v>
      </c>
      <c r="CX6" s="101">
        <v>45</v>
      </c>
      <c r="CY6" s="101">
        <v>48</v>
      </c>
      <c r="CZ6" s="101"/>
      <c r="DA6" s="101">
        <v>18</v>
      </c>
      <c r="DB6" s="101">
        <v>18</v>
      </c>
      <c r="DC6" s="101">
        <v>8</v>
      </c>
      <c r="DD6" s="101"/>
      <c r="DE6" s="101"/>
      <c r="DF6" s="101">
        <v>8</v>
      </c>
      <c r="DG6" s="101"/>
      <c r="DH6" s="101">
        <v>8</v>
      </c>
      <c r="DI6" s="101">
        <v>8</v>
      </c>
      <c r="DJ6" s="101">
        <v>8</v>
      </c>
      <c r="DK6" s="101">
        <v>18</v>
      </c>
      <c r="DL6" s="101">
        <v>24</v>
      </c>
      <c r="DM6" s="101">
        <v>24</v>
      </c>
      <c r="DN6" s="101"/>
      <c r="DO6" s="101">
        <v>24</v>
      </c>
      <c r="DP6" s="101">
        <v>11</v>
      </c>
      <c r="DQ6" s="101">
        <v>27</v>
      </c>
      <c r="DR6" s="101">
        <v>27</v>
      </c>
      <c r="DS6" s="101">
        <v>27</v>
      </c>
      <c r="DT6" s="101">
        <v>29</v>
      </c>
      <c r="DU6" s="101"/>
      <c r="DV6" s="101">
        <v>35</v>
      </c>
      <c r="DW6" s="101">
        <v>35</v>
      </c>
      <c r="DX6" s="101">
        <v>35</v>
      </c>
      <c r="DY6" s="101">
        <v>35</v>
      </c>
      <c r="DZ6" s="101">
        <v>36</v>
      </c>
      <c r="EA6" s="101">
        <v>41</v>
      </c>
      <c r="EB6" s="101"/>
      <c r="EC6" s="101">
        <v>44</v>
      </c>
      <c r="ED6" s="101">
        <v>73</v>
      </c>
      <c r="EE6" s="101">
        <v>72</v>
      </c>
      <c r="EF6" s="101">
        <v>73</v>
      </c>
      <c r="EG6" s="101">
        <v>52</v>
      </c>
      <c r="EH6" s="101">
        <v>53</v>
      </c>
      <c r="EI6" s="101"/>
      <c r="EJ6" s="101">
        <v>57</v>
      </c>
      <c r="EK6" s="101">
        <v>57</v>
      </c>
      <c r="EL6" s="101">
        <v>66</v>
      </c>
      <c r="EM6" s="101">
        <v>35</v>
      </c>
      <c r="EN6" s="101">
        <v>83</v>
      </c>
      <c r="EO6" s="101">
        <v>111</v>
      </c>
      <c r="EP6" s="101"/>
      <c r="EQ6" s="101">
        <v>121</v>
      </c>
      <c r="ER6" s="101">
        <v>126</v>
      </c>
      <c r="ES6" s="101">
        <v>114</v>
      </c>
      <c r="ET6" s="101">
        <v>94</v>
      </c>
      <c r="EU6" s="101">
        <v>106</v>
      </c>
      <c r="EV6" s="101">
        <v>107</v>
      </c>
      <c r="EW6" s="101"/>
      <c r="EX6" s="101">
        <v>70</v>
      </c>
      <c r="EY6" s="101">
        <v>63</v>
      </c>
      <c r="EZ6" s="101">
        <v>64</v>
      </c>
      <c r="FA6" s="101">
        <v>90</v>
      </c>
      <c r="FB6" s="101">
        <v>91</v>
      </c>
      <c r="FC6" s="101">
        <v>76</v>
      </c>
      <c r="FD6" s="101"/>
      <c r="FE6" s="101">
        <v>77</v>
      </c>
      <c r="FF6" s="101">
        <v>66</v>
      </c>
      <c r="FG6" s="101">
        <v>76</v>
      </c>
      <c r="FH6" s="101">
        <v>75</v>
      </c>
      <c r="FI6" s="101">
        <v>53</v>
      </c>
      <c r="FJ6" s="101">
        <v>37</v>
      </c>
      <c r="FK6" s="101"/>
      <c r="FL6" s="101">
        <v>90</v>
      </c>
      <c r="FM6" s="101">
        <v>140</v>
      </c>
      <c r="FN6" s="101">
        <v>149</v>
      </c>
      <c r="FO6" s="101">
        <v>145</v>
      </c>
      <c r="FP6" s="101">
        <v>139</v>
      </c>
      <c r="FQ6" s="101">
        <v>130</v>
      </c>
      <c r="FR6" s="101"/>
      <c r="FS6" s="101">
        <v>135</v>
      </c>
      <c r="FT6" s="101">
        <v>138</v>
      </c>
      <c r="FU6" s="101">
        <v>143</v>
      </c>
      <c r="FV6" s="101">
        <v>137</v>
      </c>
      <c r="FW6" s="101">
        <v>139</v>
      </c>
      <c r="FX6" s="101">
        <v>160</v>
      </c>
      <c r="FY6" s="101"/>
      <c r="FZ6" s="101">
        <v>156</v>
      </c>
      <c r="GA6" s="101">
        <v>146</v>
      </c>
      <c r="GB6" s="101">
        <v>132</v>
      </c>
      <c r="GC6" s="101">
        <v>106</v>
      </c>
      <c r="GD6" s="101">
        <v>137</v>
      </c>
      <c r="GE6" s="101">
        <v>201</v>
      </c>
      <c r="GF6" s="101"/>
      <c r="GG6" s="101">
        <v>237</v>
      </c>
      <c r="GH6" s="101">
        <v>224</v>
      </c>
      <c r="GI6" s="101">
        <v>269</v>
      </c>
      <c r="GJ6" s="101">
        <v>269</v>
      </c>
      <c r="GK6" s="101">
        <v>307</v>
      </c>
      <c r="GL6" s="101">
        <v>307</v>
      </c>
      <c r="GM6" s="101"/>
      <c r="GN6" s="101">
        <v>304</v>
      </c>
      <c r="GO6" s="101">
        <v>236</v>
      </c>
      <c r="GP6" s="101">
        <v>219</v>
      </c>
      <c r="GQ6" s="101">
        <v>217</v>
      </c>
      <c r="GR6" s="101">
        <v>223</v>
      </c>
      <c r="GS6" s="101">
        <v>240</v>
      </c>
      <c r="GT6" s="101"/>
      <c r="GU6" s="101">
        <v>197</v>
      </c>
      <c r="GV6" s="101">
        <v>143</v>
      </c>
      <c r="GW6" s="101">
        <v>147</v>
      </c>
      <c r="GX6" s="101">
        <v>152</v>
      </c>
      <c r="GY6" s="101">
        <v>154</v>
      </c>
      <c r="GZ6" s="101">
        <v>133</v>
      </c>
      <c r="HA6" s="101"/>
      <c r="HB6" s="101">
        <v>107</v>
      </c>
      <c r="HC6" s="101">
        <v>161</v>
      </c>
      <c r="HD6" s="101">
        <v>185</v>
      </c>
      <c r="HE6" s="101">
        <v>184</v>
      </c>
      <c r="HF6" s="101">
        <v>185</v>
      </c>
      <c r="HG6" s="101">
        <v>238</v>
      </c>
      <c r="HH6" s="101"/>
      <c r="HI6" s="101">
        <v>257</v>
      </c>
      <c r="HJ6" s="101">
        <v>238</v>
      </c>
      <c r="HK6" s="101">
        <v>225</v>
      </c>
      <c r="HL6" s="101">
        <v>159</v>
      </c>
      <c r="HM6" s="101">
        <v>133</v>
      </c>
      <c r="HN6" s="101">
        <v>131</v>
      </c>
      <c r="HO6" s="101"/>
      <c r="HP6" s="101">
        <v>150</v>
      </c>
      <c r="HQ6" s="101">
        <v>113</v>
      </c>
      <c r="HR6" s="101">
        <v>117</v>
      </c>
      <c r="HS6" s="101">
        <v>108</v>
      </c>
      <c r="HT6" s="101">
        <v>135</v>
      </c>
      <c r="HU6" s="101">
        <v>162</v>
      </c>
      <c r="HV6" s="101"/>
      <c r="HW6" s="101"/>
      <c r="HX6" s="101"/>
      <c r="HY6" s="101"/>
      <c r="HZ6" s="101"/>
      <c r="IA6" s="101">
        <v>142</v>
      </c>
      <c r="IB6" s="101">
        <v>131</v>
      </c>
      <c r="IC6" s="101"/>
      <c r="ID6" s="101">
        <v>99</v>
      </c>
      <c r="IE6" s="101">
        <v>148</v>
      </c>
      <c r="IF6" s="101">
        <v>184</v>
      </c>
      <c r="IG6" s="101">
        <v>188</v>
      </c>
      <c r="IH6" s="101">
        <v>202</v>
      </c>
      <c r="II6" s="101">
        <v>208</v>
      </c>
      <c r="IJ6" s="101"/>
      <c r="IK6" s="101">
        <v>204</v>
      </c>
      <c r="IL6" s="101">
        <v>214</v>
      </c>
      <c r="IM6" s="101">
        <v>219</v>
      </c>
      <c r="IN6" s="101">
        <v>172</v>
      </c>
      <c r="IO6" s="101">
        <v>155</v>
      </c>
      <c r="IP6" s="101">
        <v>151</v>
      </c>
      <c r="IQ6" s="101"/>
      <c r="IR6" s="101">
        <v>162</v>
      </c>
      <c r="IS6" s="101">
        <v>163</v>
      </c>
      <c r="IT6" s="101">
        <v>178</v>
      </c>
      <c r="IU6" s="101">
        <v>177</v>
      </c>
      <c r="IV6" s="101">
        <v>148</v>
      </c>
      <c r="IW6" s="101">
        <v>157</v>
      </c>
      <c r="IX6" s="101"/>
      <c r="IY6" s="101">
        <v>153</v>
      </c>
      <c r="IZ6" s="101">
        <v>140</v>
      </c>
      <c r="JA6" s="101">
        <v>123</v>
      </c>
      <c r="JB6" s="101">
        <v>168</v>
      </c>
      <c r="JC6" s="101">
        <v>197</v>
      </c>
      <c r="JD6" s="101">
        <v>197</v>
      </c>
      <c r="JE6" s="101"/>
      <c r="JF6" s="101">
        <v>212</v>
      </c>
      <c r="JG6" s="101">
        <v>212</v>
      </c>
      <c r="JH6" s="101">
        <v>212</v>
      </c>
      <c r="JI6" s="101">
        <v>202</v>
      </c>
      <c r="JJ6" s="101">
        <v>218</v>
      </c>
      <c r="JK6" s="101">
        <v>161</v>
      </c>
      <c r="JL6" s="101"/>
      <c r="JM6" s="101">
        <v>142</v>
      </c>
      <c r="JN6" s="101">
        <v>130</v>
      </c>
      <c r="JO6" s="101">
        <v>132</v>
      </c>
      <c r="JP6" s="101">
        <v>132</v>
      </c>
      <c r="JQ6" s="101">
        <v>146</v>
      </c>
      <c r="JR6" s="101">
        <v>147</v>
      </c>
      <c r="JS6" s="101"/>
      <c r="JT6" s="101">
        <v>177</v>
      </c>
      <c r="JU6" s="101">
        <v>206</v>
      </c>
      <c r="JV6" s="101">
        <v>206</v>
      </c>
      <c r="JW6" s="101">
        <v>220</v>
      </c>
      <c r="JX6" s="101">
        <v>218</v>
      </c>
      <c r="JY6" s="101">
        <v>215</v>
      </c>
      <c r="JZ6" s="101"/>
      <c r="KA6" s="101">
        <v>224</v>
      </c>
      <c r="KB6" s="101">
        <v>193</v>
      </c>
      <c r="KC6" s="101">
        <v>203</v>
      </c>
      <c r="KD6" s="101">
        <v>197</v>
      </c>
      <c r="KE6" s="101">
        <v>198</v>
      </c>
      <c r="KF6" s="101">
        <v>194</v>
      </c>
      <c r="KG6" s="101"/>
      <c r="KH6" s="101">
        <v>201</v>
      </c>
      <c r="KI6" s="101">
        <v>195</v>
      </c>
      <c r="KJ6" s="101">
        <v>202</v>
      </c>
      <c r="KK6" s="101">
        <v>188</v>
      </c>
      <c r="KL6" s="101"/>
      <c r="KM6" s="101"/>
      <c r="KN6" s="101"/>
      <c r="KO6" s="101"/>
      <c r="KP6" s="101"/>
      <c r="KQ6" s="101"/>
      <c r="KR6" s="101">
        <v>169</v>
      </c>
      <c r="KS6" s="101">
        <v>168</v>
      </c>
      <c r="KT6" s="101">
        <v>180</v>
      </c>
      <c r="KU6" s="101"/>
      <c r="KV6" s="101">
        <v>180</v>
      </c>
      <c r="KW6" s="101">
        <v>181</v>
      </c>
      <c r="KX6" s="101">
        <v>192</v>
      </c>
      <c r="KY6" s="101">
        <v>179</v>
      </c>
      <c r="KZ6" s="101">
        <v>204</v>
      </c>
      <c r="LA6" s="101">
        <v>204</v>
      </c>
      <c r="LB6" s="101"/>
      <c r="LC6" s="101">
        <v>202</v>
      </c>
      <c r="LD6" s="101">
        <v>202</v>
      </c>
      <c r="LE6" s="101">
        <v>213</v>
      </c>
      <c r="LF6" s="101">
        <v>237</v>
      </c>
      <c r="LG6" s="101">
        <v>236</v>
      </c>
      <c r="LH6" s="101">
        <v>234</v>
      </c>
      <c r="LI6" s="101"/>
      <c r="LJ6" s="101">
        <v>231</v>
      </c>
      <c r="LK6" s="101">
        <v>230</v>
      </c>
      <c r="LL6" s="101">
        <v>244</v>
      </c>
      <c r="LM6" s="101">
        <v>244</v>
      </c>
      <c r="LN6" s="101">
        <v>242</v>
      </c>
      <c r="LO6" s="101">
        <v>243</v>
      </c>
      <c r="LP6" s="101"/>
      <c r="LQ6" s="101">
        <v>244</v>
      </c>
      <c r="LR6" s="101">
        <v>220</v>
      </c>
      <c r="LS6" s="101">
        <v>222</v>
      </c>
      <c r="LT6" s="101">
        <v>217</v>
      </c>
      <c r="LU6" s="101">
        <v>222</v>
      </c>
      <c r="LV6" s="101">
        <v>227</v>
      </c>
      <c r="LW6" s="101"/>
      <c r="LX6" s="101">
        <v>258</v>
      </c>
      <c r="LY6" s="101">
        <v>258</v>
      </c>
      <c r="LZ6" s="101">
        <v>251</v>
      </c>
      <c r="MA6" s="101">
        <v>249</v>
      </c>
      <c r="MB6" s="101">
        <v>226</v>
      </c>
      <c r="MC6" s="101">
        <v>213</v>
      </c>
      <c r="MD6" s="101"/>
      <c r="ME6" s="101">
        <v>210</v>
      </c>
      <c r="MF6" s="101">
        <v>210</v>
      </c>
      <c r="MG6" s="101">
        <v>213</v>
      </c>
      <c r="MH6" s="101">
        <v>213</v>
      </c>
      <c r="MI6" s="101">
        <v>237</v>
      </c>
      <c r="MJ6" s="101">
        <v>239</v>
      </c>
      <c r="MK6" s="101">
        <v>15</v>
      </c>
      <c r="ML6" s="101">
        <v>232</v>
      </c>
      <c r="MM6" s="101">
        <v>236</v>
      </c>
      <c r="MN6" s="101">
        <v>244</v>
      </c>
      <c r="MO6" s="101">
        <v>223</v>
      </c>
      <c r="MP6" s="101">
        <v>214</v>
      </c>
      <c r="MQ6" s="101">
        <v>212</v>
      </c>
      <c r="MR6" s="101">
        <v>15</v>
      </c>
      <c r="MS6" s="101">
        <v>214</v>
      </c>
      <c r="MT6" s="101">
        <v>213</v>
      </c>
      <c r="MU6" s="101">
        <v>228</v>
      </c>
      <c r="MV6" s="101">
        <v>231</v>
      </c>
      <c r="MW6" s="101">
        <v>228</v>
      </c>
      <c r="MX6" s="101">
        <v>223</v>
      </c>
      <c r="MY6" s="101">
        <v>12</v>
      </c>
      <c r="MZ6" s="101">
        <v>221</v>
      </c>
      <c r="NA6" s="101">
        <v>192</v>
      </c>
      <c r="NB6" s="101">
        <v>190</v>
      </c>
      <c r="NC6" s="101">
        <v>190</v>
      </c>
      <c r="ND6" s="101">
        <v>190</v>
      </c>
      <c r="NE6" s="101">
        <v>194</v>
      </c>
      <c r="NF6" s="101">
        <v>15</v>
      </c>
      <c r="NG6" s="101">
        <v>200</v>
      </c>
      <c r="NH6" s="101">
        <v>200</v>
      </c>
      <c r="NI6" s="101">
        <v>208</v>
      </c>
      <c r="NJ6" s="101">
        <v>209</v>
      </c>
      <c r="NK6" s="101">
        <v>210</v>
      </c>
      <c r="NL6" s="101">
        <v>195</v>
      </c>
      <c r="NM6" s="101">
        <v>2</v>
      </c>
      <c r="NN6" s="101">
        <v>182</v>
      </c>
      <c r="NO6" s="101">
        <v>173</v>
      </c>
      <c r="NP6" s="101">
        <v>169</v>
      </c>
      <c r="NQ6" s="101">
        <v>171</v>
      </c>
      <c r="NR6" s="101">
        <v>168</v>
      </c>
      <c r="NS6" s="101">
        <v>170</v>
      </c>
      <c r="NT6" s="101"/>
      <c r="NU6" s="101">
        <v>178</v>
      </c>
      <c r="NV6" s="101">
        <v>179</v>
      </c>
      <c r="NW6" s="101">
        <v>181</v>
      </c>
      <c r="NX6" s="101">
        <v>176</v>
      </c>
      <c r="NY6" s="101">
        <v>173</v>
      </c>
      <c r="NZ6" s="101">
        <v>164</v>
      </c>
      <c r="OA6" s="101"/>
      <c r="OB6" s="101">
        <v>158</v>
      </c>
      <c r="OC6" s="101">
        <v>158</v>
      </c>
      <c r="OD6" s="101">
        <v>147</v>
      </c>
      <c r="OE6" s="101">
        <v>147</v>
      </c>
      <c r="OF6" s="101">
        <v>144</v>
      </c>
      <c r="OG6" s="101">
        <v>147</v>
      </c>
      <c r="OH6" s="101"/>
      <c r="OI6" s="101">
        <v>153</v>
      </c>
      <c r="OJ6" s="101">
        <v>150</v>
      </c>
      <c r="OK6" s="101">
        <v>147</v>
      </c>
      <c r="OL6" s="101">
        <v>142</v>
      </c>
      <c r="OM6" s="101">
        <v>138</v>
      </c>
      <c r="ON6" s="101">
        <v>142</v>
      </c>
      <c r="OO6" s="101">
        <v>4</v>
      </c>
      <c r="OP6" s="101">
        <v>134</v>
      </c>
      <c r="OQ6" s="101">
        <v>132</v>
      </c>
      <c r="OR6" s="101">
        <v>135</v>
      </c>
      <c r="OS6" s="101">
        <v>136</v>
      </c>
      <c r="OT6" s="101">
        <v>156</v>
      </c>
      <c r="OU6" s="101">
        <v>156</v>
      </c>
      <c r="OV6" s="101">
        <v>10</v>
      </c>
      <c r="OW6" s="101">
        <v>150</v>
      </c>
      <c r="OX6" s="101">
        <v>154</v>
      </c>
      <c r="OY6" s="101">
        <v>154</v>
      </c>
      <c r="OZ6" s="101">
        <v>147</v>
      </c>
      <c r="PA6" s="101">
        <v>136</v>
      </c>
      <c r="PB6" s="101">
        <v>136</v>
      </c>
      <c r="PC6" s="101">
        <v>16</v>
      </c>
      <c r="PD6" s="101">
        <v>128</v>
      </c>
      <c r="PE6" s="101">
        <v>128</v>
      </c>
      <c r="PF6" s="101">
        <v>135</v>
      </c>
      <c r="PG6" s="101">
        <v>121</v>
      </c>
      <c r="PH6" s="101">
        <v>124</v>
      </c>
      <c r="PI6" s="101">
        <v>128</v>
      </c>
      <c r="PJ6" s="101">
        <v>14</v>
      </c>
      <c r="PK6" s="101">
        <v>128</v>
      </c>
      <c r="PL6" s="101">
        <v>105</v>
      </c>
      <c r="PM6" s="101">
        <v>97</v>
      </c>
      <c r="PN6" s="101">
        <v>104</v>
      </c>
      <c r="PO6" s="101">
        <v>106</v>
      </c>
      <c r="PP6" s="101">
        <v>106</v>
      </c>
      <c r="PQ6" s="101">
        <v>6</v>
      </c>
      <c r="PR6" s="101">
        <v>105</v>
      </c>
      <c r="PS6" s="101">
        <v>91</v>
      </c>
      <c r="PT6" s="101">
        <v>99</v>
      </c>
      <c r="PU6" s="101">
        <v>99</v>
      </c>
      <c r="PV6" s="101">
        <v>99</v>
      </c>
      <c r="PW6" s="101">
        <v>98</v>
      </c>
      <c r="PX6" s="101">
        <v>2</v>
      </c>
      <c r="PY6" s="101">
        <v>90</v>
      </c>
      <c r="PZ6" s="101">
        <v>75</v>
      </c>
      <c r="QA6" s="101">
        <v>75</v>
      </c>
      <c r="QB6" s="101">
        <v>75</v>
      </c>
      <c r="QC6" s="101">
        <v>74</v>
      </c>
      <c r="QD6" s="101">
        <v>70</v>
      </c>
      <c r="QE6" s="101">
        <v>2</v>
      </c>
      <c r="QF6" s="101">
        <v>69</v>
      </c>
      <c r="QG6" s="101">
        <v>69</v>
      </c>
      <c r="QH6" s="101">
        <v>69</v>
      </c>
      <c r="QI6" s="101">
        <v>69</v>
      </c>
      <c r="QJ6" s="101">
        <v>69</v>
      </c>
      <c r="QK6" s="101">
        <v>54</v>
      </c>
      <c r="QL6" s="101">
        <v>2</v>
      </c>
      <c r="QM6" s="101">
        <v>54</v>
      </c>
      <c r="QN6" s="101">
        <v>50</v>
      </c>
      <c r="QO6" s="101">
        <v>49</v>
      </c>
      <c r="QP6" s="101">
        <v>68</v>
      </c>
      <c r="QQ6" s="101">
        <v>72</v>
      </c>
      <c r="QR6" s="101">
        <v>70</v>
      </c>
      <c r="QS6" s="101">
        <v>10</v>
      </c>
      <c r="QT6" s="101">
        <v>70</v>
      </c>
      <c r="QU6" s="101">
        <v>70</v>
      </c>
      <c r="QV6" s="101">
        <v>85</v>
      </c>
      <c r="QW6" s="101">
        <v>91</v>
      </c>
      <c r="QX6" s="101">
        <v>91</v>
      </c>
      <c r="QY6" s="101">
        <v>87</v>
      </c>
      <c r="QZ6" s="101">
        <v>10</v>
      </c>
      <c r="RA6" s="101">
        <v>88</v>
      </c>
      <c r="RB6" s="101">
        <v>104</v>
      </c>
      <c r="RC6" s="101">
        <v>103</v>
      </c>
      <c r="RD6" s="101">
        <v>101</v>
      </c>
      <c r="RE6" s="101">
        <v>93</v>
      </c>
      <c r="RF6" s="101">
        <v>91</v>
      </c>
      <c r="RG6" s="101">
        <v>6</v>
      </c>
      <c r="RH6" s="101">
        <v>76</v>
      </c>
      <c r="RI6" s="101">
        <v>75</v>
      </c>
      <c r="RJ6" s="101">
        <v>69</v>
      </c>
      <c r="RK6" s="101">
        <v>65</v>
      </c>
      <c r="RL6" s="101">
        <v>65</v>
      </c>
      <c r="RM6" s="101">
        <v>65</v>
      </c>
      <c r="RN6" s="101">
        <v>2</v>
      </c>
      <c r="RO6" s="101">
        <v>70</v>
      </c>
      <c r="RP6" s="101">
        <v>68</v>
      </c>
      <c r="RQ6" s="101">
        <v>68</v>
      </c>
      <c r="RR6" s="101">
        <v>68</v>
      </c>
      <c r="RS6" s="101">
        <v>53</v>
      </c>
      <c r="RT6" s="101">
        <v>45</v>
      </c>
      <c r="RU6" s="101"/>
      <c r="RV6" s="101">
        <v>45</v>
      </c>
      <c r="RW6" s="101">
        <v>41</v>
      </c>
      <c r="RX6" s="101">
        <v>40</v>
      </c>
      <c r="RY6" s="101">
        <v>47</v>
      </c>
      <c r="RZ6" s="101">
        <v>47</v>
      </c>
      <c r="SA6" s="101">
        <v>49</v>
      </c>
      <c r="SB6" s="101">
        <v>2</v>
      </c>
      <c r="SC6" s="101">
        <v>49</v>
      </c>
      <c r="SD6" s="101">
        <v>49</v>
      </c>
      <c r="SE6" s="101">
        <v>44</v>
      </c>
      <c r="SF6" s="101">
        <v>42</v>
      </c>
      <c r="SG6" s="101">
        <v>71</v>
      </c>
      <c r="SH6" s="101">
        <v>71</v>
      </c>
      <c r="SI6" s="101"/>
      <c r="SJ6" s="101">
        <v>71</v>
      </c>
      <c r="SK6" s="101">
        <v>66</v>
      </c>
      <c r="SL6" s="101">
        <v>66</v>
      </c>
      <c r="SM6" s="101">
        <v>68</v>
      </c>
      <c r="SN6" s="101">
        <v>68</v>
      </c>
      <c r="SO6" s="101">
        <v>68</v>
      </c>
      <c r="SP6" s="101">
        <v>2</v>
      </c>
      <c r="SQ6" s="101">
        <v>68</v>
      </c>
      <c r="SR6" s="101">
        <v>66</v>
      </c>
      <c r="SS6" s="101">
        <v>76</v>
      </c>
      <c r="ST6" s="101">
        <v>76</v>
      </c>
      <c r="SU6" s="101">
        <v>76</v>
      </c>
      <c r="SV6" s="101">
        <v>62</v>
      </c>
      <c r="SW6" s="101"/>
      <c r="SX6" s="101">
        <v>62</v>
      </c>
      <c r="SY6" s="101">
        <v>52</v>
      </c>
      <c r="SZ6" s="101">
        <v>52</v>
      </c>
      <c r="TA6" s="101">
        <v>52</v>
      </c>
      <c r="TB6" s="101">
        <v>52</v>
      </c>
      <c r="TC6" s="101">
        <v>67</v>
      </c>
      <c r="TD6" s="101"/>
      <c r="TE6" s="101">
        <v>69</v>
      </c>
      <c r="TF6" s="101">
        <v>70</v>
      </c>
      <c r="TG6" s="101">
        <v>70</v>
      </c>
      <c r="TH6" s="101">
        <v>70</v>
      </c>
      <c r="TI6" s="101">
        <v>70</v>
      </c>
      <c r="TJ6" s="101">
        <v>60</v>
      </c>
      <c r="TK6" s="101"/>
      <c r="TL6" s="101">
        <v>60</v>
      </c>
      <c r="TM6" s="101">
        <v>60</v>
      </c>
      <c r="TN6" s="101">
        <v>60</v>
      </c>
      <c r="TO6" s="101">
        <v>73</v>
      </c>
      <c r="TP6" s="101">
        <v>73</v>
      </c>
      <c r="TQ6" s="101">
        <v>73</v>
      </c>
      <c r="TR6" s="101"/>
      <c r="TS6" s="101">
        <v>73</v>
      </c>
      <c r="TT6" s="101">
        <v>73</v>
      </c>
      <c r="TU6" s="101">
        <v>63</v>
      </c>
      <c r="TV6" s="101">
        <v>63</v>
      </c>
      <c r="TW6" s="101">
        <v>63</v>
      </c>
      <c r="TX6" s="101">
        <v>63</v>
      </c>
      <c r="TY6" s="101"/>
      <c r="TZ6" s="101">
        <v>46</v>
      </c>
      <c r="UA6" s="101">
        <v>56</v>
      </c>
      <c r="UB6" s="101">
        <v>56</v>
      </c>
      <c r="UC6" s="101">
        <v>55</v>
      </c>
      <c r="UD6" s="101">
        <v>55</v>
      </c>
      <c r="UE6" s="101">
        <v>55</v>
      </c>
      <c r="UF6" s="101"/>
      <c r="UG6" s="101">
        <v>45</v>
      </c>
      <c r="UH6" s="101">
        <v>45</v>
      </c>
      <c r="UI6" s="101">
        <v>45</v>
      </c>
      <c r="UJ6" s="101">
        <v>45</v>
      </c>
      <c r="UK6" s="101">
        <v>50</v>
      </c>
      <c r="UL6" s="101">
        <v>42</v>
      </c>
      <c r="UM6" s="101"/>
      <c r="UN6" s="101">
        <v>40</v>
      </c>
      <c r="UO6" s="101">
        <v>40</v>
      </c>
      <c r="UP6" s="101">
        <v>40</v>
      </c>
      <c r="UQ6" s="101">
        <v>34</v>
      </c>
      <c r="UR6" s="101">
        <v>24</v>
      </c>
      <c r="US6" s="101">
        <v>24</v>
      </c>
      <c r="UT6" s="101"/>
      <c r="UU6" s="101">
        <v>24</v>
      </c>
      <c r="UV6" s="101">
        <v>24</v>
      </c>
      <c r="UW6" s="101">
        <v>24</v>
      </c>
      <c r="UX6" s="101">
        <v>24</v>
      </c>
      <c r="UY6" s="101">
        <v>24</v>
      </c>
      <c r="UZ6" s="101">
        <v>24</v>
      </c>
      <c r="VA6" s="101"/>
      <c r="VB6" s="101">
        <v>24</v>
      </c>
      <c r="VC6" s="101">
        <v>24</v>
      </c>
      <c r="VD6" s="101">
        <v>19</v>
      </c>
      <c r="VE6" s="101">
        <v>19</v>
      </c>
      <c r="VF6" s="101">
        <v>19</v>
      </c>
      <c r="VG6" s="101">
        <v>19</v>
      </c>
      <c r="VH6" s="101"/>
      <c r="VI6" s="101">
        <v>19</v>
      </c>
      <c r="VJ6" s="101">
        <v>19</v>
      </c>
      <c r="VK6" s="101">
        <v>19</v>
      </c>
      <c r="VL6" s="101">
        <v>19</v>
      </c>
      <c r="VM6" s="101">
        <v>19</v>
      </c>
      <c r="VN6" s="101"/>
      <c r="VO6" s="101"/>
      <c r="VP6" s="101"/>
      <c r="VQ6" s="101"/>
      <c r="VR6" s="101"/>
      <c r="VS6" s="101">
        <v>19</v>
      </c>
      <c r="VT6" s="101">
        <v>19</v>
      </c>
      <c r="VU6" s="101">
        <v>19</v>
      </c>
      <c r="VV6" s="101"/>
      <c r="VW6" s="101">
        <v>19</v>
      </c>
      <c r="VX6" s="101">
        <v>19</v>
      </c>
      <c r="VY6" s="101">
        <v>19</v>
      </c>
      <c r="VZ6" s="101">
        <v>19</v>
      </c>
      <c r="WA6" s="101">
        <v>19</v>
      </c>
      <c r="WB6" s="101">
        <v>19</v>
      </c>
      <c r="WC6" s="101"/>
      <c r="WD6" s="101">
        <v>19</v>
      </c>
      <c r="WE6" s="101">
        <v>19</v>
      </c>
      <c r="WF6" s="101">
        <v>19</v>
      </c>
      <c r="WG6" s="101">
        <v>24</v>
      </c>
      <c r="WH6" s="101">
        <v>24</v>
      </c>
      <c r="WI6" s="101">
        <v>24</v>
      </c>
      <c r="WJ6" s="101"/>
      <c r="WK6" s="101">
        <v>24</v>
      </c>
      <c r="WL6" s="101">
        <v>24</v>
      </c>
      <c r="WM6" s="101">
        <v>5</v>
      </c>
      <c r="WN6" s="101">
        <v>5</v>
      </c>
      <c r="WO6" s="101">
        <v>5</v>
      </c>
      <c r="WP6" s="101">
        <v>5</v>
      </c>
      <c r="WQ6" s="101"/>
      <c r="WR6" s="101">
        <v>5</v>
      </c>
      <c r="WS6" s="101">
        <v>5</v>
      </c>
      <c r="WT6" s="101">
        <v>5</v>
      </c>
      <c r="WU6" s="101">
        <v>5</v>
      </c>
      <c r="WV6" s="101">
        <v>5</v>
      </c>
      <c r="WW6" s="101">
        <v>5</v>
      </c>
      <c r="WX6" s="101"/>
      <c r="WY6" s="101">
        <v>5</v>
      </c>
      <c r="WZ6" s="101">
        <v>5</v>
      </c>
      <c r="XA6" s="101">
        <v>5</v>
      </c>
      <c r="XB6" s="101">
        <v>5</v>
      </c>
      <c r="XC6" s="101">
        <v>5</v>
      </c>
      <c r="XD6" s="101"/>
      <c r="XE6" s="101"/>
      <c r="XF6" s="101"/>
      <c r="XG6" s="101"/>
      <c r="XH6" s="101"/>
      <c r="XI6" s="101"/>
      <c r="XJ6" s="101"/>
      <c r="XK6" s="101"/>
      <c r="XL6" s="101"/>
      <c r="XM6" s="101"/>
      <c r="XN6" s="101"/>
      <c r="XO6" s="101"/>
      <c r="XP6" s="101"/>
      <c r="XQ6" s="101"/>
      <c r="XR6" s="101"/>
      <c r="XS6" s="101"/>
      <c r="XT6" s="101"/>
      <c r="XU6" s="101"/>
      <c r="XV6" s="101"/>
      <c r="XW6" s="101"/>
      <c r="XX6" s="101"/>
      <c r="XY6" s="101"/>
      <c r="XZ6" s="101"/>
      <c r="YA6" s="101"/>
      <c r="YB6" s="101"/>
      <c r="YC6" s="101"/>
      <c r="YD6" s="101"/>
      <c r="YE6" s="101"/>
      <c r="YF6" s="101"/>
      <c r="YG6" s="101"/>
      <c r="YH6" s="101"/>
      <c r="YI6" s="101"/>
      <c r="YJ6" s="101"/>
      <c r="YK6" s="101"/>
      <c r="YL6" s="101"/>
      <c r="YM6" s="101"/>
      <c r="YN6" s="101"/>
      <c r="YO6" s="101"/>
      <c r="YP6" s="101"/>
      <c r="YQ6" s="101"/>
      <c r="YR6" s="101"/>
      <c r="YS6" s="101"/>
      <c r="YT6" s="101"/>
      <c r="YU6" s="101"/>
      <c r="YV6" s="101"/>
      <c r="YW6" s="101"/>
      <c r="YX6" s="101"/>
      <c r="YY6" s="101"/>
      <c r="YZ6" s="101"/>
      <c r="ZA6" s="101"/>
      <c r="ZB6" s="101"/>
      <c r="ZC6" s="101"/>
      <c r="ZD6" s="101"/>
      <c r="ZE6" s="101"/>
      <c r="ZF6" s="101"/>
      <c r="ZG6" s="101"/>
      <c r="ZH6" s="101"/>
    </row>
    <row r="7" spans="1:684">
      <c r="A7" s="75" t="s">
        <v>45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  <c r="AX7" s="101"/>
      <c r="AY7" s="101">
        <v>5</v>
      </c>
      <c r="AZ7" s="101">
        <v>5</v>
      </c>
      <c r="BA7" s="101">
        <v>5</v>
      </c>
      <c r="BB7" s="101">
        <v>5</v>
      </c>
      <c r="BC7" s="101"/>
      <c r="BD7" s="101">
        <v>5</v>
      </c>
      <c r="BE7" s="101">
        <v>5</v>
      </c>
      <c r="BF7" s="101">
        <v>5</v>
      </c>
      <c r="BG7" s="101">
        <v>5</v>
      </c>
      <c r="BH7" s="101">
        <v>10</v>
      </c>
      <c r="BI7" s="101">
        <v>10</v>
      </c>
      <c r="BJ7" s="101"/>
      <c r="BK7" s="101">
        <v>5</v>
      </c>
      <c r="BL7" s="101">
        <v>5</v>
      </c>
      <c r="BM7" s="101">
        <v>5</v>
      </c>
      <c r="BN7" s="101">
        <v>5</v>
      </c>
      <c r="BO7" s="101">
        <v>5</v>
      </c>
      <c r="BP7" s="101"/>
      <c r="BQ7" s="101"/>
      <c r="BR7" s="101"/>
      <c r="BS7" s="101"/>
      <c r="BT7" s="101"/>
      <c r="BU7" s="101"/>
      <c r="BV7" s="101"/>
      <c r="BW7" s="101"/>
      <c r="BX7" s="101"/>
      <c r="BY7" s="101"/>
      <c r="BZ7" s="101"/>
      <c r="CA7" s="101"/>
      <c r="CB7" s="101"/>
      <c r="CC7" s="101"/>
      <c r="CD7" s="101"/>
      <c r="CE7" s="101"/>
      <c r="CF7" s="101"/>
      <c r="CG7" s="101"/>
      <c r="CH7" s="101"/>
      <c r="CI7" s="101"/>
      <c r="CJ7" s="101"/>
      <c r="CK7" s="101"/>
      <c r="CL7" s="101"/>
      <c r="CM7" s="101"/>
      <c r="CN7" s="101">
        <v>13</v>
      </c>
      <c r="CO7" s="101">
        <v>13</v>
      </c>
      <c r="CP7" s="101">
        <v>13</v>
      </c>
      <c r="CQ7" s="101">
        <v>13</v>
      </c>
      <c r="CR7" s="101">
        <v>13</v>
      </c>
      <c r="CS7" s="101"/>
      <c r="CT7" s="101">
        <v>13</v>
      </c>
      <c r="CU7" s="101">
        <v>13</v>
      </c>
      <c r="CV7" s="101">
        <v>13</v>
      </c>
      <c r="CW7" s="101">
        <v>13</v>
      </c>
      <c r="CX7" s="101">
        <v>13</v>
      </c>
      <c r="CY7" s="101"/>
      <c r="CZ7" s="101"/>
      <c r="DA7" s="101"/>
      <c r="DB7" s="101"/>
      <c r="DC7" s="101"/>
      <c r="DD7" s="101"/>
      <c r="DE7" s="101"/>
      <c r="DF7" s="101"/>
      <c r="DG7" s="101"/>
      <c r="DH7" s="101"/>
      <c r="DI7" s="101"/>
      <c r="DJ7" s="101"/>
      <c r="DK7" s="101"/>
      <c r="DL7" s="101"/>
      <c r="DM7" s="101"/>
      <c r="DN7" s="101"/>
      <c r="DO7" s="101"/>
      <c r="DP7" s="101"/>
      <c r="DQ7" s="101"/>
      <c r="DR7" s="101"/>
      <c r="DS7" s="101"/>
      <c r="DT7" s="101"/>
      <c r="DU7" s="101"/>
      <c r="DV7" s="101"/>
      <c r="DW7" s="101"/>
      <c r="DX7" s="101"/>
      <c r="DY7" s="101"/>
      <c r="DZ7" s="101"/>
      <c r="EA7" s="101"/>
      <c r="EB7" s="101"/>
      <c r="EC7" s="101"/>
      <c r="ED7" s="101"/>
      <c r="EE7" s="101"/>
      <c r="EF7" s="101"/>
      <c r="EG7" s="101"/>
      <c r="EH7" s="101"/>
      <c r="EI7" s="101"/>
      <c r="EJ7" s="101"/>
      <c r="EK7" s="101"/>
      <c r="EL7" s="101"/>
      <c r="EM7" s="101"/>
      <c r="EN7" s="101"/>
      <c r="EO7" s="101"/>
      <c r="EP7" s="101"/>
      <c r="EQ7" s="101"/>
      <c r="ER7" s="101"/>
      <c r="ES7" s="101"/>
      <c r="ET7" s="101"/>
      <c r="EU7" s="101"/>
      <c r="EV7" s="101"/>
      <c r="EW7" s="101"/>
      <c r="EX7" s="101"/>
      <c r="EY7" s="101"/>
      <c r="EZ7" s="101"/>
      <c r="FA7" s="101"/>
      <c r="FB7" s="101"/>
      <c r="FC7" s="101"/>
      <c r="FD7" s="101"/>
      <c r="FE7" s="101"/>
      <c r="FF7" s="101"/>
      <c r="FG7" s="101"/>
      <c r="FH7" s="101"/>
      <c r="FI7" s="101"/>
      <c r="FJ7" s="101"/>
      <c r="FK7" s="101"/>
      <c r="FL7" s="101"/>
      <c r="FM7" s="101"/>
      <c r="FN7" s="101"/>
      <c r="FO7" s="101"/>
      <c r="FP7" s="101"/>
      <c r="FQ7" s="101"/>
      <c r="FR7" s="101"/>
      <c r="FS7" s="101"/>
      <c r="FT7" s="101"/>
      <c r="FU7" s="101"/>
      <c r="FV7" s="101"/>
      <c r="FW7" s="101"/>
      <c r="FX7" s="101"/>
      <c r="FY7" s="101"/>
      <c r="FZ7" s="101"/>
      <c r="GA7" s="101"/>
      <c r="GB7" s="101"/>
      <c r="GC7" s="101"/>
      <c r="GD7" s="101"/>
      <c r="GE7" s="101"/>
      <c r="GF7" s="101"/>
      <c r="GG7" s="101">
        <v>15</v>
      </c>
      <c r="GH7" s="101">
        <v>15</v>
      </c>
      <c r="GI7" s="101">
        <v>15</v>
      </c>
      <c r="GJ7" s="101">
        <v>15</v>
      </c>
      <c r="GK7" s="101">
        <v>15</v>
      </c>
      <c r="GL7" s="101">
        <v>15</v>
      </c>
      <c r="GM7" s="101"/>
      <c r="GN7" s="101">
        <v>15</v>
      </c>
      <c r="GO7" s="101">
        <v>15</v>
      </c>
      <c r="GP7" s="101">
        <v>15</v>
      </c>
      <c r="GQ7" s="101">
        <v>15</v>
      </c>
      <c r="GR7" s="101">
        <v>30</v>
      </c>
      <c r="GS7" s="101">
        <v>30</v>
      </c>
      <c r="GT7" s="101"/>
      <c r="GU7" s="101">
        <v>30</v>
      </c>
      <c r="GV7" s="101">
        <v>30</v>
      </c>
      <c r="GW7" s="101">
        <v>30</v>
      </c>
      <c r="GX7" s="101">
        <v>30</v>
      </c>
      <c r="GY7" s="101">
        <v>30</v>
      </c>
      <c r="GZ7" s="101">
        <v>30</v>
      </c>
      <c r="HA7" s="101"/>
      <c r="HB7" s="101">
        <v>30</v>
      </c>
      <c r="HC7" s="101">
        <v>30</v>
      </c>
      <c r="HD7" s="101">
        <v>30</v>
      </c>
      <c r="HE7" s="101">
        <v>30</v>
      </c>
      <c r="HF7" s="101">
        <v>30</v>
      </c>
      <c r="HG7" s="101">
        <v>30</v>
      </c>
      <c r="HH7" s="101"/>
      <c r="HI7" s="101">
        <v>30</v>
      </c>
      <c r="HJ7" s="101">
        <v>15</v>
      </c>
      <c r="HK7" s="101">
        <v>15</v>
      </c>
      <c r="HL7" s="101">
        <v>15</v>
      </c>
      <c r="HM7" s="101">
        <v>15</v>
      </c>
      <c r="HN7" s="101">
        <v>15</v>
      </c>
      <c r="HO7" s="101"/>
      <c r="HP7" s="101">
        <v>15</v>
      </c>
      <c r="HQ7" s="101">
        <v>15</v>
      </c>
      <c r="HR7" s="101">
        <v>30</v>
      </c>
      <c r="HS7" s="101">
        <v>30</v>
      </c>
      <c r="HT7" s="101">
        <v>57</v>
      </c>
      <c r="HU7" s="101">
        <v>60</v>
      </c>
      <c r="HV7" s="101"/>
      <c r="HW7" s="101"/>
      <c r="HX7" s="101"/>
      <c r="HY7" s="101"/>
      <c r="HZ7" s="101"/>
      <c r="IA7" s="101">
        <v>60</v>
      </c>
      <c r="IB7" s="101">
        <v>60</v>
      </c>
      <c r="IC7" s="101"/>
      <c r="ID7" s="101">
        <v>60</v>
      </c>
      <c r="IE7" s="101">
        <v>61</v>
      </c>
      <c r="IF7" s="101">
        <v>62</v>
      </c>
      <c r="IG7" s="101">
        <v>62</v>
      </c>
      <c r="IH7" s="101">
        <v>77</v>
      </c>
      <c r="II7" s="101">
        <v>77</v>
      </c>
      <c r="IJ7" s="101"/>
      <c r="IK7" s="101">
        <v>77</v>
      </c>
      <c r="IL7" s="101">
        <v>77</v>
      </c>
      <c r="IM7" s="101">
        <v>77</v>
      </c>
      <c r="IN7" s="101">
        <v>77</v>
      </c>
      <c r="IO7" s="101">
        <v>77</v>
      </c>
      <c r="IP7" s="101">
        <v>76</v>
      </c>
      <c r="IQ7" s="101"/>
      <c r="IR7" s="101">
        <v>75</v>
      </c>
      <c r="IS7" s="101">
        <v>75</v>
      </c>
      <c r="IT7" s="101">
        <v>90</v>
      </c>
      <c r="IU7" s="101">
        <v>90</v>
      </c>
      <c r="IV7" s="101">
        <v>63</v>
      </c>
      <c r="IW7" s="101">
        <v>45</v>
      </c>
      <c r="IX7" s="101"/>
      <c r="IY7" s="101">
        <v>45</v>
      </c>
      <c r="IZ7" s="101">
        <v>30</v>
      </c>
      <c r="JA7" s="101">
        <v>30</v>
      </c>
      <c r="JB7" s="101">
        <v>30</v>
      </c>
      <c r="JC7" s="101">
        <v>30</v>
      </c>
      <c r="JD7" s="101">
        <v>30</v>
      </c>
      <c r="JE7" s="101"/>
      <c r="JF7" s="101">
        <v>45</v>
      </c>
      <c r="JG7" s="101">
        <v>45</v>
      </c>
      <c r="JH7" s="101">
        <v>45</v>
      </c>
      <c r="JI7" s="101">
        <v>45</v>
      </c>
      <c r="JJ7" s="101">
        <v>45</v>
      </c>
      <c r="JK7" s="101">
        <v>30</v>
      </c>
      <c r="JL7" s="101"/>
      <c r="JM7" s="101">
        <v>30</v>
      </c>
      <c r="JN7" s="101">
        <v>30</v>
      </c>
      <c r="JO7" s="101">
        <v>30</v>
      </c>
      <c r="JP7" s="101">
        <v>30</v>
      </c>
      <c r="JQ7" s="101">
        <v>45</v>
      </c>
      <c r="JR7" s="101">
        <v>45</v>
      </c>
      <c r="JS7" s="101"/>
      <c r="JT7" s="101">
        <v>45</v>
      </c>
      <c r="JU7" s="101">
        <v>45</v>
      </c>
      <c r="JV7" s="101">
        <v>45</v>
      </c>
      <c r="JW7" s="101">
        <v>30</v>
      </c>
      <c r="JX7" s="101">
        <v>30</v>
      </c>
      <c r="JY7" s="101">
        <v>30</v>
      </c>
      <c r="JZ7" s="101"/>
      <c r="KA7" s="101">
        <v>30</v>
      </c>
      <c r="KB7" s="101">
        <v>30</v>
      </c>
      <c r="KC7" s="101">
        <v>45</v>
      </c>
      <c r="KD7" s="101">
        <v>45</v>
      </c>
      <c r="KE7" s="101">
        <v>45</v>
      </c>
      <c r="KF7" s="101">
        <v>45</v>
      </c>
      <c r="KG7" s="101"/>
      <c r="KH7" s="101">
        <v>45</v>
      </c>
      <c r="KI7" s="101">
        <v>30</v>
      </c>
      <c r="KJ7" s="101">
        <v>30</v>
      </c>
      <c r="KK7" s="101">
        <v>30</v>
      </c>
      <c r="KL7" s="101"/>
      <c r="KM7" s="101"/>
      <c r="KN7" s="101"/>
      <c r="KO7" s="101"/>
      <c r="KP7" s="101"/>
      <c r="KQ7" s="101"/>
      <c r="KR7" s="101">
        <v>30</v>
      </c>
      <c r="KS7" s="101">
        <v>30</v>
      </c>
      <c r="KT7" s="101">
        <v>45</v>
      </c>
      <c r="KU7" s="101"/>
      <c r="KV7" s="101">
        <v>45</v>
      </c>
      <c r="KW7" s="101">
        <v>45</v>
      </c>
      <c r="KX7" s="101">
        <v>45</v>
      </c>
      <c r="KY7" s="101">
        <v>45</v>
      </c>
      <c r="KZ7" s="101">
        <v>55</v>
      </c>
      <c r="LA7" s="101">
        <v>55</v>
      </c>
      <c r="LB7" s="101"/>
      <c r="LC7" s="101">
        <v>55</v>
      </c>
      <c r="LD7" s="101">
        <v>55</v>
      </c>
      <c r="LE7" s="101">
        <v>55</v>
      </c>
      <c r="LF7" s="101">
        <v>70</v>
      </c>
      <c r="LG7" s="101">
        <v>70</v>
      </c>
      <c r="LH7" s="101">
        <v>70</v>
      </c>
      <c r="LI7" s="101"/>
      <c r="LJ7" s="101">
        <v>70</v>
      </c>
      <c r="LK7" s="101">
        <v>70</v>
      </c>
      <c r="LL7" s="101">
        <v>55</v>
      </c>
      <c r="LM7" s="101">
        <v>55</v>
      </c>
      <c r="LN7" s="101">
        <v>55</v>
      </c>
      <c r="LO7" s="101">
        <v>55</v>
      </c>
      <c r="LP7" s="101"/>
      <c r="LQ7" s="101">
        <v>55</v>
      </c>
      <c r="LR7" s="101">
        <v>45</v>
      </c>
      <c r="LS7" s="101">
        <v>45</v>
      </c>
      <c r="LT7" s="101">
        <v>45</v>
      </c>
      <c r="LU7" s="101">
        <v>45</v>
      </c>
      <c r="LV7" s="101">
        <v>45</v>
      </c>
      <c r="LW7" s="101"/>
      <c r="LX7" s="101">
        <v>30</v>
      </c>
      <c r="LY7" s="101">
        <v>30</v>
      </c>
      <c r="LZ7" s="101">
        <v>30</v>
      </c>
      <c r="MA7" s="101">
        <v>30</v>
      </c>
      <c r="MB7" s="101">
        <v>30</v>
      </c>
      <c r="MC7" s="101">
        <v>45</v>
      </c>
      <c r="MD7" s="101"/>
      <c r="ME7" s="101">
        <v>45</v>
      </c>
      <c r="MF7" s="101">
        <v>45</v>
      </c>
      <c r="MG7" s="101">
        <v>45</v>
      </c>
      <c r="MH7" s="101">
        <v>45</v>
      </c>
      <c r="MI7" s="101">
        <v>30</v>
      </c>
      <c r="MJ7" s="101">
        <v>30</v>
      </c>
      <c r="MK7" s="101"/>
      <c r="ML7" s="101">
        <v>30</v>
      </c>
      <c r="MM7" s="101">
        <v>30</v>
      </c>
      <c r="MN7" s="101">
        <v>30</v>
      </c>
      <c r="MO7" s="101">
        <v>30</v>
      </c>
      <c r="MP7" s="101">
        <v>30</v>
      </c>
      <c r="MQ7" s="101">
        <v>30</v>
      </c>
      <c r="MR7" s="101"/>
      <c r="MS7" s="101">
        <v>30</v>
      </c>
      <c r="MT7" s="101">
        <v>30</v>
      </c>
      <c r="MU7" s="101">
        <v>15</v>
      </c>
      <c r="MV7" s="101">
        <v>15</v>
      </c>
      <c r="MW7" s="101">
        <v>15</v>
      </c>
      <c r="MX7" s="101">
        <v>15</v>
      </c>
      <c r="MY7" s="101"/>
      <c r="MZ7" s="101">
        <v>15</v>
      </c>
      <c r="NA7" s="101">
        <v>25</v>
      </c>
      <c r="NB7" s="101">
        <v>25</v>
      </c>
      <c r="NC7" s="101">
        <v>25</v>
      </c>
      <c r="ND7" s="101">
        <v>25</v>
      </c>
      <c r="NE7" s="101">
        <v>25</v>
      </c>
      <c r="NF7" s="101"/>
      <c r="NG7" s="101">
        <v>10</v>
      </c>
      <c r="NH7" s="101">
        <v>10</v>
      </c>
      <c r="NI7" s="101">
        <v>10</v>
      </c>
      <c r="NJ7" s="101">
        <v>10</v>
      </c>
      <c r="NK7" s="101">
        <v>10</v>
      </c>
      <c r="NL7" s="101">
        <v>20</v>
      </c>
      <c r="NM7" s="101"/>
      <c r="NN7" s="101">
        <v>20</v>
      </c>
      <c r="NO7" s="101">
        <v>20</v>
      </c>
      <c r="NP7" s="101">
        <v>20</v>
      </c>
      <c r="NQ7" s="101">
        <v>20</v>
      </c>
      <c r="NR7" s="101">
        <v>10</v>
      </c>
      <c r="NS7" s="101">
        <v>10</v>
      </c>
      <c r="NT7" s="101"/>
      <c r="NU7" s="101">
        <v>10</v>
      </c>
      <c r="NV7" s="101">
        <v>10</v>
      </c>
      <c r="NW7" s="101">
        <v>10</v>
      </c>
      <c r="NX7" s="101">
        <v>20</v>
      </c>
      <c r="NY7" s="101">
        <v>20</v>
      </c>
      <c r="NZ7" s="101">
        <v>20</v>
      </c>
      <c r="OA7" s="101"/>
      <c r="OB7" s="101">
        <v>20</v>
      </c>
      <c r="OC7" s="101">
        <v>20</v>
      </c>
      <c r="OD7" s="101">
        <v>10</v>
      </c>
      <c r="OE7" s="101">
        <v>10</v>
      </c>
      <c r="OF7" s="101">
        <v>10</v>
      </c>
      <c r="OG7" s="101">
        <v>10</v>
      </c>
      <c r="OH7" s="101"/>
      <c r="OI7" s="101">
        <v>10</v>
      </c>
      <c r="OJ7" s="101">
        <v>10</v>
      </c>
      <c r="OK7" s="101">
        <v>10</v>
      </c>
      <c r="OL7" s="101">
        <v>10</v>
      </c>
      <c r="OM7" s="101">
        <v>10</v>
      </c>
      <c r="ON7" s="101">
        <v>10</v>
      </c>
      <c r="OO7" s="101"/>
      <c r="OP7" s="101"/>
      <c r="OQ7" s="101"/>
      <c r="OR7" s="101"/>
      <c r="OS7" s="101"/>
      <c r="OT7" s="101"/>
      <c r="OU7" s="101"/>
      <c r="OV7" s="101"/>
      <c r="OW7" s="101"/>
      <c r="OX7" s="101"/>
      <c r="OY7" s="101"/>
      <c r="OZ7" s="101"/>
      <c r="PA7" s="101"/>
      <c r="PB7" s="101"/>
      <c r="PC7" s="101"/>
      <c r="PD7" s="101"/>
      <c r="PE7" s="101"/>
      <c r="PF7" s="101"/>
      <c r="PG7" s="101"/>
      <c r="PH7" s="101"/>
      <c r="PI7" s="101"/>
      <c r="PJ7" s="101"/>
      <c r="PK7" s="101"/>
      <c r="PL7" s="101"/>
      <c r="PM7" s="101"/>
      <c r="PN7" s="101"/>
      <c r="PO7" s="101"/>
      <c r="PP7" s="101"/>
      <c r="PQ7" s="101"/>
      <c r="PR7" s="101"/>
      <c r="PS7" s="101"/>
      <c r="PT7" s="101"/>
      <c r="PU7" s="101"/>
      <c r="PV7" s="101"/>
      <c r="PW7" s="101"/>
      <c r="PX7" s="101"/>
      <c r="PY7" s="101"/>
      <c r="PZ7" s="101"/>
      <c r="QA7" s="101"/>
      <c r="QB7" s="101"/>
      <c r="QC7" s="101"/>
      <c r="QD7" s="101"/>
      <c r="QE7" s="101"/>
      <c r="QF7" s="101"/>
      <c r="QG7" s="101"/>
      <c r="QH7" s="101"/>
      <c r="QI7" s="101"/>
      <c r="QJ7" s="101"/>
      <c r="QK7" s="101"/>
      <c r="QL7" s="101"/>
      <c r="QM7" s="101"/>
      <c r="QN7" s="101"/>
      <c r="QO7" s="101"/>
      <c r="QP7" s="101"/>
      <c r="QQ7" s="101"/>
      <c r="QR7" s="101"/>
      <c r="QS7" s="101"/>
      <c r="QT7" s="101"/>
      <c r="QU7" s="101"/>
      <c r="QV7" s="101"/>
      <c r="QW7" s="101"/>
      <c r="QX7" s="101"/>
      <c r="QY7" s="101"/>
      <c r="QZ7" s="101"/>
      <c r="RA7" s="101"/>
      <c r="RB7" s="101"/>
      <c r="RC7" s="101"/>
      <c r="RD7" s="101"/>
      <c r="RE7" s="101"/>
      <c r="RF7" s="101"/>
      <c r="RG7" s="101"/>
      <c r="RH7" s="101"/>
      <c r="RI7" s="101"/>
      <c r="RJ7" s="101"/>
      <c r="RK7" s="101"/>
      <c r="RL7" s="101"/>
      <c r="RM7" s="101"/>
      <c r="RN7" s="101"/>
      <c r="RO7" s="101"/>
      <c r="RP7" s="101"/>
      <c r="RQ7" s="101"/>
      <c r="RR7" s="101"/>
      <c r="RS7" s="101"/>
      <c r="RT7" s="101"/>
      <c r="RU7" s="101"/>
      <c r="RV7" s="101"/>
      <c r="RW7" s="101"/>
      <c r="RX7" s="101"/>
      <c r="RY7" s="101"/>
      <c r="RZ7" s="101"/>
      <c r="SA7" s="101"/>
      <c r="SB7" s="101"/>
      <c r="SC7" s="101"/>
      <c r="SD7" s="101"/>
      <c r="SE7" s="101"/>
      <c r="SF7" s="101"/>
      <c r="SG7" s="101"/>
      <c r="SH7" s="101"/>
      <c r="SI7" s="101"/>
      <c r="SJ7" s="101"/>
      <c r="SK7" s="101"/>
      <c r="SL7" s="101"/>
      <c r="SM7" s="101"/>
      <c r="SN7" s="101"/>
      <c r="SO7" s="101"/>
      <c r="SP7" s="101"/>
      <c r="SQ7" s="101"/>
      <c r="SR7" s="101"/>
      <c r="SS7" s="101"/>
      <c r="ST7" s="101"/>
      <c r="SU7" s="101"/>
      <c r="SV7" s="101"/>
      <c r="SW7" s="101"/>
      <c r="SX7" s="101"/>
      <c r="SY7" s="101"/>
      <c r="SZ7" s="101"/>
      <c r="TA7" s="101"/>
      <c r="TB7" s="101"/>
      <c r="TC7" s="101"/>
      <c r="TD7" s="101"/>
      <c r="TE7" s="101"/>
      <c r="TF7" s="101"/>
      <c r="TG7" s="101"/>
      <c r="TH7" s="101"/>
      <c r="TI7" s="101"/>
      <c r="TJ7" s="101"/>
      <c r="TK7" s="101"/>
      <c r="TL7" s="101"/>
      <c r="TM7" s="101"/>
      <c r="TN7" s="101"/>
      <c r="TO7" s="101"/>
      <c r="TP7" s="101"/>
      <c r="TQ7" s="101"/>
      <c r="TR7" s="101"/>
      <c r="TS7" s="101"/>
      <c r="TT7" s="101"/>
      <c r="TU7" s="101"/>
      <c r="TV7" s="101"/>
      <c r="TW7" s="101"/>
      <c r="TX7" s="101"/>
      <c r="TY7" s="101"/>
      <c r="TZ7" s="101"/>
      <c r="UA7" s="101"/>
      <c r="UB7" s="101"/>
      <c r="UC7" s="101"/>
      <c r="UD7" s="101"/>
      <c r="UE7" s="101"/>
      <c r="UF7" s="101"/>
      <c r="UG7" s="101"/>
      <c r="UH7" s="101"/>
      <c r="UI7" s="101"/>
      <c r="UJ7" s="101"/>
      <c r="UK7" s="101"/>
      <c r="UL7" s="101"/>
      <c r="UM7" s="101"/>
      <c r="UN7" s="101"/>
      <c r="UO7" s="101"/>
      <c r="UP7" s="101"/>
      <c r="UQ7" s="101"/>
      <c r="UR7" s="101"/>
      <c r="US7" s="101"/>
      <c r="UT7" s="101"/>
      <c r="UU7" s="101"/>
      <c r="UV7" s="101"/>
      <c r="UW7" s="101"/>
      <c r="UX7" s="101"/>
      <c r="UY7" s="101"/>
      <c r="UZ7" s="101"/>
      <c r="VA7" s="101"/>
      <c r="VB7" s="101"/>
      <c r="VC7" s="101"/>
      <c r="VD7" s="101"/>
      <c r="VE7" s="101"/>
      <c r="VF7" s="101"/>
      <c r="VG7" s="101"/>
      <c r="VH7" s="101"/>
      <c r="VI7" s="101"/>
      <c r="VJ7" s="101"/>
      <c r="VK7" s="101"/>
      <c r="VL7" s="101"/>
      <c r="VM7" s="101"/>
      <c r="VN7" s="101"/>
      <c r="VO7" s="101"/>
      <c r="VP7" s="101"/>
      <c r="VQ7" s="101"/>
      <c r="VR7" s="101"/>
      <c r="VS7" s="101"/>
      <c r="VT7" s="101"/>
      <c r="VU7" s="101"/>
      <c r="VV7" s="101"/>
      <c r="VW7" s="101"/>
      <c r="VX7" s="101"/>
      <c r="VY7" s="101"/>
      <c r="VZ7" s="101"/>
      <c r="WA7" s="101"/>
      <c r="WB7" s="101"/>
      <c r="WC7" s="101"/>
      <c r="WD7" s="101"/>
      <c r="WE7" s="101"/>
      <c r="WF7" s="101"/>
      <c r="WG7" s="101"/>
      <c r="WH7" s="101"/>
      <c r="WI7" s="101"/>
      <c r="WJ7" s="101"/>
      <c r="WK7" s="101"/>
      <c r="WL7" s="101"/>
      <c r="WM7" s="101"/>
      <c r="WN7" s="101"/>
      <c r="WO7" s="101"/>
      <c r="WP7" s="101"/>
      <c r="WQ7" s="101"/>
      <c r="WR7" s="101"/>
      <c r="WS7" s="101"/>
      <c r="WT7" s="101"/>
      <c r="WU7" s="101"/>
      <c r="WV7" s="101"/>
      <c r="WW7" s="101"/>
      <c r="WX7" s="101"/>
      <c r="WY7" s="101"/>
      <c r="WZ7" s="101"/>
      <c r="XA7" s="101"/>
      <c r="XB7" s="101"/>
      <c r="XC7" s="101"/>
      <c r="XD7" s="101"/>
      <c r="XE7" s="101"/>
      <c r="XF7" s="101"/>
      <c r="XG7" s="101"/>
      <c r="XH7" s="101"/>
      <c r="XI7" s="101"/>
      <c r="XJ7" s="101"/>
      <c r="XK7" s="101"/>
      <c r="XL7" s="101"/>
      <c r="XM7" s="101"/>
      <c r="XN7" s="101"/>
      <c r="XO7" s="101"/>
      <c r="XP7" s="101"/>
      <c r="XQ7" s="101"/>
      <c r="XR7" s="101"/>
      <c r="XS7" s="101"/>
      <c r="XT7" s="101"/>
      <c r="XU7" s="101"/>
      <c r="XV7" s="101"/>
      <c r="XW7" s="101"/>
      <c r="XX7" s="101"/>
      <c r="XY7" s="101"/>
      <c r="XZ7" s="101"/>
      <c r="YA7" s="101"/>
      <c r="YB7" s="101"/>
      <c r="YC7" s="101"/>
      <c r="YD7" s="101"/>
      <c r="YE7" s="101"/>
      <c r="YF7" s="101"/>
      <c r="YG7" s="101"/>
      <c r="YH7" s="101"/>
      <c r="YI7" s="101"/>
      <c r="YJ7" s="101"/>
      <c r="YK7" s="101"/>
      <c r="YL7" s="101"/>
      <c r="YM7" s="101"/>
      <c r="YN7" s="101"/>
      <c r="YO7" s="101"/>
      <c r="YP7" s="101"/>
      <c r="YQ7" s="101"/>
      <c r="YR7" s="101"/>
      <c r="YS7" s="101"/>
      <c r="YT7" s="101"/>
      <c r="YU7" s="101"/>
      <c r="YV7" s="101"/>
      <c r="YW7" s="101"/>
      <c r="YX7" s="101"/>
      <c r="YY7" s="101"/>
      <c r="YZ7" s="101"/>
      <c r="ZA7" s="101"/>
      <c r="ZB7" s="101"/>
      <c r="ZC7" s="101"/>
      <c r="ZD7" s="101"/>
      <c r="ZE7" s="101"/>
      <c r="ZF7" s="101"/>
      <c r="ZG7" s="101"/>
      <c r="ZH7" s="101"/>
    </row>
    <row r="8" spans="1:684">
      <c r="A8" s="75" t="s">
        <v>46</v>
      </c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1"/>
      <c r="BM8" s="101"/>
      <c r="BN8" s="101"/>
      <c r="BO8" s="101"/>
      <c r="BP8" s="101"/>
      <c r="BQ8" s="101"/>
      <c r="BR8" s="101"/>
      <c r="BS8" s="101"/>
      <c r="BT8" s="101"/>
      <c r="BU8" s="101"/>
      <c r="BV8" s="101"/>
      <c r="BW8" s="101"/>
      <c r="BX8" s="101"/>
      <c r="BY8" s="101"/>
      <c r="BZ8" s="101"/>
      <c r="CA8" s="101"/>
      <c r="CB8" s="101"/>
      <c r="CC8" s="101"/>
      <c r="CD8" s="101"/>
      <c r="CE8" s="101"/>
      <c r="CF8" s="101"/>
      <c r="CG8" s="101"/>
      <c r="CH8" s="101"/>
      <c r="CI8" s="101"/>
      <c r="CJ8" s="101"/>
      <c r="CK8" s="101"/>
      <c r="CL8" s="101"/>
      <c r="CM8" s="101"/>
      <c r="CN8" s="101"/>
      <c r="CO8" s="101"/>
      <c r="CP8" s="101"/>
      <c r="CQ8" s="101"/>
      <c r="CR8" s="101"/>
      <c r="CS8" s="101"/>
      <c r="CT8" s="101"/>
      <c r="CU8" s="101"/>
      <c r="CV8" s="101"/>
      <c r="CW8" s="101"/>
      <c r="CX8" s="101"/>
      <c r="CY8" s="101"/>
      <c r="CZ8" s="101"/>
      <c r="DA8" s="101"/>
      <c r="DB8" s="101"/>
      <c r="DC8" s="101"/>
      <c r="DD8" s="101"/>
      <c r="DE8" s="101"/>
      <c r="DF8" s="101"/>
      <c r="DG8" s="101"/>
      <c r="DH8" s="101"/>
      <c r="DI8" s="101"/>
      <c r="DJ8" s="101"/>
      <c r="DK8" s="101"/>
      <c r="DL8" s="101"/>
      <c r="DM8" s="101"/>
      <c r="DN8" s="101"/>
      <c r="DO8" s="101"/>
      <c r="DP8" s="101"/>
      <c r="DQ8" s="101"/>
      <c r="DR8" s="101"/>
      <c r="DS8" s="101"/>
      <c r="DT8" s="101"/>
      <c r="DU8" s="101"/>
      <c r="DV8" s="101"/>
      <c r="DW8" s="101"/>
      <c r="DX8" s="101"/>
      <c r="DY8" s="101"/>
      <c r="DZ8" s="101"/>
      <c r="EA8" s="101"/>
      <c r="EB8" s="101"/>
      <c r="EC8" s="101"/>
      <c r="ED8" s="101"/>
      <c r="EE8" s="101"/>
      <c r="EF8" s="101"/>
      <c r="EG8" s="101"/>
      <c r="EH8" s="101"/>
      <c r="EI8" s="101"/>
      <c r="EJ8" s="101"/>
      <c r="EK8" s="101"/>
      <c r="EL8" s="101"/>
      <c r="EM8" s="101"/>
      <c r="EN8" s="101"/>
      <c r="EO8" s="101"/>
      <c r="EP8" s="101"/>
      <c r="EQ8" s="101"/>
      <c r="ER8" s="101"/>
      <c r="ES8" s="101"/>
      <c r="ET8" s="101"/>
      <c r="EU8" s="101"/>
      <c r="EV8" s="101"/>
      <c r="EW8" s="101"/>
      <c r="EX8" s="101"/>
      <c r="EY8" s="101"/>
      <c r="EZ8" s="101"/>
      <c r="FA8" s="101"/>
      <c r="FB8" s="101"/>
      <c r="FC8" s="101"/>
      <c r="FD8" s="101"/>
      <c r="FE8" s="101"/>
      <c r="FF8" s="101"/>
      <c r="FG8" s="101"/>
      <c r="FH8" s="101"/>
      <c r="FI8" s="101"/>
      <c r="FJ8" s="101"/>
      <c r="FK8" s="101"/>
      <c r="FL8" s="101"/>
      <c r="FM8" s="101"/>
      <c r="FN8" s="101"/>
      <c r="FO8" s="101"/>
      <c r="FP8" s="101"/>
      <c r="FQ8" s="101"/>
      <c r="FR8" s="101"/>
      <c r="FS8" s="101"/>
      <c r="FT8" s="101"/>
      <c r="FU8" s="101"/>
      <c r="FV8" s="101"/>
      <c r="FW8" s="101">
        <v>1</v>
      </c>
      <c r="FX8" s="101">
        <v>1</v>
      </c>
      <c r="FY8" s="101"/>
      <c r="FZ8" s="101">
        <v>1</v>
      </c>
      <c r="GA8" s="101">
        <v>1</v>
      </c>
      <c r="GB8" s="101">
        <v>1</v>
      </c>
      <c r="GC8" s="101">
        <v>1</v>
      </c>
      <c r="GD8" s="101">
        <v>1</v>
      </c>
      <c r="GE8" s="101">
        <v>1</v>
      </c>
      <c r="GF8" s="101"/>
      <c r="GG8" s="101">
        <v>1</v>
      </c>
      <c r="GH8" s="101">
        <v>1</v>
      </c>
      <c r="GI8" s="101">
        <v>1</v>
      </c>
      <c r="GJ8" s="101">
        <v>1</v>
      </c>
      <c r="GK8" s="101">
        <v>1</v>
      </c>
      <c r="GL8" s="101">
        <v>1</v>
      </c>
      <c r="GM8" s="101"/>
      <c r="GN8" s="101">
        <v>1</v>
      </c>
      <c r="GO8" s="101">
        <v>1</v>
      </c>
      <c r="GP8" s="101">
        <v>1</v>
      </c>
      <c r="GQ8" s="101">
        <v>1</v>
      </c>
      <c r="GR8" s="101">
        <v>1</v>
      </c>
      <c r="GS8" s="101">
        <v>1</v>
      </c>
      <c r="GT8" s="101"/>
      <c r="GU8" s="101"/>
      <c r="GV8" s="101"/>
      <c r="GW8" s="101"/>
      <c r="GX8" s="101"/>
      <c r="GY8" s="101"/>
      <c r="GZ8" s="101"/>
      <c r="HA8" s="101"/>
      <c r="HB8" s="101"/>
      <c r="HC8" s="101"/>
      <c r="HD8" s="101"/>
      <c r="HE8" s="101"/>
      <c r="HF8" s="101"/>
      <c r="HG8" s="101"/>
      <c r="HH8" s="101"/>
      <c r="HI8" s="101"/>
      <c r="HJ8" s="101"/>
      <c r="HK8" s="101">
        <v>1</v>
      </c>
      <c r="HL8" s="101">
        <v>1</v>
      </c>
      <c r="HM8" s="101">
        <v>1</v>
      </c>
      <c r="HN8" s="101">
        <v>1</v>
      </c>
      <c r="HO8" s="101"/>
      <c r="HP8" s="101">
        <v>1</v>
      </c>
      <c r="HQ8" s="101">
        <v>1</v>
      </c>
      <c r="HR8" s="101">
        <v>5</v>
      </c>
      <c r="HS8" s="101">
        <v>7</v>
      </c>
      <c r="HT8" s="101">
        <v>7</v>
      </c>
      <c r="HU8" s="101">
        <v>22</v>
      </c>
      <c r="HV8" s="101"/>
      <c r="HW8" s="101"/>
      <c r="HX8" s="101"/>
      <c r="HY8" s="101"/>
      <c r="HZ8" s="101"/>
      <c r="IA8" s="101">
        <v>23</v>
      </c>
      <c r="IB8" s="101">
        <v>23</v>
      </c>
      <c r="IC8" s="101"/>
      <c r="ID8" s="101">
        <v>23</v>
      </c>
      <c r="IE8" s="101">
        <v>23</v>
      </c>
      <c r="IF8" s="101">
        <v>23</v>
      </c>
      <c r="IG8" s="101">
        <v>23</v>
      </c>
      <c r="IH8" s="101">
        <v>23</v>
      </c>
      <c r="II8" s="101">
        <v>23</v>
      </c>
      <c r="IJ8" s="101"/>
      <c r="IK8" s="101">
        <v>19</v>
      </c>
      <c r="IL8" s="101">
        <v>29</v>
      </c>
      <c r="IM8" s="101">
        <v>37</v>
      </c>
      <c r="IN8" s="101">
        <v>37</v>
      </c>
      <c r="IO8" s="101">
        <v>37</v>
      </c>
      <c r="IP8" s="101">
        <v>37</v>
      </c>
      <c r="IQ8" s="101"/>
      <c r="IR8" s="101">
        <v>37</v>
      </c>
      <c r="IS8" s="101">
        <v>37</v>
      </c>
      <c r="IT8" s="101">
        <v>37</v>
      </c>
      <c r="IU8" s="101">
        <v>37</v>
      </c>
      <c r="IV8" s="101">
        <v>37</v>
      </c>
      <c r="IW8" s="101">
        <v>37</v>
      </c>
      <c r="IX8" s="101"/>
      <c r="IY8" s="101">
        <v>37</v>
      </c>
      <c r="IZ8" s="101">
        <v>52</v>
      </c>
      <c r="JA8" s="101">
        <v>52</v>
      </c>
      <c r="JB8" s="101">
        <v>52</v>
      </c>
      <c r="JC8" s="101">
        <v>52</v>
      </c>
      <c r="JD8" s="101">
        <v>52</v>
      </c>
      <c r="JE8" s="101"/>
      <c r="JF8" s="101">
        <v>52</v>
      </c>
      <c r="JG8" s="101">
        <v>52</v>
      </c>
      <c r="JH8" s="101">
        <v>52</v>
      </c>
      <c r="JI8" s="101">
        <v>37</v>
      </c>
      <c r="JJ8" s="101">
        <v>52</v>
      </c>
      <c r="JK8" s="101">
        <v>67</v>
      </c>
      <c r="JL8" s="101"/>
      <c r="JM8" s="101">
        <v>67</v>
      </c>
      <c r="JN8" s="101">
        <v>67</v>
      </c>
      <c r="JO8" s="101">
        <v>67</v>
      </c>
      <c r="JP8" s="101">
        <v>67</v>
      </c>
      <c r="JQ8" s="101">
        <v>67</v>
      </c>
      <c r="JR8" s="101">
        <v>67</v>
      </c>
      <c r="JS8" s="101"/>
      <c r="JT8" s="101">
        <v>67</v>
      </c>
      <c r="JU8" s="101">
        <v>67</v>
      </c>
      <c r="JV8" s="101">
        <v>67</v>
      </c>
      <c r="JW8" s="101">
        <v>82</v>
      </c>
      <c r="JX8" s="101">
        <v>82</v>
      </c>
      <c r="JY8" s="101">
        <v>82</v>
      </c>
      <c r="JZ8" s="101"/>
      <c r="KA8" s="101">
        <v>82</v>
      </c>
      <c r="KB8" s="101">
        <v>82</v>
      </c>
      <c r="KC8" s="101">
        <v>82</v>
      </c>
      <c r="KD8" s="101">
        <v>82</v>
      </c>
      <c r="KE8" s="101">
        <v>82</v>
      </c>
      <c r="KF8" s="101">
        <v>70</v>
      </c>
      <c r="KG8" s="101"/>
      <c r="KH8" s="101">
        <v>62</v>
      </c>
      <c r="KI8" s="101">
        <v>62</v>
      </c>
      <c r="KJ8" s="101">
        <v>62</v>
      </c>
      <c r="KK8" s="101">
        <v>62</v>
      </c>
      <c r="KL8" s="101"/>
      <c r="KM8" s="101"/>
      <c r="KN8" s="101"/>
      <c r="KO8" s="101"/>
      <c r="KP8" s="101"/>
      <c r="KQ8" s="101"/>
      <c r="KR8" s="101">
        <v>62</v>
      </c>
      <c r="KS8" s="101">
        <v>62</v>
      </c>
      <c r="KT8" s="101">
        <v>62</v>
      </c>
      <c r="KU8" s="101"/>
      <c r="KV8" s="101">
        <v>62</v>
      </c>
      <c r="KW8" s="101">
        <v>62</v>
      </c>
      <c r="KX8" s="101">
        <v>64</v>
      </c>
      <c r="KY8" s="101">
        <v>49</v>
      </c>
      <c r="KZ8" s="101">
        <v>49</v>
      </c>
      <c r="LA8" s="101">
        <v>49</v>
      </c>
      <c r="LB8" s="101"/>
      <c r="LC8" s="101">
        <v>49</v>
      </c>
      <c r="LD8" s="101">
        <v>49</v>
      </c>
      <c r="LE8" s="101">
        <v>49</v>
      </c>
      <c r="LF8" s="101">
        <v>49</v>
      </c>
      <c r="LG8" s="101">
        <v>47</v>
      </c>
      <c r="LH8" s="101">
        <v>47</v>
      </c>
      <c r="LI8" s="101"/>
      <c r="LJ8" s="101">
        <v>47</v>
      </c>
      <c r="LK8" s="101">
        <v>47</v>
      </c>
      <c r="LL8" s="101">
        <v>47</v>
      </c>
      <c r="LM8" s="101">
        <v>47</v>
      </c>
      <c r="LN8" s="101">
        <v>47</v>
      </c>
      <c r="LO8" s="101">
        <v>47</v>
      </c>
      <c r="LP8" s="101"/>
      <c r="LQ8" s="101">
        <v>47</v>
      </c>
      <c r="LR8" s="101">
        <v>47</v>
      </c>
      <c r="LS8" s="101">
        <v>47</v>
      </c>
      <c r="LT8" s="101">
        <v>47</v>
      </c>
      <c r="LU8" s="101">
        <v>47</v>
      </c>
      <c r="LV8" s="101">
        <v>47</v>
      </c>
      <c r="LW8" s="101"/>
      <c r="LX8" s="101">
        <v>57</v>
      </c>
      <c r="LY8" s="101">
        <v>57</v>
      </c>
      <c r="LZ8" s="101">
        <v>57</v>
      </c>
      <c r="MA8" s="101">
        <v>57</v>
      </c>
      <c r="MB8" s="101">
        <v>57</v>
      </c>
      <c r="MC8" s="101">
        <v>57</v>
      </c>
      <c r="MD8" s="101"/>
      <c r="ME8" s="101">
        <v>57</v>
      </c>
      <c r="MF8" s="101">
        <v>57</v>
      </c>
      <c r="MG8" s="101">
        <v>57</v>
      </c>
      <c r="MH8" s="101">
        <v>57</v>
      </c>
      <c r="MI8" s="101">
        <v>57</v>
      </c>
      <c r="MJ8" s="101">
        <v>57</v>
      </c>
      <c r="MK8" s="101"/>
      <c r="ML8" s="101">
        <v>57</v>
      </c>
      <c r="MM8" s="101">
        <v>57</v>
      </c>
      <c r="MN8" s="101">
        <v>57</v>
      </c>
      <c r="MO8" s="101">
        <v>57</v>
      </c>
      <c r="MP8" s="101">
        <v>57</v>
      </c>
      <c r="MQ8" s="101">
        <v>57</v>
      </c>
      <c r="MR8" s="101"/>
      <c r="MS8" s="101">
        <v>57</v>
      </c>
      <c r="MT8" s="101">
        <v>57</v>
      </c>
      <c r="MU8" s="101">
        <v>57</v>
      </c>
      <c r="MV8" s="101">
        <v>57</v>
      </c>
      <c r="MW8" s="101">
        <v>57</v>
      </c>
      <c r="MX8" s="101">
        <v>57</v>
      </c>
      <c r="MY8" s="101"/>
      <c r="MZ8" s="101">
        <v>57</v>
      </c>
      <c r="NA8" s="101">
        <v>57</v>
      </c>
      <c r="NB8" s="101">
        <v>57</v>
      </c>
      <c r="NC8" s="101">
        <v>57</v>
      </c>
      <c r="ND8" s="101">
        <v>57</v>
      </c>
      <c r="NE8" s="101">
        <v>57</v>
      </c>
      <c r="NF8" s="101"/>
      <c r="NG8" s="101">
        <v>47</v>
      </c>
      <c r="NH8" s="101">
        <v>47</v>
      </c>
      <c r="NI8" s="101">
        <v>47</v>
      </c>
      <c r="NJ8" s="101">
        <v>47</v>
      </c>
      <c r="NK8" s="101">
        <v>47</v>
      </c>
      <c r="NL8" s="101">
        <v>47</v>
      </c>
      <c r="NM8" s="101"/>
      <c r="NN8" s="101">
        <v>47</v>
      </c>
      <c r="NO8" s="101">
        <v>47</v>
      </c>
      <c r="NP8" s="101">
        <v>47</v>
      </c>
      <c r="NQ8" s="101">
        <v>47</v>
      </c>
      <c r="NR8" s="101">
        <v>32</v>
      </c>
      <c r="NS8" s="101">
        <v>32</v>
      </c>
      <c r="NT8" s="101"/>
      <c r="NU8" s="101">
        <v>32</v>
      </c>
      <c r="NV8" s="101">
        <v>32</v>
      </c>
      <c r="NW8" s="101">
        <v>32</v>
      </c>
      <c r="NX8" s="101">
        <v>34</v>
      </c>
      <c r="NY8" s="101">
        <v>34</v>
      </c>
      <c r="NZ8" s="101">
        <v>34</v>
      </c>
      <c r="OA8" s="101"/>
      <c r="OB8" s="101">
        <v>32</v>
      </c>
      <c r="OC8" s="101">
        <v>32</v>
      </c>
      <c r="OD8" s="101">
        <v>17</v>
      </c>
      <c r="OE8" s="101">
        <v>17</v>
      </c>
      <c r="OF8" s="101">
        <v>17</v>
      </c>
      <c r="OG8" s="101">
        <v>17</v>
      </c>
      <c r="OH8" s="101"/>
      <c r="OI8" s="101">
        <v>17</v>
      </c>
      <c r="OJ8" s="101">
        <v>19</v>
      </c>
      <c r="OK8" s="101">
        <v>19</v>
      </c>
      <c r="OL8" s="101">
        <v>19</v>
      </c>
      <c r="OM8" s="101">
        <v>19</v>
      </c>
      <c r="ON8" s="101">
        <v>19</v>
      </c>
      <c r="OO8" s="101">
        <v>2</v>
      </c>
      <c r="OP8" s="101">
        <v>21</v>
      </c>
      <c r="OQ8" s="101">
        <v>21</v>
      </c>
      <c r="OR8" s="101">
        <v>21</v>
      </c>
      <c r="OS8" s="101">
        <v>21</v>
      </c>
      <c r="OT8" s="101">
        <v>21</v>
      </c>
      <c r="OU8" s="101">
        <v>21</v>
      </c>
      <c r="OV8" s="101"/>
      <c r="OW8" s="101">
        <v>21</v>
      </c>
      <c r="OX8" s="101">
        <v>21</v>
      </c>
      <c r="OY8" s="101">
        <v>21</v>
      </c>
      <c r="OZ8" s="101">
        <v>21</v>
      </c>
      <c r="PA8" s="101">
        <v>21</v>
      </c>
      <c r="PB8" s="101">
        <v>21</v>
      </c>
      <c r="PC8" s="101">
        <v>2</v>
      </c>
      <c r="PD8" s="101">
        <v>21</v>
      </c>
      <c r="PE8" s="101">
        <v>21</v>
      </c>
      <c r="PF8" s="101">
        <v>21</v>
      </c>
      <c r="PG8" s="101">
        <v>19</v>
      </c>
      <c r="PH8" s="101">
        <v>19</v>
      </c>
      <c r="PI8" s="101">
        <v>19</v>
      </c>
      <c r="PJ8" s="101"/>
      <c r="PK8" s="101">
        <v>19</v>
      </c>
      <c r="PL8" s="101">
        <v>19</v>
      </c>
      <c r="PM8" s="101">
        <v>19</v>
      </c>
      <c r="PN8" s="101">
        <v>19</v>
      </c>
      <c r="PO8" s="101">
        <v>19</v>
      </c>
      <c r="PP8" s="101">
        <v>19</v>
      </c>
      <c r="PQ8" s="101">
        <v>2</v>
      </c>
      <c r="PR8" s="101">
        <v>19</v>
      </c>
      <c r="PS8" s="101">
        <v>17</v>
      </c>
      <c r="PT8" s="101">
        <v>17</v>
      </c>
      <c r="PU8" s="101">
        <v>17</v>
      </c>
      <c r="PV8" s="101">
        <v>17</v>
      </c>
      <c r="PW8" s="101">
        <v>17</v>
      </c>
      <c r="PX8" s="101"/>
      <c r="PY8" s="101">
        <v>17</v>
      </c>
      <c r="PZ8" s="101">
        <v>17</v>
      </c>
      <c r="QA8" s="101">
        <v>17</v>
      </c>
      <c r="QB8" s="101">
        <v>17</v>
      </c>
      <c r="QC8" s="101">
        <v>17</v>
      </c>
      <c r="QD8" s="101">
        <v>17</v>
      </c>
      <c r="QE8" s="101"/>
      <c r="QF8" s="101">
        <v>17</v>
      </c>
      <c r="QG8" s="101">
        <v>17</v>
      </c>
      <c r="QH8" s="101">
        <v>17</v>
      </c>
      <c r="QI8" s="101">
        <v>17</v>
      </c>
      <c r="QJ8" s="101">
        <v>17</v>
      </c>
      <c r="QK8" s="101">
        <v>17</v>
      </c>
      <c r="QL8" s="101"/>
      <c r="QM8" s="101">
        <v>17</v>
      </c>
      <c r="QN8" s="101">
        <v>17</v>
      </c>
      <c r="QO8" s="101">
        <v>17</v>
      </c>
      <c r="QP8" s="101">
        <v>17</v>
      </c>
      <c r="QQ8" s="101">
        <v>17</v>
      </c>
      <c r="QR8" s="101">
        <v>17</v>
      </c>
      <c r="QS8" s="101"/>
      <c r="QT8" s="101">
        <v>17</v>
      </c>
      <c r="QU8" s="101">
        <v>17</v>
      </c>
      <c r="QV8" s="101">
        <v>17</v>
      </c>
      <c r="QW8" s="101">
        <v>17</v>
      </c>
      <c r="QX8" s="101">
        <v>17</v>
      </c>
      <c r="QY8" s="101">
        <v>17</v>
      </c>
      <c r="QZ8" s="101"/>
      <c r="RA8" s="101">
        <v>17</v>
      </c>
      <c r="RB8" s="101">
        <v>17</v>
      </c>
      <c r="RC8" s="101">
        <v>17</v>
      </c>
      <c r="RD8" s="101">
        <v>17</v>
      </c>
      <c r="RE8" s="101">
        <v>17</v>
      </c>
      <c r="RF8" s="101">
        <v>17</v>
      </c>
      <c r="RG8" s="101"/>
      <c r="RH8" s="101">
        <v>17</v>
      </c>
      <c r="RI8" s="101">
        <v>17</v>
      </c>
      <c r="RJ8" s="101">
        <v>17</v>
      </c>
      <c r="RK8" s="101">
        <v>17</v>
      </c>
      <c r="RL8" s="101">
        <v>17</v>
      </c>
      <c r="RM8" s="101">
        <v>17</v>
      </c>
      <c r="RN8" s="101"/>
      <c r="RO8" s="101">
        <v>17</v>
      </c>
      <c r="RP8" s="101">
        <v>17</v>
      </c>
      <c r="RQ8" s="101">
        <v>17</v>
      </c>
      <c r="RR8" s="101">
        <v>17</v>
      </c>
      <c r="RS8" s="101">
        <v>17</v>
      </c>
      <c r="RT8" s="101">
        <v>17</v>
      </c>
      <c r="RU8" s="101"/>
      <c r="RV8" s="101">
        <v>17</v>
      </c>
      <c r="RW8" s="101">
        <v>17</v>
      </c>
      <c r="RX8" s="101">
        <v>17</v>
      </c>
      <c r="RY8" s="101">
        <v>17</v>
      </c>
      <c r="RZ8" s="101">
        <v>17</v>
      </c>
      <c r="SA8" s="101">
        <v>17</v>
      </c>
      <c r="SB8" s="101"/>
      <c r="SC8" s="101">
        <v>17</v>
      </c>
      <c r="SD8" s="101">
        <v>17</v>
      </c>
      <c r="SE8" s="101">
        <v>17</v>
      </c>
      <c r="SF8" s="101">
        <v>17</v>
      </c>
      <c r="SG8" s="101">
        <v>17</v>
      </c>
      <c r="SH8" s="101">
        <v>17</v>
      </c>
      <c r="SI8" s="101"/>
      <c r="SJ8" s="101">
        <v>17</v>
      </c>
      <c r="SK8" s="101">
        <v>17</v>
      </c>
      <c r="SL8" s="101">
        <v>17</v>
      </c>
      <c r="SM8" s="101">
        <v>17</v>
      </c>
      <c r="SN8" s="101">
        <v>17</v>
      </c>
      <c r="SO8" s="101">
        <v>17</v>
      </c>
      <c r="SP8" s="101"/>
      <c r="SQ8" s="101">
        <v>17</v>
      </c>
      <c r="SR8" s="101">
        <v>17</v>
      </c>
      <c r="SS8" s="101">
        <v>17</v>
      </c>
      <c r="ST8" s="101">
        <v>17</v>
      </c>
      <c r="SU8" s="101">
        <v>17</v>
      </c>
      <c r="SV8" s="101">
        <v>17</v>
      </c>
      <c r="SW8" s="101"/>
      <c r="SX8" s="101">
        <v>17</v>
      </c>
      <c r="SY8" s="101">
        <v>17</v>
      </c>
      <c r="SZ8" s="101">
        <v>17</v>
      </c>
      <c r="TA8" s="101">
        <v>17</v>
      </c>
      <c r="TB8" s="101">
        <v>17</v>
      </c>
      <c r="TC8" s="101">
        <v>17</v>
      </c>
      <c r="TD8" s="101"/>
      <c r="TE8" s="101">
        <v>17</v>
      </c>
      <c r="TF8" s="101">
        <v>17</v>
      </c>
      <c r="TG8" s="101">
        <v>17</v>
      </c>
      <c r="TH8" s="101">
        <v>17</v>
      </c>
      <c r="TI8" s="101">
        <v>17</v>
      </c>
      <c r="TJ8" s="101">
        <v>17</v>
      </c>
      <c r="TK8" s="101"/>
      <c r="TL8" s="101">
        <v>17</v>
      </c>
      <c r="TM8" s="101">
        <v>17</v>
      </c>
      <c r="TN8" s="101">
        <v>17</v>
      </c>
      <c r="TO8" s="101">
        <v>17</v>
      </c>
      <c r="TP8" s="101">
        <v>17</v>
      </c>
      <c r="TQ8" s="101">
        <v>17</v>
      </c>
      <c r="TR8" s="101"/>
      <c r="TS8" s="101">
        <v>17</v>
      </c>
      <c r="TT8" s="101">
        <v>17</v>
      </c>
      <c r="TU8" s="101">
        <v>17</v>
      </c>
      <c r="TV8" s="101">
        <v>17</v>
      </c>
      <c r="TW8" s="101">
        <v>17</v>
      </c>
      <c r="TX8" s="101">
        <v>17</v>
      </c>
      <c r="TY8" s="101"/>
      <c r="TZ8" s="101"/>
      <c r="UA8" s="101"/>
      <c r="UB8" s="101"/>
      <c r="UC8" s="101"/>
      <c r="UD8" s="101"/>
      <c r="UE8" s="101"/>
      <c r="UF8" s="101"/>
      <c r="UG8" s="101"/>
      <c r="UH8" s="101"/>
      <c r="UI8" s="101"/>
      <c r="UJ8" s="101"/>
      <c r="UK8" s="101"/>
      <c r="UL8" s="101"/>
      <c r="UM8" s="101"/>
      <c r="UN8" s="101"/>
      <c r="UO8" s="101"/>
      <c r="UP8" s="101"/>
      <c r="UQ8" s="101"/>
      <c r="UR8" s="101"/>
      <c r="US8" s="101"/>
      <c r="UT8" s="101"/>
      <c r="UU8" s="101"/>
      <c r="UV8" s="101"/>
      <c r="UW8" s="101"/>
      <c r="UX8" s="101"/>
      <c r="UY8" s="101"/>
      <c r="UZ8" s="101"/>
      <c r="VA8" s="101"/>
      <c r="VB8" s="101"/>
      <c r="VC8" s="101"/>
      <c r="VD8" s="101"/>
      <c r="VE8" s="101"/>
      <c r="VF8" s="101"/>
      <c r="VG8" s="101"/>
      <c r="VH8" s="101"/>
      <c r="VI8" s="101"/>
      <c r="VJ8" s="101"/>
      <c r="VK8" s="101"/>
      <c r="VL8" s="101"/>
      <c r="VM8" s="101"/>
      <c r="VN8" s="101"/>
      <c r="VO8" s="101"/>
      <c r="VP8" s="101"/>
      <c r="VQ8" s="101"/>
      <c r="VR8" s="101"/>
      <c r="VS8" s="101"/>
      <c r="VT8" s="101"/>
      <c r="VU8" s="101"/>
      <c r="VV8" s="101"/>
      <c r="VW8" s="101"/>
      <c r="VX8" s="101"/>
      <c r="VY8" s="101"/>
      <c r="VZ8" s="101"/>
      <c r="WA8" s="101"/>
      <c r="WB8" s="101"/>
      <c r="WC8" s="101"/>
      <c r="WD8" s="101"/>
      <c r="WE8" s="101"/>
      <c r="WF8" s="101"/>
      <c r="WG8" s="101"/>
      <c r="WH8" s="101"/>
      <c r="WI8" s="101"/>
      <c r="WJ8" s="101"/>
      <c r="WK8" s="101"/>
      <c r="WL8" s="101"/>
      <c r="WM8" s="101"/>
      <c r="WN8" s="101"/>
      <c r="WO8" s="101"/>
      <c r="WP8" s="101"/>
      <c r="WQ8" s="101"/>
      <c r="WR8" s="101"/>
      <c r="WS8" s="101"/>
      <c r="WT8" s="101"/>
      <c r="WU8" s="101"/>
      <c r="WV8" s="101"/>
      <c r="WW8" s="101"/>
      <c r="WX8" s="101"/>
      <c r="WY8" s="101"/>
      <c r="WZ8" s="101"/>
      <c r="XA8" s="101"/>
      <c r="XB8" s="101"/>
      <c r="XC8" s="101"/>
      <c r="XD8" s="101"/>
      <c r="XE8" s="101"/>
      <c r="XF8" s="101"/>
      <c r="XG8" s="101"/>
      <c r="XH8" s="101"/>
      <c r="XI8" s="101"/>
      <c r="XJ8" s="101"/>
      <c r="XK8" s="101"/>
      <c r="XL8" s="101"/>
      <c r="XM8" s="101"/>
      <c r="XN8" s="101"/>
      <c r="XO8" s="101"/>
      <c r="XP8" s="101"/>
      <c r="XQ8" s="101"/>
      <c r="XR8" s="101"/>
      <c r="XS8" s="101"/>
      <c r="XT8" s="101"/>
      <c r="XU8" s="101"/>
      <c r="XV8" s="101"/>
      <c r="XW8" s="101"/>
      <c r="XX8" s="101"/>
      <c r="XY8" s="101"/>
      <c r="XZ8" s="101"/>
      <c r="YA8" s="101"/>
      <c r="YB8" s="101"/>
      <c r="YC8" s="101"/>
      <c r="YD8" s="101"/>
      <c r="YE8" s="101"/>
      <c r="YF8" s="101"/>
      <c r="YG8" s="101"/>
      <c r="YH8" s="101"/>
      <c r="YI8" s="101"/>
      <c r="YJ8" s="101"/>
      <c r="YK8" s="101"/>
      <c r="YL8" s="101"/>
      <c r="YM8" s="101"/>
      <c r="YN8" s="101"/>
      <c r="YO8" s="101"/>
      <c r="YP8" s="101"/>
      <c r="YQ8" s="101"/>
      <c r="YR8" s="101"/>
      <c r="YS8" s="101"/>
      <c r="YT8" s="101"/>
      <c r="YU8" s="101"/>
      <c r="YV8" s="101"/>
      <c r="YW8" s="101"/>
      <c r="YX8" s="101"/>
      <c r="YY8" s="101"/>
      <c r="YZ8" s="101"/>
      <c r="ZA8" s="101"/>
      <c r="ZB8" s="101"/>
      <c r="ZC8" s="101"/>
      <c r="ZD8" s="101"/>
      <c r="ZE8" s="101"/>
      <c r="ZF8" s="101"/>
      <c r="ZG8" s="101"/>
      <c r="ZH8" s="101"/>
    </row>
    <row r="9" spans="1:684">
      <c r="A9" s="75" t="s">
        <v>47</v>
      </c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  <c r="BZ9" s="101"/>
      <c r="CA9" s="101"/>
      <c r="CB9" s="101"/>
      <c r="CC9" s="101"/>
      <c r="CD9" s="101"/>
      <c r="CE9" s="101"/>
      <c r="CF9" s="101"/>
      <c r="CG9" s="101"/>
      <c r="CH9" s="101"/>
      <c r="CI9" s="101"/>
      <c r="CJ9" s="101"/>
      <c r="CK9" s="101"/>
      <c r="CL9" s="101"/>
      <c r="CM9" s="101"/>
      <c r="CN9" s="101"/>
      <c r="CO9" s="101"/>
      <c r="CP9" s="101"/>
      <c r="CQ9" s="101"/>
      <c r="CR9" s="101"/>
      <c r="CS9" s="101"/>
      <c r="CT9" s="101"/>
      <c r="CU9" s="101"/>
      <c r="CV9" s="101"/>
      <c r="CW9" s="101"/>
      <c r="CX9" s="101"/>
      <c r="CY9" s="101"/>
      <c r="CZ9" s="101"/>
      <c r="DA9" s="101"/>
      <c r="DB9" s="101"/>
      <c r="DC9" s="101"/>
      <c r="DD9" s="101"/>
      <c r="DE9" s="101"/>
      <c r="DF9" s="101"/>
      <c r="DG9" s="101"/>
      <c r="DH9" s="101"/>
      <c r="DI9" s="101"/>
      <c r="DJ9" s="101"/>
      <c r="DK9" s="101"/>
      <c r="DL9" s="101"/>
      <c r="DM9" s="101"/>
      <c r="DN9" s="101"/>
      <c r="DO9" s="101"/>
      <c r="DP9" s="101"/>
      <c r="DQ9" s="101"/>
      <c r="DR9" s="101"/>
      <c r="DS9" s="101"/>
      <c r="DT9" s="101"/>
      <c r="DU9" s="101"/>
      <c r="DV9" s="101"/>
      <c r="DW9" s="101"/>
      <c r="DX9" s="101"/>
      <c r="DY9" s="101"/>
      <c r="DZ9" s="101"/>
      <c r="EA9" s="101"/>
      <c r="EB9" s="101"/>
      <c r="EC9" s="101"/>
      <c r="ED9" s="101"/>
      <c r="EE9" s="101"/>
      <c r="EF9" s="101"/>
      <c r="EG9" s="101"/>
      <c r="EH9" s="101"/>
      <c r="EI9" s="101"/>
      <c r="EJ9" s="101"/>
      <c r="EK9" s="101"/>
      <c r="EL9" s="101"/>
      <c r="EM9" s="101"/>
      <c r="EN9" s="101"/>
      <c r="EO9" s="101"/>
      <c r="EP9" s="101"/>
      <c r="EQ9" s="101"/>
      <c r="ER9" s="101"/>
      <c r="ES9" s="101"/>
      <c r="ET9" s="101"/>
      <c r="EU9" s="101"/>
      <c r="EV9" s="101"/>
      <c r="EW9" s="101"/>
      <c r="EX9" s="101"/>
      <c r="EY9" s="101"/>
      <c r="EZ9" s="101"/>
      <c r="FA9" s="101"/>
      <c r="FB9" s="101"/>
      <c r="FC9" s="101"/>
      <c r="FD9" s="101"/>
      <c r="FE9" s="101"/>
      <c r="FF9" s="101"/>
      <c r="FG9" s="101"/>
      <c r="FH9" s="101"/>
      <c r="FI9" s="101"/>
      <c r="FJ9" s="101"/>
      <c r="FK9" s="101"/>
      <c r="FL9" s="101"/>
      <c r="FM9" s="101"/>
      <c r="FN9" s="101"/>
      <c r="FO9" s="101"/>
      <c r="FP9" s="101"/>
      <c r="FQ9" s="101"/>
      <c r="FR9" s="101"/>
      <c r="FS9" s="101"/>
      <c r="FT9" s="101"/>
      <c r="FU9" s="101"/>
      <c r="FV9" s="101"/>
      <c r="FW9" s="101"/>
      <c r="FX9" s="101"/>
      <c r="FY9" s="101"/>
      <c r="FZ9" s="101"/>
      <c r="GA9" s="101"/>
      <c r="GB9" s="101"/>
      <c r="GC9" s="101"/>
      <c r="GD9" s="101"/>
      <c r="GE9" s="101"/>
      <c r="GF9" s="101"/>
      <c r="GG9" s="101"/>
      <c r="GH9" s="101"/>
      <c r="GI9" s="101"/>
      <c r="GJ9" s="101"/>
      <c r="GK9" s="101"/>
      <c r="GL9" s="101"/>
      <c r="GM9" s="101"/>
      <c r="GN9" s="101"/>
      <c r="GO9" s="101"/>
      <c r="GP9" s="101"/>
      <c r="GQ9" s="101"/>
      <c r="GR9" s="101"/>
      <c r="GS9" s="101"/>
      <c r="GT9" s="101"/>
      <c r="GU9" s="101"/>
      <c r="GV9" s="101"/>
      <c r="GW9" s="101"/>
      <c r="GX9" s="101"/>
      <c r="GY9" s="101"/>
      <c r="GZ9" s="101"/>
      <c r="HA9" s="101"/>
      <c r="HB9" s="101"/>
      <c r="HC9" s="101"/>
      <c r="HD9" s="101"/>
      <c r="HE9" s="101"/>
      <c r="HF9" s="101"/>
      <c r="HG9" s="101"/>
      <c r="HH9" s="101"/>
      <c r="HI9" s="101"/>
      <c r="HJ9" s="101"/>
      <c r="HK9" s="101"/>
      <c r="HL9" s="101"/>
      <c r="HM9" s="101"/>
      <c r="HN9" s="101"/>
      <c r="HO9" s="101"/>
      <c r="HP9" s="101"/>
      <c r="HQ9" s="101"/>
      <c r="HR9" s="101"/>
      <c r="HS9" s="101"/>
      <c r="HT9" s="101"/>
      <c r="HU9" s="101"/>
      <c r="HV9" s="101"/>
      <c r="HW9" s="101"/>
      <c r="HX9" s="101"/>
      <c r="HY9" s="101"/>
      <c r="HZ9" s="101"/>
      <c r="IA9" s="101"/>
      <c r="IB9" s="101"/>
      <c r="IC9" s="101"/>
      <c r="ID9" s="101"/>
      <c r="IE9" s="101"/>
      <c r="IF9" s="101"/>
      <c r="IG9" s="101"/>
      <c r="IH9" s="101"/>
      <c r="II9" s="101"/>
      <c r="IJ9" s="101"/>
      <c r="IK9" s="101"/>
      <c r="IL9" s="101"/>
      <c r="IM9" s="101"/>
      <c r="IN9" s="101"/>
      <c r="IO9" s="101"/>
      <c r="IP9" s="101"/>
      <c r="IQ9" s="101"/>
      <c r="IR9" s="101"/>
      <c r="IS9" s="101"/>
      <c r="IT9" s="101"/>
      <c r="IU9" s="101"/>
      <c r="IV9" s="101"/>
      <c r="IW9" s="101">
        <v>19</v>
      </c>
      <c r="IX9" s="101"/>
      <c r="IY9" s="101">
        <v>22</v>
      </c>
      <c r="IZ9" s="101">
        <v>22</v>
      </c>
      <c r="JA9" s="101">
        <v>22</v>
      </c>
      <c r="JB9" s="101">
        <v>22</v>
      </c>
      <c r="JC9" s="101">
        <v>22</v>
      </c>
      <c r="JD9" s="101">
        <v>22</v>
      </c>
      <c r="JE9" s="101"/>
      <c r="JF9" s="101">
        <v>22</v>
      </c>
      <c r="JG9" s="101">
        <v>22</v>
      </c>
      <c r="JH9" s="101">
        <v>22</v>
      </c>
      <c r="JI9" s="101">
        <v>22</v>
      </c>
      <c r="JJ9" s="101">
        <v>22</v>
      </c>
      <c r="JK9" s="101">
        <v>22</v>
      </c>
      <c r="JL9" s="101"/>
      <c r="JM9" s="101">
        <v>22</v>
      </c>
      <c r="JN9" s="101">
        <v>22</v>
      </c>
      <c r="JO9" s="101">
        <v>22</v>
      </c>
      <c r="JP9" s="101">
        <v>22</v>
      </c>
      <c r="JQ9" s="101">
        <v>22</v>
      </c>
      <c r="JR9" s="101">
        <v>22</v>
      </c>
      <c r="JS9" s="101"/>
      <c r="JT9" s="101">
        <v>22</v>
      </c>
      <c r="JU9" s="101">
        <v>22</v>
      </c>
      <c r="JV9" s="101">
        <v>22</v>
      </c>
      <c r="JW9" s="101">
        <v>37</v>
      </c>
      <c r="JX9" s="101">
        <v>37</v>
      </c>
      <c r="JY9" s="101">
        <v>37</v>
      </c>
      <c r="JZ9" s="101"/>
      <c r="KA9" s="101">
        <v>37</v>
      </c>
      <c r="KB9" s="101">
        <v>37</v>
      </c>
      <c r="KC9" s="101">
        <v>37</v>
      </c>
      <c r="KD9" s="101">
        <v>37</v>
      </c>
      <c r="KE9" s="101">
        <v>37</v>
      </c>
      <c r="KF9" s="101">
        <v>37</v>
      </c>
      <c r="KG9" s="101"/>
      <c r="KH9" s="101">
        <v>52</v>
      </c>
      <c r="KI9" s="101">
        <v>67</v>
      </c>
      <c r="KJ9" s="101">
        <v>67</v>
      </c>
      <c r="KK9" s="101">
        <v>67</v>
      </c>
      <c r="KL9" s="101"/>
      <c r="KM9" s="101"/>
      <c r="KN9" s="101"/>
      <c r="KO9" s="101"/>
      <c r="KP9" s="101"/>
      <c r="KQ9" s="101"/>
      <c r="KR9" s="101">
        <v>52</v>
      </c>
      <c r="KS9" s="101">
        <v>52</v>
      </c>
      <c r="KT9" s="101">
        <v>52</v>
      </c>
      <c r="KU9" s="101"/>
      <c r="KV9" s="101">
        <v>52</v>
      </c>
      <c r="KW9" s="101">
        <v>52</v>
      </c>
      <c r="KX9" s="101">
        <v>51</v>
      </c>
      <c r="KY9" s="101">
        <v>50</v>
      </c>
      <c r="KZ9" s="101">
        <v>65</v>
      </c>
      <c r="LA9" s="101">
        <v>65</v>
      </c>
      <c r="LB9" s="101"/>
      <c r="LC9" s="101">
        <v>65</v>
      </c>
      <c r="LD9" s="101">
        <v>65</v>
      </c>
      <c r="LE9" s="101">
        <v>65</v>
      </c>
      <c r="LF9" s="101">
        <v>65</v>
      </c>
      <c r="LG9" s="101">
        <v>65</v>
      </c>
      <c r="LH9" s="101">
        <v>65</v>
      </c>
      <c r="LI9" s="101"/>
      <c r="LJ9" s="101">
        <v>65</v>
      </c>
      <c r="LK9" s="101">
        <v>65</v>
      </c>
      <c r="LL9" s="101">
        <v>80</v>
      </c>
      <c r="LM9" s="101">
        <v>80</v>
      </c>
      <c r="LN9" s="101">
        <v>80</v>
      </c>
      <c r="LO9" s="101">
        <v>80</v>
      </c>
      <c r="LP9" s="101"/>
      <c r="LQ9" s="101">
        <v>80</v>
      </c>
      <c r="LR9" s="101">
        <v>65</v>
      </c>
      <c r="LS9" s="101">
        <v>65</v>
      </c>
      <c r="LT9" s="101">
        <v>66</v>
      </c>
      <c r="LU9" s="101">
        <v>69</v>
      </c>
      <c r="LV9" s="101">
        <v>69</v>
      </c>
      <c r="LW9" s="101"/>
      <c r="LX9" s="101">
        <v>80</v>
      </c>
      <c r="LY9" s="101">
        <v>80</v>
      </c>
      <c r="LZ9" s="101">
        <v>80</v>
      </c>
      <c r="MA9" s="101">
        <v>79</v>
      </c>
      <c r="MB9" s="101">
        <v>61</v>
      </c>
      <c r="MC9" s="101">
        <v>46</v>
      </c>
      <c r="MD9" s="101"/>
      <c r="ME9" s="101">
        <v>46</v>
      </c>
      <c r="MF9" s="101">
        <v>46</v>
      </c>
      <c r="MG9" s="101">
        <v>43</v>
      </c>
      <c r="MH9" s="101">
        <v>41</v>
      </c>
      <c r="MI9" s="101">
        <v>52</v>
      </c>
      <c r="MJ9" s="101">
        <v>52</v>
      </c>
      <c r="MK9" s="101"/>
      <c r="ML9" s="101">
        <v>52</v>
      </c>
      <c r="MM9" s="101">
        <v>52</v>
      </c>
      <c r="MN9" s="101">
        <v>52</v>
      </c>
      <c r="MO9" s="101">
        <v>41</v>
      </c>
      <c r="MP9" s="101">
        <v>41</v>
      </c>
      <c r="MQ9" s="101">
        <v>41</v>
      </c>
      <c r="MR9" s="101"/>
      <c r="MS9" s="101">
        <v>41</v>
      </c>
      <c r="MT9" s="101">
        <v>42</v>
      </c>
      <c r="MU9" s="101">
        <v>55</v>
      </c>
      <c r="MV9" s="101">
        <v>55</v>
      </c>
      <c r="MW9" s="101">
        <v>55</v>
      </c>
      <c r="MX9" s="101">
        <v>55</v>
      </c>
      <c r="MY9" s="101"/>
      <c r="MZ9" s="101">
        <v>55</v>
      </c>
      <c r="NA9" s="101">
        <v>39</v>
      </c>
      <c r="NB9" s="101">
        <v>36</v>
      </c>
      <c r="NC9" s="101">
        <v>36</v>
      </c>
      <c r="ND9" s="101">
        <v>37</v>
      </c>
      <c r="NE9" s="101">
        <v>40</v>
      </c>
      <c r="NF9" s="101"/>
      <c r="NG9" s="101">
        <v>51</v>
      </c>
      <c r="NH9" s="101">
        <v>51</v>
      </c>
      <c r="NI9" s="101">
        <v>51</v>
      </c>
      <c r="NJ9" s="101">
        <v>51</v>
      </c>
      <c r="NK9" s="101">
        <v>50</v>
      </c>
      <c r="NL9" s="101">
        <v>37</v>
      </c>
      <c r="NM9" s="101"/>
      <c r="NN9" s="101">
        <v>35</v>
      </c>
      <c r="NO9" s="101">
        <v>35</v>
      </c>
      <c r="NP9" s="101">
        <v>35</v>
      </c>
      <c r="NQ9" s="101">
        <v>35</v>
      </c>
      <c r="NR9" s="101">
        <v>46</v>
      </c>
      <c r="NS9" s="101">
        <v>46</v>
      </c>
      <c r="NT9" s="101"/>
      <c r="NU9" s="101">
        <v>46</v>
      </c>
      <c r="NV9" s="101">
        <v>46</v>
      </c>
      <c r="NW9" s="101">
        <v>46</v>
      </c>
      <c r="NX9" s="101">
        <v>36</v>
      </c>
      <c r="NY9" s="101">
        <v>34</v>
      </c>
      <c r="NZ9" s="101">
        <v>34</v>
      </c>
      <c r="OA9" s="101"/>
      <c r="OB9" s="101">
        <v>34</v>
      </c>
      <c r="OC9" s="101">
        <v>34</v>
      </c>
      <c r="OD9" s="101">
        <v>46</v>
      </c>
      <c r="OE9" s="101">
        <v>46</v>
      </c>
      <c r="OF9" s="101">
        <v>46</v>
      </c>
      <c r="OG9" s="101">
        <v>49</v>
      </c>
      <c r="OH9" s="101"/>
      <c r="OI9" s="101">
        <v>51</v>
      </c>
      <c r="OJ9" s="101">
        <v>41</v>
      </c>
      <c r="OK9" s="101">
        <v>39</v>
      </c>
      <c r="OL9" s="101">
        <v>39</v>
      </c>
      <c r="OM9" s="101">
        <v>39</v>
      </c>
      <c r="ON9" s="101">
        <v>40</v>
      </c>
      <c r="OO9" s="101"/>
      <c r="OP9" s="101">
        <v>39</v>
      </c>
      <c r="OQ9" s="101">
        <v>39</v>
      </c>
      <c r="OR9" s="101">
        <v>36</v>
      </c>
      <c r="OS9" s="101">
        <v>35</v>
      </c>
      <c r="OT9" s="101">
        <v>51</v>
      </c>
      <c r="OU9" s="101">
        <v>45</v>
      </c>
      <c r="OV9" s="101"/>
      <c r="OW9" s="101">
        <v>41</v>
      </c>
      <c r="OX9" s="101">
        <v>41</v>
      </c>
      <c r="OY9" s="101">
        <v>41</v>
      </c>
      <c r="OZ9" s="101">
        <v>42</v>
      </c>
      <c r="PA9" s="101">
        <v>45</v>
      </c>
      <c r="PB9" s="101">
        <v>45</v>
      </c>
      <c r="PC9" s="101"/>
      <c r="PD9" s="101">
        <v>45</v>
      </c>
      <c r="PE9" s="101">
        <v>45</v>
      </c>
      <c r="PF9" s="101">
        <v>46</v>
      </c>
      <c r="PG9" s="101">
        <v>36</v>
      </c>
      <c r="PH9" s="101">
        <v>31</v>
      </c>
      <c r="PI9" s="101">
        <v>31</v>
      </c>
      <c r="PJ9" s="101"/>
      <c r="PK9" s="101">
        <v>31</v>
      </c>
      <c r="PL9" s="101">
        <v>17</v>
      </c>
      <c r="PM9" s="101">
        <v>20</v>
      </c>
      <c r="PN9" s="101">
        <v>20</v>
      </c>
      <c r="PO9" s="101">
        <v>20</v>
      </c>
      <c r="PP9" s="101">
        <v>20</v>
      </c>
      <c r="PQ9" s="101"/>
      <c r="PR9" s="101">
        <v>20</v>
      </c>
      <c r="PS9" s="101">
        <v>10</v>
      </c>
      <c r="PT9" s="101">
        <v>20</v>
      </c>
      <c r="PU9" s="101">
        <v>20</v>
      </c>
      <c r="PV9" s="101">
        <v>20</v>
      </c>
      <c r="PW9" s="101">
        <v>20</v>
      </c>
      <c r="PX9" s="101"/>
      <c r="PY9" s="101">
        <v>20</v>
      </c>
      <c r="PZ9" s="101">
        <v>20</v>
      </c>
      <c r="QA9" s="101">
        <v>20</v>
      </c>
      <c r="QB9" s="101">
        <v>20</v>
      </c>
      <c r="QC9" s="101">
        <v>20</v>
      </c>
      <c r="QD9" s="101">
        <v>20</v>
      </c>
      <c r="QE9" s="101"/>
      <c r="QF9" s="101">
        <v>19</v>
      </c>
      <c r="QG9" s="101">
        <v>19</v>
      </c>
      <c r="QH9" s="101">
        <v>19</v>
      </c>
      <c r="QI9" s="101">
        <v>19</v>
      </c>
      <c r="QJ9" s="101">
        <v>19</v>
      </c>
      <c r="QK9" s="101">
        <v>4</v>
      </c>
      <c r="QL9" s="101"/>
      <c r="QM9" s="101">
        <v>4</v>
      </c>
      <c r="QN9" s="101">
        <v>4</v>
      </c>
      <c r="QO9" s="101">
        <v>4</v>
      </c>
      <c r="QP9" s="101">
        <v>19</v>
      </c>
      <c r="QQ9" s="101">
        <v>22</v>
      </c>
      <c r="QR9" s="101">
        <v>25</v>
      </c>
      <c r="QS9" s="101"/>
      <c r="QT9" s="101">
        <v>25</v>
      </c>
      <c r="QU9" s="101">
        <v>25</v>
      </c>
      <c r="QV9" s="101">
        <v>40</v>
      </c>
      <c r="QW9" s="101">
        <v>40</v>
      </c>
      <c r="QX9" s="101">
        <v>40</v>
      </c>
      <c r="QY9" s="101">
        <v>36</v>
      </c>
      <c r="QZ9" s="101"/>
      <c r="RA9" s="101">
        <v>37</v>
      </c>
      <c r="RB9" s="101">
        <v>52</v>
      </c>
      <c r="RC9" s="101">
        <v>51</v>
      </c>
      <c r="RD9" s="101">
        <v>54</v>
      </c>
      <c r="RE9" s="101">
        <v>54</v>
      </c>
      <c r="RF9" s="101">
        <v>54</v>
      </c>
      <c r="RG9" s="101"/>
      <c r="RH9" s="101">
        <v>39</v>
      </c>
      <c r="RI9" s="101">
        <v>39</v>
      </c>
      <c r="RJ9" s="101">
        <v>39</v>
      </c>
      <c r="RK9" s="101">
        <v>35</v>
      </c>
      <c r="RL9" s="101">
        <v>35</v>
      </c>
      <c r="RM9" s="101">
        <v>35</v>
      </c>
      <c r="RN9" s="101"/>
      <c r="RO9" s="101">
        <v>36</v>
      </c>
      <c r="RP9" s="101">
        <v>39</v>
      </c>
      <c r="RQ9" s="101">
        <v>39</v>
      </c>
      <c r="RR9" s="101">
        <v>39</v>
      </c>
      <c r="RS9" s="101">
        <v>24</v>
      </c>
      <c r="RT9" s="101">
        <v>24</v>
      </c>
      <c r="RU9" s="101"/>
      <c r="RV9" s="101">
        <v>24</v>
      </c>
      <c r="RW9" s="101">
        <v>20</v>
      </c>
      <c r="RX9" s="101">
        <v>19</v>
      </c>
      <c r="RY9" s="101">
        <v>26</v>
      </c>
      <c r="RZ9" s="101">
        <v>26</v>
      </c>
      <c r="SA9" s="101">
        <v>26</v>
      </c>
      <c r="SB9" s="101"/>
      <c r="SC9" s="101">
        <v>26</v>
      </c>
      <c r="SD9" s="101">
        <v>26</v>
      </c>
      <c r="SE9" s="101">
        <v>21</v>
      </c>
      <c r="SF9" s="101">
        <v>21</v>
      </c>
      <c r="SG9" s="101">
        <v>50</v>
      </c>
      <c r="SH9" s="101">
        <v>50</v>
      </c>
      <c r="SI9" s="101"/>
      <c r="SJ9" s="101">
        <v>50</v>
      </c>
      <c r="SK9" s="101">
        <v>49</v>
      </c>
      <c r="SL9" s="101">
        <v>49</v>
      </c>
      <c r="SM9" s="101">
        <v>49</v>
      </c>
      <c r="SN9" s="101">
        <v>49</v>
      </c>
      <c r="SO9" s="101">
        <v>49</v>
      </c>
      <c r="SP9" s="101"/>
      <c r="SQ9" s="101">
        <v>49</v>
      </c>
      <c r="SR9" s="101">
        <v>49</v>
      </c>
      <c r="SS9" s="101">
        <v>59</v>
      </c>
      <c r="ST9" s="101">
        <v>59</v>
      </c>
      <c r="SU9" s="101">
        <v>59</v>
      </c>
      <c r="SV9" s="101">
        <v>45</v>
      </c>
      <c r="SW9" s="101"/>
      <c r="SX9" s="101">
        <v>45</v>
      </c>
      <c r="SY9" s="101">
        <v>35</v>
      </c>
      <c r="SZ9" s="101">
        <v>35</v>
      </c>
      <c r="TA9" s="101">
        <v>35</v>
      </c>
      <c r="TB9" s="101">
        <v>35</v>
      </c>
      <c r="TC9" s="101">
        <v>50</v>
      </c>
      <c r="TD9" s="101"/>
      <c r="TE9" s="101">
        <v>52</v>
      </c>
      <c r="TF9" s="101">
        <v>53</v>
      </c>
      <c r="TG9" s="101">
        <v>53</v>
      </c>
      <c r="TH9" s="101">
        <v>53</v>
      </c>
      <c r="TI9" s="101">
        <v>53</v>
      </c>
      <c r="TJ9" s="101">
        <v>43</v>
      </c>
      <c r="TK9" s="101"/>
      <c r="TL9" s="101">
        <v>43</v>
      </c>
      <c r="TM9" s="101">
        <v>43</v>
      </c>
      <c r="TN9" s="101">
        <v>43</v>
      </c>
      <c r="TO9" s="101">
        <v>56</v>
      </c>
      <c r="TP9" s="101">
        <v>56</v>
      </c>
      <c r="TQ9" s="101">
        <v>56</v>
      </c>
      <c r="TR9" s="101"/>
      <c r="TS9" s="101">
        <v>56</v>
      </c>
      <c r="TT9" s="101">
        <v>56</v>
      </c>
      <c r="TU9" s="101">
        <v>46</v>
      </c>
      <c r="TV9" s="101">
        <v>46</v>
      </c>
      <c r="TW9" s="101">
        <v>46</v>
      </c>
      <c r="TX9" s="101">
        <v>46</v>
      </c>
      <c r="TY9" s="101"/>
      <c r="TZ9" s="101">
        <v>46</v>
      </c>
      <c r="UA9" s="101">
        <v>56</v>
      </c>
      <c r="UB9" s="101">
        <v>56</v>
      </c>
      <c r="UC9" s="101">
        <v>55</v>
      </c>
      <c r="UD9" s="101">
        <v>55</v>
      </c>
      <c r="UE9" s="101">
        <v>55</v>
      </c>
      <c r="UF9" s="101"/>
      <c r="UG9" s="101">
        <v>45</v>
      </c>
      <c r="UH9" s="101">
        <v>45</v>
      </c>
      <c r="UI9" s="101">
        <v>45</v>
      </c>
      <c r="UJ9" s="101">
        <v>45</v>
      </c>
      <c r="UK9" s="101">
        <v>45</v>
      </c>
      <c r="UL9" s="101">
        <v>37</v>
      </c>
      <c r="UM9" s="101"/>
      <c r="UN9" s="101">
        <v>35</v>
      </c>
      <c r="UO9" s="101">
        <v>35</v>
      </c>
      <c r="UP9" s="101">
        <v>35</v>
      </c>
      <c r="UQ9" s="101">
        <v>29</v>
      </c>
      <c r="UR9" s="101">
        <v>19</v>
      </c>
      <c r="US9" s="101">
        <v>19</v>
      </c>
      <c r="UT9" s="101"/>
      <c r="UU9" s="101">
        <v>19</v>
      </c>
      <c r="UV9" s="101">
        <v>19</v>
      </c>
      <c r="UW9" s="101">
        <v>19</v>
      </c>
      <c r="UX9" s="101">
        <v>19</v>
      </c>
      <c r="UY9" s="101">
        <v>19</v>
      </c>
      <c r="UZ9" s="101">
        <v>19</v>
      </c>
      <c r="VA9" s="101"/>
      <c r="VB9" s="101">
        <v>19</v>
      </c>
      <c r="VC9" s="101">
        <v>19</v>
      </c>
      <c r="VD9" s="101">
        <v>19</v>
      </c>
      <c r="VE9" s="101">
        <v>19</v>
      </c>
      <c r="VF9" s="101">
        <v>19</v>
      </c>
      <c r="VG9" s="101">
        <v>19</v>
      </c>
      <c r="VH9" s="101"/>
      <c r="VI9" s="101">
        <v>19</v>
      </c>
      <c r="VJ9" s="101">
        <v>19</v>
      </c>
      <c r="VK9" s="101">
        <v>19</v>
      </c>
      <c r="VL9" s="101">
        <v>19</v>
      </c>
      <c r="VM9" s="101">
        <v>19</v>
      </c>
      <c r="VN9" s="101"/>
      <c r="VO9" s="101"/>
      <c r="VP9" s="101"/>
      <c r="VQ9" s="101"/>
      <c r="VR9" s="101"/>
      <c r="VS9" s="101">
        <v>19</v>
      </c>
      <c r="VT9" s="101">
        <v>19</v>
      </c>
      <c r="VU9" s="101">
        <v>19</v>
      </c>
      <c r="VV9" s="101"/>
      <c r="VW9" s="101">
        <v>19</v>
      </c>
      <c r="VX9" s="101">
        <v>19</v>
      </c>
      <c r="VY9" s="101">
        <v>19</v>
      </c>
      <c r="VZ9" s="101">
        <v>19</v>
      </c>
      <c r="WA9" s="101">
        <v>19</v>
      </c>
      <c r="WB9" s="101">
        <v>19</v>
      </c>
      <c r="WC9" s="101"/>
      <c r="WD9" s="101">
        <v>19</v>
      </c>
      <c r="WE9" s="101">
        <v>19</v>
      </c>
      <c r="WF9" s="101">
        <v>19</v>
      </c>
      <c r="WG9" s="101">
        <v>19</v>
      </c>
      <c r="WH9" s="101">
        <v>19</v>
      </c>
      <c r="WI9" s="101">
        <v>19</v>
      </c>
      <c r="WJ9" s="101"/>
      <c r="WK9" s="101">
        <v>19</v>
      </c>
      <c r="WL9" s="101">
        <v>19</v>
      </c>
      <c r="WM9" s="101"/>
      <c r="WN9" s="101"/>
      <c r="WO9" s="101"/>
      <c r="WP9" s="101"/>
      <c r="WQ9" s="101"/>
      <c r="WR9" s="101"/>
      <c r="WS9" s="101"/>
      <c r="WT9" s="101"/>
      <c r="WU9" s="101"/>
      <c r="WV9" s="101"/>
      <c r="WW9" s="101"/>
      <c r="WX9" s="101"/>
      <c r="WY9" s="101"/>
      <c r="WZ9" s="101"/>
      <c r="XA9" s="101"/>
      <c r="XB9" s="101"/>
      <c r="XC9" s="101"/>
      <c r="XD9" s="101"/>
      <c r="XE9" s="101"/>
      <c r="XF9" s="101"/>
      <c r="XG9" s="101"/>
      <c r="XH9" s="101"/>
      <c r="XI9" s="101"/>
      <c r="XJ9" s="101"/>
      <c r="XK9" s="101"/>
      <c r="XL9" s="101"/>
      <c r="XM9" s="101"/>
      <c r="XN9" s="101"/>
      <c r="XO9" s="101"/>
      <c r="XP9" s="101"/>
      <c r="XQ9" s="101"/>
      <c r="XR9" s="101"/>
      <c r="XS9" s="101"/>
      <c r="XT9" s="101"/>
      <c r="XU9" s="101"/>
      <c r="XV9" s="101"/>
      <c r="XW9" s="101"/>
      <c r="XX9" s="101"/>
      <c r="XY9" s="101"/>
      <c r="XZ9" s="101"/>
      <c r="YA9" s="101"/>
      <c r="YB9" s="101"/>
      <c r="YC9" s="101"/>
      <c r="YD9" s="101"/>
      <c r="YE9" s="101"/>
      <c r="YF9" s="101"/>
      <c r="YG9" s="101"/>
      <c r="YH9" s="101"/>
      <c r="YI9" s="101"/>
      <c r="YJ9" s="101"/>
      <c r="YK9" s="101"/>
      <c r="YL9" s="101"/>
      <c r="YM9" s="101"/>
      <c r="YN9" s="101"/>
      <c r="YO9" s="101"/>
      <c r="YP9" s="101"/>
      <c r="YQ9" s="101"/>
      <c r="YR9" s="101"/>
      <c r="YS9" s="101"/>
      <c r="YT9" s="101"/>
      <c r="YU9" s="101"/>
      <c r="YV9" s="101"/>
      <c r="YW9" s="101"/>
      <c r="YX9" s="101"/>
      <c r="YY9" s="101"/>
      <c r="YZ9" s="101"/>
      <c r="ZA9" s="101"/>
      <c r="ZB9" s="101"/>
      <c r="ZC9" s="101"/>
      <c r="ZD9" s="101"/>
      <c r="ZE9" s="101"/>
      <c r="ZF9" s="101"/>
      <c r="ZG9" s="101"/>
      <c r="ZH9" s="101"/>
    </row>
    <row r="10" spans="1:684">
      <c r="A10" s="75" t="s">
        <v>48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  <c r="BK10" s="101"/>
      <c r="BL10" s="101"/>
      <c r="BM10" s="101"/>
      <c r="BN10" s="101"/>
      <c r="BO10" s="101"/>
      <c r="BP10" s="101"/>
      <c r="BQ10" s="101"/>
      <c r="BR10" s="101"/>
      <c r="BS10" s="101"/>
      <c r="BT10" s="101"/>
      <c r="BU10" s="101"/>
      <c r="BV10" s="101"/>
      <c r="BW10" s="101"/>
      <c r="BX10" s="101"/>
      <c r="BY10" s="101"/>
      <c r="BZ10" s="101"/>
      <c r="CA10" s="101"/>
      <c r="CB10" s="101"/>
      <c r="CC10" s="101"/>
      <c r="CD10" s="101"/>
      <c r="CE10" s="101"/>
      <c r="CF10" s="101"/>
      <c r="CG10" s="101"/>
      <c r="CH10" s="101"/>
      <c r="CI10" s="101"/>
      <c r="CJ10" s="101"/>
      <c r="CK10" s="101"/>
      <c r="CL10" s="101"/>
      <c r="CM10" s="101"/>
      <c r="CN10" s="101"/>
      <c r="CO10" s="101"/>
      <c r="CP10" s="101"/>
      <c r="CQ10" s="101"/>
      <c r="CR10" s="101"/>
      <c r="CS10" s="101"/>
      <c r="CT10" s="101"/>
      <c r="CU10" s="101"/>
      <c r="CV10" s="101"/>
      <c r="CW10" s="101"/>
      <c r="CX10" s="101"/>
      <c r="CY10" s="101"/>
      <c r="CZ10" s="101"/>
      <c r="DA10" s="101"/>
      <c r="DB10" s="101"/>
      <c r="DC10" s="101"/>
      <c r="DD10" s="101"/>
      <c r="DE10" s="101"/>
      <c r="DF10" s="101"/>
      <c r="DG10" s="101"/>
      <c r="DH10" s="101"/>
      <c r="DI10" s="101"/>
      <c r="DJ10" s="101"/>
      <c r="DK10" s="101"/>
      <c r="DL10" s="101"/>
      <c r="DM10" s="101"/>
      <c r="DN10" s="101"/>
      <c r="DO10" s="101"/>
      <c r="DP10" s="101"/>
      <c r="DQ10" s="101"/>
      <c r="DR10" s="101"/>
      <c r="DS10" s="101"/>
      <c r="DT10" s="101"/>
      <c r="DU10" s="101"/>
      <c r="DV10" s="101"/>
      <c r="DW10" s="101"/>
      <c r="DX10" s="101"/>
      <c r="DY10" s="101"/>
      <c r="DZ10" s="101"/>
      <c r="EA10" s="101"/>
      <c r="EB10" s="101"/>
      <c r="EC10" s="101"/>
      <c r="ED10" s="101"/>
      <c r="EE10" s="101"/>
      <c r="EF10" s="101"/>
      <c r="EG10" s="101"/>
      <c r="EH10" s="101"/>
      <c r="EI10" s="101"/>
      <c r="EJ10" s="101"/>
      <c r="EK10" s="101"/>
      <c r="EL10" s="101"/>
      <c r="EM10" s="101"/>
      <c r="EN10" s="101"/>
      <c r="EO10" s="101"/>
      <c r="EP10" s="101"/>
      <c r="EQ10" s="101"/>
      <c r="ER10" s="101"/>
      <c r="ES10" s="101"/>
      <c r="ET10" s="101"/>
      <c r="EU10" s="101"/>
      <c r="EV10" s="101"/>
      <c r="EW10" s="101"/>
      <c r="EX10" s="101"/>
      <c r="EY10" s="101"/>
      <c r="EZ10" s="101"/>
      <c r="FA10" s="101"/>
      <c r="FB10" s="101"/>
      <c r="FC10" s="101"/>
      <c r="FD10" s="101"/>
      <c r="FE10" s="101"/>
      <c r="FF10" s="101"/>
      <c r="FG10" s="101"/>
      <c r="FH10" s="101"/>
      <c r="FI10" s="101"/>
      <c r="FJ10" s="101"/>
      <c r="FK10" s="101"/>
      <c r="FL10" s="101"/>
      <c r="FM10" s="101"/>
      <c r="FN10" s="101"/>
      <c r="FO10" s="101"/>
      <c r="FP10" s="101"/>
      <c r="FQ10" s="101"/>
      <c r="FR10" s="101"/>
      <c r="FS10" s="101"/>
      <c r="FT10" s="101"/>
      <c r="FU10" s="101"/>
      <c r="FV10" s="101"/>
      <c r="FW10" s="101"/>
      <c r="FX10" s="101"/>
      <c r="FY10" s="101"/>
      <c r="FZ10" s="101"/>
      <c r="GA10" s="101"/>
      <c r="GB10" s="101"/>
      <c r="GC10" s="101"/>
      <c r="GD10" s="101"/>
      <c r="GE10" s="101"/>
      <c r="GF10" s="101"/>
      <c r="GG10" s="101"/>
      <c r="GH10" s="101"/>
      <c r="GI10" s="101"/>
      <c r="GJ10" s="101"/>
      <c r="GK10" s="101"/>
      <c r="GL10" s="101"/>
      <c r="GM10" s="101"/>
      <c r="GN10" s="101"/>
      <c r="GO10" s="101"/>
      <c r="GP10" s="101"/>
      <c r="GQ10" s="101"/>
      <c r="GR10" s="101"/>
      <c r="GS10" s="101"/>
      <c r="GT10" s="101"/>
      <c r="GU10" s="101"/>
      <c r="GV10" s="101"/>
      <c r="GW10" s="101"/>
      <c r="GX10" s="101"/>
      <c r="GY10" s="101"/>
      <c r="GZ10" s="101"/>
      <c r="HA10" s="101"/>
      <c r="HB10" s="101"/>
      <c r="HC10" s="101"/>
      <c r="HD10" s="101"/>
      <c r="HE10" s="101"/>
      <c r="HF10" s="101"/>
      <c r="HG10" s="101"/>
      <c r="HH10" s="101"/>
      <c r="HI10" s="101"/>
      <c r="HJ10" s="101"/>
      <c r="HK10" s="101"/>
      <c r="HL10" s="101"/>
      <c r="HM10" s="101"/>
      <c r="HN10" s="101"/>
      <c r="HO10" s="101"/>
      <c r="HP10" s="101"/>
      <c r="HQ10" s="101"/>
      <c r="HR10" s="101"/>
      <c r="HS10" s="101"/>
      <c r="HT10" s="101"/>
      <c r="HU10" s="101"/>
      <c r="HV10" s="101"/>
      <c r="HW10" s="101"/>
      <c r="HX10" s="101"/>
      <c r="HY10" s="101"/>
      <c r="HZ10" s="101"/>
      <c r="IA10" s="101"/>
      <c r="IB10" s="101"/>
      <c r="IC10" s="101"/>
      <c r="ID10" s="101"/>
      <c r="IE10" s="101"/>
      <c r="IF10" s="101"/>
      <c r="IG10" s="101"/>
      <c r="IH10" s="101"/>
      <c r="II10" s="101"/>
      <c r="IJ10" s="101"/>
      <c r="IK10" s="101"/>
      <c r="IL10" s="101"/>
      <c r="IM10" s="101"/>
      <c r="IN10" s="101"/>
      <c r="IO10" s="101"/>
      <c r="IP10" s="101"/>
      <c r="IQ10" s="101"/>
      <c r="IR10" s="101"/>
      <c r="IS10" s="101"/>
      <c r="IT10" s="101"/>
      <c r="IU10" s="101"/>
      <c r="IV10" s="101"/>
      <c r="IW10" s="101"/>
      <c r="IX10" s="101"/>
      <c r="IY10" s="101"/>
      <c r="IZ10" s="101"/>
      <c r="JA10" s="101"/>
      <c r="JB10" s="101"/>
      <c r="JC10" s="101"/>
      <c r="JD10" s="101"/>
      <c r="JE10" s="101"/>
      <c r="JF10" s="101"/>
      <c r="JG10" s="101"/>
      <c r="JH10" s="101"/>
      <c r="JI10" s="101"/>
      <c r="JJ10" s="101"/>
      <c r="JK10" s="101"/>
      <c r="JL10" s="101"/>
      <c r="JM10" s="101"/>
      <c r="JN10" s="101"/>
      <c r="JO10" s="101"/>
      <c r="JP10" s="101"/>
      <c r="JQ10" s="101"/>
      <c r="JR10" s="101"/>
      <c r="JS10" s="101"/>
      <c r="JT10" s="101"/>
      <c r="JU10" s="101"/>
      <c r="JV10" s="101"/>
      <c r="JW10" s="101"/>
      <c r="JX10" s="101"/>
      <c r="JY10" s="101">
        <v>2</v>
      </c>
      <c r="JZ10" s="101"/>
      <c r="KA10" s="101">
        <v>8</v>
      </c>
      <c r="KB10" s="101">
        <v>8</v>
      </c>
      <c r="KC10" s="101">
        <v>8</v>
      </c>
      <c r="KD10" s="101">
        <v>8</v>
      </c>
      <c r="KE10" s="101">
        <v>8</v>
      </c>
      <c r="KF10" s="101">
        <v>10</v>
      </c>
      <c r="KG10" s="101"/>
      <c r="KH10" s="101">
        <v>10</v>
      </c>
      <c r="KI10" s="101">
        <v>10</v>
      </c>
      <c r="KJ10" s="101">
        <v>10</v>
      </c>
      <c r="KK10" s="101">
        <v>8</v>
      </c>
      <c r="KL10" s="101"/>
      <c r="KM10" s="101"/>
      <c r="KN10" s="101"/>
      <c r="KO10" s="101"/>
      <c r="KP10" s="101"/>
      <c r="KQ10" s="101"/>
      <c r="KR10" s="101">
        <v>2</v>
      </c>
      <c r="KS10" s="101">
        <v>2</v>
      </c>
      <c r="KT10" s="101">
        <v>2</v>
      </c>
      <c r="KU10" s="101"/>
      <c r="KV10" s="101">
        <v>2</v>
      </c>
      <c r="KW10" s="101">
        <v>3</v>
      </c>
      <c r="KX10" s="101">
        <v>13</v>
      </c>
      <c r="KY10" s="101">
        <v>15</v>
      </c>
      <c r="KZ10" s="101">
        <v>15</v>
      </c>
      <c r="LA10" s="101">
        <v>15</v>
      </c>
      <c r="LB10" s="101"/>
      <c r="LC10" s="101">
        <v>15</v>
      </c>
      <c r="LD10" s="101">
        <v>15</v>
      </c>
      <c r="LE10" s="101">
        <v>16</v>
      </c>
      <c r="LF10" s="101">
        <v>23</v>
      </c>
      <c r="LG10" s="101">
        <v>23</v>
      </c>
      <c r="LH10" s="101">
        <v>21</v>
      </c>
      <c r="LI10" s="101"/>
      <c r="LJ10" s="101">
        <v>17</v>
      </c>
      <c r="LK10" s="101">
        <v>17</v>
      </c>
      <c r="LL10" s="101">
        <v>19</v>
      </c>
      <c r="LM10" s="101">
        <v>19</v>
      </c>
      <c r="LN10" s="101">
        <v>19</v>
      </c>
      <c r="LO10" s="101">
        <v>20</v>
      </c>
      <c r="LP10" s="101"/>
      <c r="LQ10" s="101">
        <v>27</v>
      </c>
      <c r="LR10" s="101">
        <v>29</v>
      </c>
      <c r="LS10" s="101">
        <v>29</v>
      </c>
      <c r="LT10" s="101">
        <v>28</v>
      </c>
      <c r="LU10" s="101">
        <v>33</v>
      </c>
      <c r="LV10" s="101">
        <v>40</v>
      </c>
      <c r="LW10" s="101"/>
      <c r="LX10" s="101">
        <v>50</v>
      </c>
      <c r="LY10" s="101">
        <v>50</v>
      </c>
      <c r="LZ10" s="101">
        <v>50</v>
      </c>
      <c r="MA10" s="101">
        <v>49</v>
      </c>
      <c r="MB10" s="101">
        <v>44</v>
      </c>
      <c r="MC10" s="101">
        <v>44</v>
      </c>
      <c r="MD10" s="101"/>
      <c r="ME10" s="101">
        <v>44</v>
      </c>
      <c r="MF10" s="101">
        <v>44</v>
      </c>
      <c r="MG10" s="101">
        <v>48</v>
      </c>
      <c r="MH10" s="101">
        <v>50</v>
      </c>
      <c r="MI10" s="101">
        <v>60</v>
      </c>
      <c r="MJ10" s="101">
        <v>62</v>
      </c>
      <c r="MK10" s="101">
        <v>15</v>
      </c>
      <c r="ML10" s="101">
        <v>62</v>
      </c>
      <c r="MM10" s="101">
        <v>62</v>
      </c>
      <c r="MN10" s="101">
        <v>70</v>
      </c>
      <c r="MO10" s="101">
        <v>72</v>
      </c>
      <c r="MP10" s="101">
        <v>63</v>
      </c>
      <c r="MQ10" s="101">
        <v>61</v>
      </c>
      <c r="MR10" s="101">
        <v>15</v>
      </c>
      <c r="MS10" s="101">
        <v>61</v>
      </c>
      <c r="MT10" s="101">
        <v>59</v>
      </c>
      <c r="MU10" s="101">
        <v>72</v>
      </c>
      <c r="MV10" s="101">
        <v>73</v>
      </c>
      <c r="MW10" s="101">
        <v>69</v>
      </c>
      <c r="MX10" s="101">
        <v>68</v>
      </c>
      <c r="MY10" s="101">
        <v>12</v>
      </c>
      <c r="MZ10" s="101">
        <v>66</v>
      </c>
      <c r="NA10" s="101">
        <v>57</v>
      </c>
      <c r="NB10" s="101">
        <v>58</v>
      </c>
      <c r="NC10" s="101">
        <v>58</v>
      </c>
      <c r="ND10" s="101">
        <v>58</v>
      </c>
      <c r="NE10" s="101">
        <v>58</v>
      </c>
      <c r="NF10" s="101">
        <v>10</v>
      </c>
      <c r="NG10" s="101">
        <v>64</v>
      </c>
      <c r="NH10" s="101">
        <v>62</v>
      </c>
      <c r="NI10" s="101">
        <v>62</v>
      </c>
      <c r="NJ10" s="101">
        <v>63</v>
      </c>
      <c r="NK10" s="101">
        <v>65</v>
      </c>
      <c r="NL10" s="101">
        <v>59</v>
      </c>
      <c r="NM10" s="101">
        <v>2</v>
      </c>
      <c r="NN10" s="101">
        <v>49</v>
      </c>
      <c r="NO10" s="101">
        <v>48</v>
      </c>
      <c r="NP10" s="101">
        <v>44</v>
      </c>
      <c r="NQ10" s="101">
        <v>46</v>
      </c>
      <c r="NR10" s="101">
        <v>52</v>
      </c>
      <c r="NS10" s="101">
        <v>52</v>
      </c>
      <c r="NT10" s="101"/>
      <c r="NU10" s="101">
        <v>52</v>
      </c>
      <c r="NV10" s="101">
        <v>53</v>
      </c>
      <c r="NW10" s="101">
        <v>55</v>
      </c>
      <c r="NX10" s="101">
        <v>47</v>
      </c>
      <c r="NY10" s="101">
        <v>47</v>
      </c>
      <c r="NZ10" s="101">
        <v>46</v>
      </c>
      <c r="OA10" s="101"/>
      <c r="OB10" s="101">
        <v>42</v>
      </c>
      <c r="OC10" s="101">
        <v>42</v>
      </c>
      <c r="OD10" s="101">
        <v>40</v>
      </c>
      <c r="OE10" s="101">
        <v>40</v>
      </c>
      <c r="OF10" s="101">
        <v>37</v>
      </c>
      <c r="OG10" s="101">
        <v>37</v>
      </c>
      <c r="OH10" s="101"/>
      <c r="OI10" s="101">
        <v>41</v>
      </c>
      <c r="OJ10" s="101">
        <v>41</v>
      </c>
      <c r="OK10" s="101">
        <v>41</v>
      </c>
      <c r="OL10" s="101">
        <v>40</v>
      </c>
      <c r="OM10" s="101">
        <v>36</v>
      </c>
      <c r="ON10" s="101">
        <v>35</v>
      </c>
      <c r="OO10" s="101"/>
      <c r="OP10" s="101">
        <v>24</v>
      </c>
      <c r="OQ10" s="101">
        <v>22</v>
      </c>
      <c r="OR10" s="101">
        <v>30</v>
      </c>
      <c r="OS10" s="101">
        <v>32</v>
      </c>
      <c r="OT10" s="101">
        <v>36</v>
      </c>
      <c r="OU10" s="101">
        <v>50</v>
      </c>
      <c r="OV10" s="101">
        <v>10</v>
      </c>
      <c r="OW10" s="101">
        <v>50</v>
      </c>
      <c r="OX10" s="101">
        <v>50</v>
      </c>
      <c r="OY10" s="101">
        <v>50</v>
      </c>
      <c r="OZ10" s="101">
        <v>46</v>
      </c>
      <c r="PA10" s="101">
        <v>30</v>
      </c>
      <c r="PB10" s="101">
        <v>30</v>
      </c>
      <c r="PC10" s="101">
        <v>12</v>
      </c>
      <c r="PD10" s="101">
        <v>32</v>
      </c>
      <c r="PE10" s="101">
        <v>32</v>
      </c>
      <c r="PF10" s="101">
        <v>38</v>
      </c>
      <c r="PG10" s="101">
        <v>54</v>
      </c>
      <c r="PH10" s="101">
        <v>64</v>
      </c>
      <c r="PI10" s="101">
        <v>64</v>
      </c>
      <c r="PJ10" s="101">
        <v>14</v>
      </c>
      <c r="PK10" s="101">
        <v>64</v>
      </c>
      <c r="PL10" s="101">
        <v>52</v>
      </c>
      <c r="PM10" s="101">
        <v>40</v>
      </c>
      <c r="PN10" s="101">
        <v>45</v>
      </c>
      <c r="PO10" s="101">
        <v>45</v>
      </c>
      <c r="PP10" s="101">
        <v>44</v>
      </c>
      <c r="PQ10" s="101">
        <v>1</v>
      </c>
      <c r="PR10" s="101">
        <v>46</v>
      </c>
      <c r="PS10" s="101">
        <v>54</v>
      </c>
      <c r="PT10" s="101">
        <v>54</v>
      </c>
      <c r="PU10" s="101">
        <v>54</v>
      </c>
      <c r="PV10" s="101">
        <v>54</v>
      </c>
      <c r="PW10" s="101">
        <v>53</v>
      </c>
      <c r="PX10" s="101">
        <v>2</v>
      </c>
      <c r="PY10" s="101">
        <v>45</v>
      </c>
      <c r="PZ10" s="101">
        <v>34</v>
      </c>
      <c r="QA10" s="101">
        <v>34</v>
      </c>
      <c r="QB10" s="101">
        <v>34</v>
      </c>
      <c r="QC10" s="101">
        <v>33</v>
      </c>
      <c r="QD10" s="101">
        <v>29</v>
      </c>
      <c r="QE10" s="101">
        <v>2</v>
      </c>
      <c r="QF10" s="101">
        <v>29</v>
      </c>
      <c r="QG10" s="101">
        <v>29</v>
      </c>
      <c r="QH10" s="101">
        <v>29</v>
      </c>
      <c r="QI10" s="101">
        <v>29</v>
      </c>
      <c r="QJ10" s="101">
        <v>29</v>
      </c>
      <c r="QK10" s="101">
        <v>29</v>
      </c>
      <c r="QL10" s="101">
        <v>2</v>
      </c>
      <c r="QM10" s="101">
        <v>29</v>
      </c>
      <c r="QN10" s="101">
        <v>25</v>
      </c>
      <c r="QO10" s="101">
        <v>24</v>
      </c>
      <c r="QP10" s="101">
        <v>18</v>
      </c>
      <c r="QQ10" s="101">
        <v>16</v>
      </c>
      <c r="QR10" s="101">
        <v>24</v>
      </c>
      <c r="QS10" s="101"/>
      <c r="QT10" s="101">
        <v>24</v>
      </c>
      <c r="QU10" s="101">
        <v>24</v>
      </c>
      <c r="QV10" s="101">
        <v>24</v>
      </c>
      <c r="QW10" s="101">
        <v>30</v>
      </c>
      <c r="QX10" s="101">
        <v>30</v>
      </c>
      <c r="QY10" s="101">
        <v>30</v>
      </c>
      <c r="QZ10" s="101"/>
      <c r="RA10" s="101">
        <v>29</v>
      </c>
      <c r="RB10" s="101">
        <v>29</v>
      </c>
      <c r="RC10" s="101">
        <v>28</v>
      </c>
      <c r="RD10" s="101">
        <v>36</v>
      </c>
      <c r="RE10" s="101">
        <v>36</v>
      </c>
      <c r="RF10" s="101">
        <v>36</v>
      </c>
      <c r="RG10" s="101">
        <v>6</v>
      </c>
      <c r="RH10" s="101">
        <v>36</v>
      </c>
      <c r="RI10" s="101">
        <v>35</v>
      </c>
      <c r="RJ10" s="101">
        <v>19</v>
      </c>
      <c r="RK10" s="101">
        <v>19</v>
      </c>
      <c r="RL10" s="101">
        <v>19</v>
      </c>
      <c r="RM10" s="101">
        <v>19</v>
      </c>
      <c r="RN10" s="101"/>
      <c r="RO10" s="101">
        <v>20</v>
      </c>
      <c r="RP10" s="101">
        <v>18</v>
      </c>
      <c r="RQ10" s="101">
        <v>28</v>
      </c>
      <c r="RR10" s="101">
        <v>28</v>
      </c>
      <c r="RS10" s="101">
        <v>28</v>
      </c>
      <c r="RT10" s="101">
        <v>20</v>
      </c>
      <c r="RU10" s="101"/>
      <c r="RV10" s="101">
        <v>10</v>
      </c>
      <c r="RW10" s="101">
        <v>10</v>
      </c>
      <c r="RX10" s="101">
        <v>10</v>
      </c>
      <c r="RY10" s="101">
        <v>10</v>
      </c>
      <c r="RZ10" s="101">
        <v>10</v>
      </c>
      <c r="SA10" s="101">
        <v>12</v>
      </c>
      <c r="SB10" s="101">
        <v>2</v>
      </c>
      <c r="SC10" s="101">
        <v>12</v>
      </c>
      <c r="SD10" s="101">
        <v>12</v>
      </c>
      <c r="SE10" s="101">
        <v>12</v>
      </c>
      <c r="SF10" s="101">
        <v>10</v>
      </c>
      <c r="SG10" s="101">
        <v>10</v>
      </c>
      <c r="SH10" s="101"/>
      <c r="SI10" s="101"/>
      <c r="SJ10" s="101"/>
      <c r="SK10" s="101"/>
      <c r="SL10" s="101"/>
      <c r="SM10" s="101">
        <v>2</v>
      </c>
      <c r="SN10" s="101">
        <v>2</v>
      </c>
      <c r="SO10" s="101">
        <v>2</v>
      </c>
      <c r="SP10" s="101">
        <v>2</v>
      </c>
      <c r="SQ10" s="101">
        <v>2</v>
      </c>
      <c r="SR10" s="101"/>
      <c r="SS10" s="101"/>
      <c r="ST10" s="101"/>
      <c r="SU10" s="101"/>
      <c r="SV10" s="101"/>
      <c r="SW10" s="101"/>
      <c r="SX10" s="101"/>
      <c r="SY10" s="101"/>
      <c r="SZ10" s="101"/>
      <c r="TA10" s="101"/>
      <c r="TB10" s="101"/>
      <c r="TC10" s="101"/>
      <c r="TD10" s="101"/>
      <c r="TE10" s="101"/>
      <c r="TF10" s="101"/>
      <c r="TG10" s="101"/>
      <c r="TH10" s="101"/>
      <c r="TI10" s="101"/>
      <c r="TJ10" s="101"/>
      <c r="TK10" s="101"/>
      <c r="TL10" s="101"/>
      <c r="TM10" s="101"/>
      <c r="TN10" s="101"/>
      <c r="TO10" s="101"/>
      <c r="TP10" s="101"/>
      <c r="TQ10" s="101"/>
      <c r="TR10" s="101"/>
      <c r="TS10" s="101"/>
      <c r="TT10" s="101"/>
      <c r="TU10" s="101"/>
      <c r="TV10" s="101"/>
      <c r="TW10" s="101"/>
      <c r="TX10" s="101"/>
      <c r="TY10" s="101"/>
      <c r="TZ10" s="101"/>
      <c r="UA10" s="101"/>
      <c r="UB10" s="101"/>
      <c r="UC10" s="101"/>
      <c r="UD10" s="101"/>
      <c r="UE10" s="101"/>
      <c r="UF10" s="101"/>
      <c r="UG10" s="101"/>
      <c r="UH10" s="101"/>
      <c r="UI10" s="101"/>
      <c r="UJ10" s="101"/>
      <c r="UK10" s="101">
        <v>5</v>
      </c>
      <c r="UL10" s="101">
        <v>5</v>
      </c>
      <c r="UM10" s="101"/>
      <c r="UN10" s="101">
        <v>5</v>
      </c>
      <c r="UO10" s="101">
        <v>5</v>
      </c>
      <c r="UP10" s="101">
        <v>5</v>
      </c>
      <c r="UQ10" s="101">
        <v>5</v>
      </c>
      <c r="UR10" s="101">
        <v>5</v>
      </c>
      <c r="US10" s="101">
        <v>5</v>
      </c>
      <c r="UT10" s="101"/>
      <c r="UU10" s="101">
        <v>5</v>
      </c>
      <c r="UV10" s="101">
        <v>5</v>
      </c>
      <c r="UW10" s="101">
        <v>5</v>
      </c>
      <c r="UX10" s="101">
        <v>5</v>
      </c>
      <c r="UY10" s="101">
        <v>5</v>
      </c>
      <c r="UZ10" s="101">
        <v>5</v>
      </c>
      <c r="VA10" s="101"/>
      <c r="VB10" s="101">
        <v>5</v>
      </c>
      <c r="VC10" s="101">
        <v>5</v>
      </c>
      <c r="VD10" s="101"/>
      <c r="VE10" s="101"/>
      <c r="VF10" s="101"/>
      <c r="VG10" s="101"/>
      <c r="VH10" s="101"/>
      <c r="VI10" s="101"/>
      <c r="VJ10" s="101"/>
      <c r="VK10" s="101"/>
      <c r="VL10" s="101"/>
      <c r="VM10" s="101"/>
      <c r="VN10" s="101"/>
      <c r="VO10" s="101"/>
      <c r="VP10" s="101"/>
      <c r="VQ10" s="101"/>
      <c r="VR10" s="101"/>
      <c r="VS10" s="101"/>
      <c r="VT10" s="101"/>
      <c r="VU10" s="101"/>
      <c r="VV10" s="101"/>
      <c r="VW10" s="101"/>
      <c r="VX10" s="101"/>
      <c r="VY10" s="101"/>
      <c r="VZ10" s="101"/>
      <c r="WA10" s="101"/>
      <c r="WB10" s="101"/>
      <c r="WC10" s="101"/>
      <c r="WD10" s="101"/>
      <c r="WE10" s="101"/>
      <c r="WF10" s="101"/>
      <c r="WG10" s="101">
        <v>5</v>
      </c>
      <c r="WH10" s="101">
        <v>5</v>
      </c>
      <c r="WI10" s="101">
        <v>5</v>
      </c>
      <c r="WJ10" s="101"/>
      <c r="WK10" s="101">
        <v>5</v>
      </c>
      <c r="WL10" s="101">
        <v>5</v>
      </c>
      <c r="WM10" s="101">
        <v>5</v>
      </c>
      <c r="WN10" s="101">
        <v>5</v>
      </c>
      <c r="WO10" s="101">
        <v>5</v>
      </c>
      <c r="WP10" s="101">
        <v>5</v>
      </c>
      <c r="WQ10" s="101"/>
      <c r="WR10" s="101">
        <v>5</v>
      </c>
      <c r="WS10" s="101">
        <v>5</v>
      </c>
      <c r="WT10" s="101">
        <v>5</v>
      </c>
      <c r="WU10" s="101">
        <v>5</v>
      </c>
      <c r="WV10" s="101">
        <v>5</v>
      </c>
      <c r="WW10" s="101">
        <v>5</v>
      </c>
      <c r="WX10" s="101"/>
      <c r="WY10" s="101">
        <v>5</v>
      </c>
      <c r="WZ10" s="101">
        <v>5</v>
      </c>
      <c r="XA10" s="101">
        <v>5</v>
      </c>
      <c r="XB10" s="101">
        <v>5</v>
      </c>
      <c r="XC10" s="101">
        <v>5</v>
      </c>
      <c r="XD10" s="101"/>
      <c r="XE10" s="101"/>
      <c r="XF10" s="101"/>
      <c r="XG10" s="101"/>
      <c r="XH10" s="101"/>
      <c r="XI10" s="101"/>
      <c r="XJ10" s="101"/>
      <c r="XK10" s="101"/>
      <c r="XL10" s="101"/>
      <c r="XM10" s="101"/>
      <c r="XN10" s="101"/>
      <c r="XO10" s="101"/>
      <c r="XP10" s="101"/>
      <c r="XQ10" s="101"/>
      <c r="XR10" s="101"/>
      <c r="XS10" s="101"/>
      <c r="XT10" s="101"/>
      <c r="XU10" s="101"/>
      <c r="XV10" s="101"/>
      <c r="XW10" s="101"/>
      <c r="XX10" s="101"/>
      <c r="XY10" s="101"/>
      <c r="XZ10" s="101"/>
      <c r="YA10" s="101"/>
      <c r="YB10" s="101"/>
      <c r="YC10" s="101"/>
      <c r="YD10" s="101"/>
      <c r="YE10" s="101"/>
      <c r="YF10" s="101"/>
      <c r="YG10" s="101"/>
      <c r="YH10" s="101"/>
      <c r="YI10" s="101"/>
      <c r="YJ10" s="101"/>
      <c r="YK10" s="101"/>
      <c r="YL10" s="101"/>
      <c r="YM10" s="101"/>
      <c r="YN10" s="101"/>
      <c r="YO10" s="101"/>
      <c r="YP10" s="101"/>
      <c r="YQ10" s="101"/>
      <c r="YR10" s="101"/>
      <c r="YS10" s="101"/>
      <c r="YT10" s="101"/>
      <c r="YU10" s="101"/>
      <c r="YV10" s="101"/>
      <c r="YW10" s="101"/>
      <c r="YX10" s="101"/>
      <c r="YY10" s="101"/>
      <c r="YZ10" s="101"/>
      <c r="ZA10" s="101"/>
      <c r="ZB10" s="101"/>
      <c r="ZC10" s="101"/>
      <c r="ZD10" s="101"/>
      <c r="ZE10" s="101"/>
      <c r="ZF10" s="101"/>
      <c r="ZG10" s="101"/>
      <c r="ZH10" s="101"/>
    </row>
    <row r="11" spans="1:684">
      <c r="A11" s="75" t="s">
        <v>49</v>
      </c>
      <c r="B11" s="101">
        <v>5</v>
      </c>
      <c r="C11" s="101">
        <v>10</v>
      </c>
      <c r="D11" s="101">
        <v>10</v>
      </c>
      <c r="E11" s="101">
        <v>10</v>
      </c>
      <c r="F11" s="101"/>
      <c r="G11" s="101">
        <v>10</v>
      </c>
      <c r="H11" s="101">
        <v>10</v>
      </c>
      <c r="I11" s="101">
        <v>14</v>
      </c>
      <c r="J11" s="101">
        <v>14</v>
      </c>
      <c r="K11" s="101">
        <v>14</v>
      </c>
      <c r="L11" s="101">
        <v>14</v>
      </c>
      <c r="M11" s="101"/>
      <c r="N11" s="101">
        <v>14</v>
      </c>
      <c r="O11" s="101">
        <v>14</v>
      </c>
      <c r="P11" s="101">
        <v>14</v>
      </c>
      <c r="Q11" s="101">
        <v>14</v>
      </c>
      <c r="R11" s="101">
        <v>14</v>
      </c>
      <c r="S11" s="101"/>
      <c r="T11" s="101"/>
      <c r="U11" s="101">
        <v>14</v>
      </c>
      <c r="V11" s="101">
        <v>18</v>
      </c>
      <c r="W11" s="101">
        <v>18</v>
      </c>
      <c r="X11" s="101">
        <v>18</v>
      </c>
      <c r="Y11" s="101">
        <v>18</v>
      </c>
      <c r="Z11" s="101">
        <v>18</v>
      </c>
      <c r="AA11" s="101"/>
      <c r="AB11" s="101">
        <v>19</v>
      </c>
      <c r="AC11" s="101">
        <v>19</v>
      </c>
      <c r="AD11" s="101">
        <v>14</v>
      </c>
      <c r="AE11" s="101">
        <v>14</v>
      </c>
      <c r="AF11" s="101">
        <v>14</v>
      </c>
      <c r="AG11" s="101">
        <v>14</v>
      </c>
      <c r="AH11" s="101"/>
      <c r="AI11" s="101">
        <v>14</v>
      </c>
      <c r="AJ11" s="101">
        <v>14</v>
      </c>
      <c r="AK11" s="101">
        <v>14</v>
      </c>
      <c r="AL11" s="101">
        <v>14</v>
      </c>
      <c r="AM11" s="101">
        <v>15</v>
      </c>
      <c r="AN11" s="101">
        <v>15</v>
      </c>
      <c r="AO11" s="101"/>
      <c r="AP11" s="101">
        <v>10</v>
      </c>
      <c r="AQ11" s="101">
        <v>10</v>
      </c>
      <c r="AR11" s="101">
        <v>10</v>
      </c>
      <c r="AS11" s="101">
        <v>10</v>
      </c>
      <c r="AT11" s="101">
        <v>10</v>
      </c>
      <c r="AU11" s="101">
        <v>10</v>
      </c>
      <c r="AV11" s="101"/>
      <c r="AW11" s="101">
        <v>10</v>
      </c>
      <c r="AX11" s="101">
        <v>10</v>
      </c>
      <c r="AY11" s="101">
        <v>5</v>
      </c>
      <c r="AZ11" s="101">
        <v>5</v>
      </c>
      <c r="BA11" s="101">
        <v>5</v>
      </c>
      <c r="BB11" s="101">
        <v>5</v>
      </c>
      <c r="BC11" s="101"/>
      <c r="BD11" s="101">
        <v>5</v>
      </c>
      <c r="BE11" s="101">
        <v>5</v>
      </c>
      <c r="BF11" s="101">
        <v>5</v>
      </c>
      <c r="BG11" s="101">
        <v>5</v>
      </c>
      <c r="BH11" s="101">
        <v>5</v>
      </c>
      <c r="BI11" s="101">
        <v>5</v>
      </c>
      <c r="BJ11" s="101"/>
      <c r="BK11" s="101">
        <v>14</v>
      </c>
      <c r="BL11" s="101">
        <v>14</v>
      </c>
      <c r="BM11" s="101">
        <v>14</v>
      </c>
      <c r="BN11" s="101">
        <v>19</v>
      </c>
      <c r="BO11" s="101">
        <v>20</v>
      </c>
      <c r="BP11" s="101">
        <v>29</v>
      </c>
      <c r="BQ11" s="101"/>
      <c r="BR11" s="101">
        <v>29</v>
      </c>
      <c r="BS11" s="101">
        <v>24</v>
      </c>
      <c r="BT11" s="101">
        <v>29</v>
      </c>
      <c r="BU11" s="101">
        <v>24</v>
      </c>
      <c r="BV11" s="101">
        <v>20</v>
      </c>
      <c r="BW11" s="101">
        <v>20</v>
      </c>
      <c r="BX11" s="101"/>
      <c r="BY11" s="101">
        <v>15</v>
      </c>
      <c r="BZ11" s="101">
        <v>6</v>
      </c>
      <c r="CA11" s="101">
        <v>6</v>
      </c>
      <c r="CB11" s="101">
        <v>6</v>
      </c>
      <c r="CC11" s="101">
        <v>6</v>
      </c>
      <c r="CD11" s="101">
        <v>6</v>
      </c>
      <c r="CE11" s="101"/>
      <c r="CF11" s="101">
        <v>6</v>
      </c>
      <c r="CG11" s="101">
        <v>6</v>
      </c>
      <c r="CH11" s="101">
        <v>11</v>
      </c>
      <c r="CI11" s="101">
        <v>11</v>
      </c>
      <c r="CJ11" s="101">
        <v>6</v>
      </c>
      <c r="CK11" s="101">
        <v>24</v>
      </c>
      <c r="CL11" s="101"/>
      <c r="CM11" s="101">
        <v>7</v>
      </c>
      <c r="CN11" s="101"/>
      <c r="CO11" s="101"/>
      <c r="CP11" s="101"/>
      <c r="CQ11" s="101"/>
      <c r="CR11" s="101"/>
      <c r="CS11" s="101"/>
      <c r="CT11" s="101"/>
      <c r="CU11" s="101">
        <v>9</v>
      </c>
      <c r="CV11" s="101">
        <v>13</v>
      </c>
      <c r="CW11" s="101">
        <v>13</v>
      </c>
      <c r="CX11" s="101">
        <v>13</v>
      </c>
      <c r="CY11" s="101">
        <v>47</v>
      </c>
      <c r="CZ11" s="101"/>
      <c r="DA11" s="101">
        <v>18</v>
      </c>
      <c r="DB11" s="101">
        <v>18</v>
      </c>
      <c r="DC11" s="101">
        <v>18</v>
      </c>
      <c r="DD11" s="101">
        <v>19</v>
      </c>
      <c r="DE11" s="101">
        <v>19</v>
      </c>
      <c r="DF11" s="101">
        <v>28</v>
      </c>
      <c r="DG11" s="101"/>
      <c r="DH11" s="101">
        <v>28</v>
      </c>
      <c r="DI11" s="101">
        <v>28</v>
      </c>
      <c r="DJ11" s="101">
        <v>28</v>
      </c>
      <c r="DK11" s="101">
        <v>33</v>
      </c>
      <c r="DL11" s="101">
        <v>33</v>
      </c>
      <c r="DM11" s="101">
        <v>33</v>
      </c>
      <c r="DN11" s="101"/>
      <c r="DO11" s="101">
        <v>33</v>
      </c>
      <c r="DP11" s="101">
        <v>19</v>
      </c>
      <c r="DQ11" s="101">
        <v>19</v>
      </c>
      <c r="DR11" s="101">
        <v>13</v>
      </c>
      <c r="DS11" s="101"/>
      <c r="DT11" s="101"/>
      <c r="DU11" s="101"/>
      <c r="DV11" s="101"/>
      <c r="DW11" s="101"/>
      <c r="DX11" s="101"/>
      <c r="DY11" s="101"/>
      <c r="DZ11" s="101"/>
      <c r="EA11" s="101">
        <v>5</v>
      </c>
      <c r="EB11" s="101"/>
      <c r="EC11" s="101"/>
      <c r="ED11" s="101">
        <v>2</v>
      </c>
      <c r="EE11" s="101"/>
      <c r="EF11" s="101">
        <v>14</v>
      </c>
      <c r="EG11" s="101"/>
      <c r="EH11" s="101">
        <v>2</v>
      </c>
      <c r="EI11" s="101"/>
      <c r="EJ11" s="101">
        <v>7</v>
      </c>
      <c r="EK11" s="101">
        <v>7</v>
      </c>
      <c r="EL11" s="101">
        <v>21</v>
      </c>
      <c r="EM11" s="101">
        <v>29</v>
      </c>
      <c r="EN11" s="101">
        <v>22</v>
      </c>
      <c r="EO11" s="101">
        <v>22</v>
      </c>
      <c r="EP11" s="101"/>
      <c r="EQ11" s="101">
        <v>29</v>
      </c>
      <c r="ER11" s="101">
        <v>34</v>
      </c>
      <c r="ES11" s="101">
        <v>34</v>
      </c>
      <c r="ET11" s="101">
        <v>22</v>
      </c>
      <c r="EU11" s="101">
        <v>13</v>
      </c>
      <c r="EV11" s="101">
        <v>13</v>
      </c>
      <c r="EW11" s="101"/>
      <c r="EX11" s="101">
        <v>13</v>
      </c>
      <c r="EY11" s="101">
        <v>22</v>
      </c>
      <c r="EZ11" s="101">
        <v>13</v>
      </c>
      <c r="FA11" s="101"/>
      <c r="FB11" s="101"/>
      <c r="FC11" s="101"/>
      <c r="FD11" s="101"/>
      <c r="FE11" s="101">
        <v>9</v>
      </c>
      <c r="FF11" s="101"/>
      <c r="FG11" s="101">
        <v>7</v>
      </c>
      <c r="FH11" s="101">
        <v>5</v>
      </c>
      <c r="FI11" s="101">
        <v>10</v>
      </c>
      <c r="FJ11" s="101">
        <v>10</v>
      </c>
      <c r="FK11" s="101"/>
      <c r="FL11" s="101"/>
      <c r="FM11" s="101">
        <v>2</v>
      </c>
      <c r="FN11" s="101">
        <v>5</v>
      </c>
      <c r="FO11" s="101">
        <v>5</v>
      </c>
      <c r="FP11" s="101">
        <v>5</v>
      </c>
      <c r="FQ11" s="101"/>
      <c r="FR11" s="101"/>
      <c r="FS11" s="101">
        <v>5</v>
      </c>
      <c r="FT11" s="101">
        <v>4</v>
      </c>
      <c r="FU11" s="101">
        <v>11</v>
      </c>
      <c r="FV11" s="101">
        <v>18</v>
      </c>
      <c r="FW11" s="101">
        <v>9</v>
      </c>
      <c r="FX11" s="101">
        <v>9</v>
      </c>
      <c r="FY11" s="101"/>
      <c r="FZ11" s="101">
        <v>9</v>
      </c>
      <c r="GA11" s="101">
        <v>16</v>
      </c>
      <c r="GB11" s="101">
        <v>25</v>
      </c>
      <c r="GC11" s="101">
        <v>12</v>
      </c>
      <c r="GD11" s="101">
        <v>12</v>
      </c>
      <c r="GE11" s="101">
        <v>5</v>
      </c>
      <c r="GF11" s="101"/>
      <c r="GG11" s="101">
        <v>5</v>
      </c>
      <c r="GH11" s="101">
        <v>5</v>
      </c>
      <c r="GI11" s="101"/>
      <c r="GJ11" s="101"/>
      <c r="GK11" s="101">
        <v>5</v>
      </c>
      <c r="GL11" s="101">
        <v>5</v>
      </c>
      <c r="GM11" s="101"/>
      <c r="GN11" s="101">
        <v>5</v>
      </c>
      <c r="GO11" s="101"/>
      <c r="GP11" s="101">
        <v>9</v>
      </c>
      <c r="GQ11" s="101"/>
      <c r="GR11" s="101"/>
      <c r="GS11" s="101"/>
      <c r="GT11" s="101"/>
      <c r="GU11" s="101">
        <v>9</v>
      </c>
      <c r="GV11" s="101">
        <v>7</v>
      </c>
      <c r="GW11" s="101">
        <v>4</v>
      </c>
      <c r="GX11" s="101">
        <v>7</v>
      </c>
      <c r="GY11" s="101">
        <v>14</v>
      </c>
      <c r="GZ11" s="101">
        <v>5</v>
      </c>
      <c r="HA11" s="101"/>
      <c r="HB11" s="101">
        <v>7</v>
      </c>
      <c r="HC11" s="101">
        <v>5</v>
      </c>
      <c r="HD11" s="101">
        <v>5</v>
      </c>
      <c r="HE11" s="101">
        <v>5</v>
      </c>
      <c r="HF11" s="101">
        <v>15</v>
      </c>
      <c r="HG11" s="101">
        <v>12</v>
      </c>
      <c r="HH11" s="101"/>
      <c r="HI11" s="101">
        <v>10</v>
      </c>
      <c r="HJ11" s="101">
        <v>15</v>
      </c>
      <c r="HK11" s="101">
        <v>5</v>
      </c>
      <c r="HL11" s="101">
        <v>5</v>
      </c>
      <c r="HM11" s="101">
        <v>13</v>
      </c>
      <c r="HN11" s="101">
        <v>2</v>
      </c>
      <c r="HO11" s="101"/>
      <c r="HP11" s="101">
        <v>5</v>
      </c>
      <c r="HQ11" s="101">
        <v>5</v>
      </c>
      <c r="HR11" s="101">
        <v>14</v>
      </c>
      <c r="HS11" s="101">
        <v>4</v>
      </c>
      <c r="HT11" s="101"/>
      <c r="HU11" s="101">
        <v>6</v>
      </c>
      <c r="HV11" s="101"/>
      <c r="HW11" s="101"/>
      <c r="HX11" s="101"/>
      <c r="HY11" s="101"/>
      <c r="HZ11" s="101"/>
      <c r="IA11" s="101">
        <v>6</v>
      </c>
      <c r="IB11" s="101">
        <v>16</v>
      </c>
      <c r="IC11" s="101"/>
      <c r="ID11" s="101">
        <v>5</v>
      </c>
      <c r="IE11" s="101"/>
      <c r="IF11" s="101"/>
      <c r="IG11" s="101">
        <v>2</v>
      </c>
      <c r="IH11" s="101"/>
      <c r="II11" s="101"/>
      <c r="IJ11" s="101"/>
      <c r="IK11" s="101"/>
      <c r="IL11" s="101"/>
      <c r="IM11" s="101"/>
      <c r="IN11" s="101"/>
      <c r="IO11" s="101">
        <v>9</v>
      </c>
      <c r="IP11" s="101"/>
      <c r="IQ11" s="101"/>
      <c r="IR11" s="101"/>
      <c r="IS11" s="101"/>
      <c r="IT11" s="101"/>
      <c r="IU11" s="101"/>
      <c r="IV11" s="101"/>
      <c r="IW11" s="101">
        <v>7</v>
      </c>
      <c r="IX11" s="101"/>
      <c r="IY11" s="101">
        <v>5</v>
      </c>
      <c r="IZ11" s="101">
        <v>5</v>
      </c>
      <c r="JA11" s="101">
        <v>5</v>
      </c>
      <c r="JB11" s="101"/>
      <c r="JC11" s="101"/>
      <c r="JD11" s="101"/>
      <c r="JE11" s="101"/>
      <c r="JF11" s="101"/>
      <c r="JG11" s="101"/>
      <c r="JH11" s="101"/>
      <c r="JI11" s="101"/>
      <c r="JJ11" s="101"/>
      <c r="JK11" s="101"/>
      <c r="JL11" s="101"/>
      <c r="JM11" s="101">
        <v>9</v>
      </c>
      <c r="JN11" s="101"/>
      <c r="JO11" s="101"/>
      <c r="JP11" s="101"/>
      <c r="JQ11" s="101"/>
      <c r="JR11" s="101">
        <v>4</v>
      </c>
      <c r="JS11" s="101"/>
      <c r="JT11" s="101"/>
      <c r="JU11" s="101">
        <v>5</v>
      </c>
      <c r="JV11" s="101">
        <v>5</v>
      </c>
      <c r="JW11" s="101">
        <v>5</v>
      </c>
      <c r="JX11" s="101">
        <v>5</v>
      </c>
      <c r="JY11" s="101"/>
      <c r="JZ11" s="101"/>
      <c r="KA11" s="101"/>
      <c r="KB11" s="101"/>
      <c r="KC11" s="101">
        <v>9</v>
      </c>
      <c r="KD11" s="101"/>
      <c r="KE11" s="101"/>
      <c r="KF11" s="101"/>
      <c r="KG11" s="101"/>
      <c r="KH11" s="101"/>
      <c r="KI11" s="101"/>
      <c r="KJ11" s="101">
        <v>9</v>
      </c>
      <c r="KK11" s="101"/>
      <c r="KL11" s="101"/>
      <c r="KM11" s="101"/>
      <c r="KN11" s="101"/>
      <c r="KO11" s="101"/>
      <c r="KP11" s="101"/>
      <c r="KQ11" s="101"/>
      <c r="KR11" s="101"/>
      <c r="KS11" s="101"/>
      <c r="KT11" s="101"/>
      <c r="KU11" s="101"/>
      <c r="KV11" s="101"/>
      <c r="KW11" s="101"/>
      <c r="KX11" s="101"/>
      <c r="KY11" s="101"/>
      <c r="KZ11" s="101"/>
      <c r="LA11" s="101"/>
      <c r="LB11" s="101"/>
      <c r="LC11" s="101"/>
      <c r="LD11" s="101"/>
      <c r="LE11" s="101"/>
      <c r="LF11" s="101"/>
      <c r="LG11" s="101"/>
      <c r="LH11" s="101"/>
      <c r="LI11" s="101"/>
      <c r="LJ11" s="101"/>
      <c r="LK11" s="101"/>
      <c r="LL11" s="101"/>
      <c r="LM11" s="101"/>
      <c r="LN11" s="101"/>
      <c r="LO11" s="101"/>
      <c r="LP11" s="101"/>
      <c r="LQ11" s="101"/>
      <c r="LR11" s="101"/>
      <c r="LS11" s="101"/>
      <c r="LT11" s="101"/>
      <c r="LU11" s="101"/>
      <c r="LV11" s="101"/>
      <c r="LW11" s="101"/>
      <c r="LX11" s="101"/>
      <c r="LY11" s="101"/>
      <c r="LZ11" s="101"/>
      <c r="MA11" s="101"/>
      <c r="MB11" s="101"/>
      <c r="MC11" s="101"/>
      <c r="MD11" s="101"/>
      <c r="ME11" s="101"/>
      <c r="MF11" s="101"/>
      <c r="MG11" s="101"/>
      <c r="MH11" s="101"/>
      <c r="MI11" s="101"/>
      <c r="MJ11" s="101"/>
      <c r="MK11" s="101"/>
      <c r="ML11" s="101"/>
      <c r="MM11" s="101"/>
      <c r="MN11" s="101"/>
      <c r="MO11" s="101"/>
      <c r="MP11" s="101"/>
      <c r="MQ11" s="101"/>
      <c r="MR11" s="101"/>
      <c r="MS11" s="101"/>
      <c r="MT11" s="101"/>
      <c r="MU11" s="101"/>
      <c r="MV11" s="101"/>
      <c r="MW11" s="101"/>
      <c r="MX11" s="101"/>
      <c r="MY11" s="101"/>
      <c r="MZ11" s="101"/>
      <c r="NA11" s="101"/>
      <c r="NB11" s="101"/>
      <c r="NC11" s="101"/>
      <c r="ND11" s="101"/>
      <c r="NE11" s="101"/>
      <c r="NF11" s="101"/>
      <c r="NG11" s="101"/>
      <c r="NH11" s="101"/>
      <c r="NI11" s="101"/>
      <c r="NJ11" s="101"/>
      <c r="NK11" s="101"/>
      <c r="NL11" s="101"/>
      <c r="NM11" s="101"/>
      <c r="NN11" s="101"/>
      <c r="NO11" s="101"/>
      <c r="NP11" s="101"/>
      <c r="NQ11" s="101"/>
      <c r="NR11" s="101"/>
      <c r="NS11" s="101"/>
      <c r="NT11" s="101"/>
      <c r="NU11" s="101"/>
      <c r="NV11" s="101"/>
      <c r="NW11" s="101"/>
      <c r="NX11" s="101"/>
      <c r="NY11" s="101"/>
      <c r="NZ11" s="101"/>
      <c r="OA11" s="101"/>
      <c r="OB11" s="101"/>
      <c r="OC11" s="101"/>
      <c r="OD11" s="101"/>
      <c r="OE11" s="101"/>
      <c r="OF11" s="101"/>
      <c r="OG11" s="101"/>
      <c r="OH11" s="101"/>
      <c r="OI11" s="101"/>
      <c r="OJ11" s="101"/>
      <c r="OK11" s="101"/>
      <c r="OL11" s="101"/>
      <c r="OM11" s="101"/>
      <c r="ON11" s="101"/>
      <c r="OO11" s="101"/>
      <c r="OP11" s="101"/>
      <c r="OQ11" s="101"/>
      <c r="OR11" s="101"/>
      <c r="OS11" s="101"/>
      <c r="OT11" s="101"/>
      <c r="OU11" s="101"/>
      <c r="OV11" s="101"/>
      <c r="OW11" s="101"/>
      <c r="OX11" s="101"/>
      <c r="OY11" s="101"/>
      <c r="OZ11" s="101"/>
      <c r="PA11" s="101"/>
      <c r="PB11" s="101"/>
      <c r="PC11" s="101"/>
      <c r="PD11" s="101"/>
      <c r="PE11" s="101"/>
      <c r="PF11" s="101"/>
      <c r="PG11" s="101"/>
      <c r="PH11" s="101"/>
      <c r="PI11" s="101"/>
      <c r="PJ11" s="101"/>
      <c r="PK11" s="101"/>
      <c r="PL11" s="101"/>
      <c r="PM11" s="101"/>
      <c r="PN11" s="101"/>
      <c r="PO11" s="101"/>
      <c r="PP11" s="101"/>
      <c r="PQ11" s="101"/>
      <c r="PR11" s="101"/>
      <c r="PS11" s="101"/>
      <c r="PT11" s="101"/>
      <c r="PU11" s="101"/>
      <c r="PV11" s="101"/>
      <c r="PW11" s="101"/>
      <c r="PX11" s="101"/>
      <c r="PY11" s="101"/>
      <c r="PZ11" s="101"/>
      <c r="QA11" s="101"/>
      <c r="QB11" s="101"/>
      <c r="QC11" s="101"/>
      <c r="QD11" s="101"/>
      <c r="QE11" s="101"/>
      <c r="QF11" s="101"/>
      <c r="QG11" s="101"/>
      <c r="QH11" s="101"/>
      <c r="QI11" s="101"/>
      <c r="QJ11" s="101"/>
      <c r="QK11" s="101"/>
      <c r="QL11" s="101"/>
      <c r="QM11" s="101"/>
      <c r="QN11" s="101"/>
      <c r="QO11" s="101"/>
      <c r="QP11" s="101"/>
      <c r="QQ11" s="101"/>
      <c r="QR11" s="101"/>
      <c r="QS11" s="101"/>
      <c r="QT11" s="101"/>
      <c r="QU11" s="101"/>
      <c r="QV11" s="101"/>
      <c r="QW11" s="101"/>
      <c r="QX11" s="101"/>
      <c r="QY11" s="101"/>
      <c r="QZ11" s="101"/>
      <c r="RA11" s="101"/>
      <c r="RB11" s="101"/>
      <c r="RC11" s="101"/>
      <c r="RD11" s="101"/>
      <c r="RE11" s="101"/>
      <c r="RF11" s="101"/>
      <c r="RG11" s="101"/>
      <c r="RH11" s="101"/>
      <c r="RI11" s="101"/>
      <c r="RJ11" s="101"/>
      <c r="RK11" s="101"/>
      <c r="RL11" s="101"/>
      <c r="RM11" s="101"/>
      <c r="RN11" s="101"/>
      <c r="RO11" s="101"/>
      <c r="RP11" s="101"/>
      <c r="RQ11" s="101"/>
      <c r="RR11" s="101"/>
      <c r="RS11" s="101"/>
      <c r="RT11" s="101"/>
      <c r="RU11" s="101"/>
      <c r="RV11" s="101"/>
      <c r="RW11" s="101"/>
      <c r="RX11" s="101"/>
      <c r="RY11" s="101"/>
      <c r="RZ11" s="101"/>
      <c r="SA11" s="101"/>
      <c r="SB11" s="101"/>
      <c r="SC11" s="101"/>
      <c r="SD11" s="101"/>
      <c r="SE11" s="101"/>
      <c r="SF11" s="101"/>
      <c r="SG11" s="101"/>
      <c r="SH11" s="101"/>
      <c r="SI11" s="101"/>
      <c r="SJ11" s="101"/>
      <c r="SK11" s="101"/>
      <c r="SL11" s="101"/>
      <c r="SM11" s="101"/>
      <c r="SN11" s="101"/>
      <c r="SO11" s="101"/>
      <c r="SP11" s="101"/>
      <c r="SQ11" s="101"/>
      <c r="SR11" s="101"/>
      <c r="SS11" s="101"/>
      <c r="ST11" s="101"/>
      <c r="SU11" s="101"/>
      <c r="SV11" s="101"/>
      <c r="SW11" s="101"/>
      <c r="SX11" s="101"/>
      <c r="SY11" s="101"/>
      <c r="SZ11" s="101"/>
      <c r="TA11" s="101"/>
      <c r="TB11" s="101"/>
      <c r="TC11" s="101"/>
      <c r="TD11" s="101"/>
      <c r="TE11" s="101"/>
      <c r="TF11" s="101"/>
      <c r="TG11" s="101"/>
      <c r="TH11" s="101"/>
      <c r="TI11" s="101"/>
      <c r="TJ11" s="101"/>
      <c r="TK11" s="101"/>
      <c r="TL11" s="101"/>
      <c r="TM11" s="101"/>
      <c r="TN11" s="101"/>
      <c r="TO11" s="101"/>
      <c r="TP11" s="101"/>
      <c r="TQ11" s="101"/>
      <c r="TR11" s="101"/>
      <c r="TS11" s="101"/>
      <c r="TT11" s="101"/>
      <c r="TU11" s="101"/>
      <c r="TV11" s="101"/>
      <c r="TW11" s="101"/>
      <c r="TX11" s="101"/>
      <c r="TY11" s="101"/>
      <c r="TZ11" s="101"/>
      <c r="UA11" s="101"/>
      <c r="UB11" s="101"/>
      <c r="UC11" s="101"/>
      <c r="UD11" s="101"/>
      <c r="UE11" s="101"/>
      <c r="UF11" s="101"/>
      <c r="UG11" s="101"/>
      <c r="UH11" s="101"/>
      <c r="UI11" s="101"/>
      <c r="UJ11" s="101"/>
      <c r="UK11" s="101"/>
      <c r="UL11" s="101"/>
      <c r="UM11" s="101"/>
      <c r="UN11" s="101"/>
      <c r="UO11" s="101"/>
      <c r="UP11" s="101"/>
      <c r="UQ11" s="101"/>
      <c r="UR11" s="101"/>
      <c r="US11" s="101"/>
      <c r="UT11" s="101"/>
      <c r="UU11" s="101"/>
      <c r="UV11" s="101"/>
      <c r="UW11" s="101"/>
      <c r="UX11" s="101"/>
      <c r="UY11" s="101"/>
      <c r="UZ11" s="101"/>
      <c r="VA11" s="101"/>
      <c r="VB11" s="101"/>
      <c r="VC11" s="101"/>
      <c r="VD11" s="101"/>
      <c r="VE11" s="101"/>
      <c r="VF11" s="101"/>
      <c r="VG11" s="101"/>
      <c r="VH11" s="101"/>
      <c r="VI11" s="101"/>
      <c r="VJ11" s="101"/>
      <c r="VK11" s="101"/>
      <c r="VL11" s="101"/>
      <c r="VM11" s="101"/>
      <c r="VN11" s="101"/>
      <c r="VO11" s="101"/>
      <c r="VP11" s="101"/>
      <c r="VQ11" s="101"/>
      <c r="VR11" s="101"/>
      <c r="VS11" s="101"/>
      <c r="VT11" s="101"/>
      <c r="VU11" s="101"/>
      <c r="VV11" s="101"/>
      <c r="VW11" s="101"/>
      <c r="VX11" s="101"/>
      <c r="VY11" s="101"/>
      <c r="VZ11" s="101"/>
      <c r="WA11" s="101"/>
      <c r="WB11" s="101"/>
      <c r="WC11" s="101"/>
      <c r="WD11" s="101"/>
      <c r="WE11" s="101"/>
      <c r="WF11" s="101"/>
      <c r="WG11" s="101"/>
      <c r="WH11" s="101"/>
      <c r="WI11" s="101"/>
      <c r="WJ11" s="101"/>
      <c r="WK11" s="101"/>
      <c r="WL11" s="101"/>
      <c r="WM11" s="101"/>
      <c r="WN11" s="101"/>
      <c r="WO11" s="101"/>
      <c r="WP11" s="101"/>
      <c r="WQ11" s="101"/>
      <c r="WR11" s="101"/>
      <c r="WS11" s="101"/>
      <c r="WT11" s="101"/>
      <c r="WU11" s="101"/>
      <c r="WV11" s="101"/>
      <c r="WW11" s="101"/>
      <c r="WX11" s="101"/>
      <c r="WY11" s="101"/>
      <c r="WZ11" s="101"/>
      <c r="XA11" s="101"/>
      <c r="XB11" s="101"/>
      <c r="XC11" s="101"/>
      <c r="XD11" s="101"/>
      <c r="XE11" s="101"/>
      <c r="XF11" s="101"/>
      <c r="XG11" s="101"/>
      <c r="XH11" s="101"/>
      <c r="XI11" s="101"/>
      <c r="XJ11" s="101"/>
      <c r="XK11" s="101"/>
      <c r="XL11" s="101"/>
      <c r="XM11" s="101"/>
      <c r="XN11" s="101"/>
      <c r="XO11" s="101"/>
      <c r="XP11" s="101"/>
      <c r="XQ11" s="101"/>
      <c r="XR11" s="101"/>
      <c r="XS11" s="101"/>
      <c r="XT11" s="101"/>
      <c r="XU11" s="101"/>
      <c r="XV11" s="101"/>
      <c r="XW11" s="101"/>
      <c r="XX11" s="101"/>
      <c r="XY11" s="101"/>
      <c r="XZ11" s="101"/>
      <c r="YA11" s="101"/>
      <c r="YB11" s="101"/>
      <c r="YC11" s="101"/>
      <c r="YD11" s="101"/>
      <c r="YE11" s="101"/>
      <c r="YF11" s="101"/>
      <c r="YG11" s="101"/>
      <c r="YH11" s="101"/>
      <c r="YI11" s="101"/>
      <c r="YJ11" s="101"/>
      <c r="YK11" s="101"/>
      <c r="YL11" s="101"/>
      <c r="YM11" s="101"/>
      <c r="YN11" s="101"/>
      <c r="YO11" s="101"/>
      <c r="YP11" s="101"/>
      <c r="YQ11" s="101"/>
      <c r="YR11" s="101"/>
      <c r="YS11" s="101"/>
      <c r="YT11" s="101"/>
      <c r="YU11" s="101"/>
      <c r="YV11" s="101"/>
      <c r="YW11" s="101"/>
      <c r="YX11" s="101"/>
      <c r="YY11" s="101"/>
      <c r="YZ11" s="101"/>
      <c r="ZA11" s="101"/>
      <c r="ZB11" s="101"/>
      <c r="ZC11" s="101"/>
      <c r="ZD11" s="101"/>
      <c r="ZE11" s="101"/>
      <c r="ZF11" s="101"/>
      <c r="ZG11" s="101"/>
      <c r="ZH11" s="101"/>
    </row>
    <row r="12" spans="1:684">
      <c r="A12" s="75" t="s">
        <v>50</v>
      </c>
      <c r="B12" s="101">
        <v>3</v>
      </c>
      <c r="C12" s="101">
        <v>3</v>
      </c>
      <c r="D12" s="101">
        <v>3</v>
      </c>
      <c r="E12" s="101">
        <v>3</v>
      </c>
      <c r="F12" s="101"/>
      <c r="G12" s="101">
        <v>3</v>
      </c>
      <c r="H12" s="101">
        <v>3</v>
      </c>
      <c r="I12" s="101">
        <v>11</v>
      </c>
      <c r="J12" s="101">
        <v>11</v>
      </c>
      <c r="K12" s="101">
        <v>11</v>
      </c>
      <c r="L12" s="101">
        <v>11</v>
      </c>
      <c r="M12" s="101"/>
      <c r="N12" s="101">
        <v>11</v>
      </c>
      <c r="O12" s="101">
        <v>11</v>
      </c>
      <c r="P12" s="101">
        <v>11</v>
      </c>
      <c r="Q12" s="101">
        <v>11</v>
      </c>
      <c r="R12" s="101">
        <v>11</v>
      </c>
      <c r="S12" s="101"/>
      <c r="T12" s="101"/>
      <c r="U12" s="101">
        <v>11</v>
      </c>
      <c r="V12" s="101">
        <v>11</v>
      </c>
      <c r="W12" s="101">
        <v>11</v>
      </c>
      <c r="X12" s="101">
        <v>11</v>
      </c>
      <c r="Y12" s="101">
        <v>11</v>
      </c>
      <c r="Z12" s="101">
        <v>11</v>
      </c>
      <c r="AA12" s="101"/>
      <c r="AB12" s="101">
        <v>10</v>
      </c>
      <c r="AC12" s="101">
        <v>10</v>
      </c>
      <c r="AD12" s="101">
        <v>10</v>
      </c>
      <c r="AE12" s="101">
        <v>10</v>
      </c>
      <c r="AF12" s="101">
        <v>10</v>
      </c>
      <c r="AG12" s="101">
        <v>10</v>
      </c>
      <c r="AH12" s="101"/>
      <c r="AI12" s="101">
        <v>10</v>
      </c>
      <c r="AJ12" s="101">
        <v>10</v>
      </c>
      <c r="AK12" s="101">
        <v>10</v>
      </c>
      <c r="AL12" s="101">
        <v>10</v>
      </c>
      <c r="AM12" s="101">
        <v>10</v>
      </c>
      <c r="AN12" s="101">
        <v>10</v>
      </c>
      <c r="AO12" s="101"/>
      <c r="AP12" s="101">
        <v>10</v>
      </c>
      <c r="AQ12" s="101">
        <v>10</v>
      </c>
      <c r="AR12" s="101">
        <v>10</v>
      </c>
      <c r="AS12" s="101">
        <v>3</v>
      </c>
      <c r="AT12" s="101">
        <v>3</v>
      </c>
      <c r="AU12" s="101">
        <v>3</v>
      </c>
      <c r="AV12" s="101"/>
      <c r="AW12" s="101">
        <v>3</v>
      </c>
      <c r="AX12" s="101">
        <v>3</v>
      </c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  <c r="BM12" s="101"/>
      <c r="BN12" s="101"/>
      <c r="BO12" s="101"/>
      <c r="BP12" s="101"/>
      <c r="BQ12" s="101"/>
      <c r="BR12" s="101"/>
      <c r="BS12" s="101"/>
      <c r="BT12" s="101"/>
      <c r="BU12" s="101"/>
      <c r="BV12" s="101"/>
      <c r="BW12" s="101"/>
      <c r="BX12" s="101"/>
      <c r="BY12" s="101"/>
      <c r="BZ12" s="101"/>
      <c r="CA12" s="101"/>
      <c r="CB12" s="101"/>
      <c r="CC12" s="101"/>
      <c r="CD12" s="101"/>
      <c r="CE12" s="101"/>
      <c r="CF12" s="101"/>
      <c r="CG12" s="101"/>
      <c r="CH12" s="101"/>
      <c r="CI12" s="101"/>
      <c r="CJ12" s="101"/>
      <c r="CK12" s="101"/>
      <c r="CL12" s="101"/>
      <c r="CM12" s="101"/>
      <c r="CN12" s="101"/>
      <c r="CO12" s="101"/>
      <c r="CP12" s="101"/>
      <c r="CQ12" s="101"/>
      <c r="CR12" s="101"/>
      <c r="CS12" s="101"/>
      <c r="CT12" s="101"/>
      <c r="CU12" s="101"/>
      <c r="CV12" s="101"/>
      <c r="CW12" s="101"/>
      <c r="CX12" s="101"/>
      <c r="CY12" s="101"/>
      <c r="CZ12" s="101"/>
      <c r="DA12" s="101"/>
      <c r="DB12" s="101"/>
      <c r="DC12" s="101"/>
      <c r="DD12" s="101"/>
      <c r="DE12" s="101"/>
      <c r="DF12" s="101"/>
      <c r="DG12" s="101"/>
      <c r="DH12" s="101"/>
      <c r="DI12" s="101"/>
      <c r="DJ12" s="101"/>
      <c r="DK12" s="101"/>
      <c r="DL12" s="101"/>
      <c r="DM12" s="101"/>
      <c r="DN12" s="101"/>
      <c r="DO12" s="101"/>
      <c r="DP12" s="101"/>
      <c r="DQ12" s="101"/>
      <c r="DR12" s="101"/>
      <c r="DS12" s="101"/>
      <c r="DT12" s="101"/>
      <c r="DU12" s="101"/>
      <c r="DV12" s="101"/>
      <c r="DW12" s="101"/>
      <c r="DX12" s="101"/>
      <c r="DY12" s="101"/>
      <c r="DZ12" s="101"/>
      <c r="EA12" s="101"/>
      <c r="EB12" s="101"/>
      <c r="EC12" s="101"/>
      <c r="ED12" s="101"/>
      <c r="EE12" s="101"/>
      <c r="EF12" s="101"/>
      <c r="EG12" s="101"/>
      <c r="EH12" s="101"/>
      <c r="EI12" s="101"/>
      <c r="EJ12" s="101"/>
      <c r="EK12" s="101"/>
      <c r="EL12" s="101"/>
      <c r="EM12" s="101"/>
      <c r="EN12" s="101"/>
      <c r="EO12" s="101"/>
      <c r="EP12" s="101"/>
      <c r="EQ12" s="101"/>
      <c r="ER12" s="101"/>
      <c r="ES12" s="101"/>
      <c r="ET12" s="101"/>
      <c r="EU12" s="101"/>
      <c r="EV12" s="101"/>
      <c r="EW12" s="101"/>
      <c r="EX12" s="101"/>
      <c r="EY12" s="101"/>
      <c r="EZ12" s="101"/>
      <c r="FA12" s="101"/>
      <c r="FB12" s="101"/>
      <c r="FC12" s="101"/>
      <c r="FD12" s="101"/>
      <c r="FE12" s="101"/>
      <c r="FF12" s="101"/>
      <c r="FG12" s="101"/>
      <c r="FH12" s="101"/>
      <c r="FI12" s="101"/>
      <c r="FJ12" s="101"/>
      <c r="FK12" s="101"/>
      <c r="FL12" s="101"/>
      <c r="FM12" s="101"/>
      <c r="FN12" s="101"/>
      <c r="FO12" s="101"/>
      <c r="FP12" s="101"/>
      <c r="FQ12" s="101"/>
      <c r="FR12" s="101"/>
      <c r="FS12" s="101"/>
      <c r="FT12" s="101"/>
      <c r="FU12" s="101"/>
      <c r="FV12" s="101"/>
      <c r="FW12" s="101"/>
      <c r="FX12" s="101"/>
      <c r="FY12" s="101"/>
      <c r="FZ12" s="101"/>
      <c r="GA12" s="101"/>
      <c r="GB12" s="101"/>
      <c r="GC12" s="101"/>
      <c r="GD12" s="101"/>
      <c r="GE12" s="101"/>
      <c r="GF12" s="101"/>
      <c r="GG12" s="101"/>
      <c r="GH12" s="101"/>
      <c r="GI12" s="101"/>
      <c r="GJ12" s="101"/>
      <c r="GK12" s="101"/>
      <c r="GL12" s="101"/>
      <c r="GM12" s="101"/>
      <c r="GN12" s="101"/>
      <c r="GO12" s="101"/>
      <c r="GP12" s="101"/>
      <c r="GQ12" s="101"/>
      <c r="GR12" s="101"/>
      <c r="GS12" s="101"/>
      <c r="GT12" s="101"/>
      <c r="GU12" s="101"/>
      <c r="GV12" s="101"/>
      <c r="GW12" s="101"/>
      <c r="GX12" s="101"/>
      <c r="GY12" s="101"/>
      <c r="GZ12" s="101"/>
      <c r="HA12" s="101"/>
      <c r="HB12" s="101"/>
      <c r="HC12" s="101"/>
      <c r="HD12" s="101"/>
      <c r="HE12" s="101"/>
      <c r="HF12" s="101"/>
      <c r="HG12" s="101"/>
      <c r="HH12" s="101"/>
      <c r="HI12" s="101"/>
      <c r="HJ12" s="101"/>
      <c r="HK12" s="101"/>
      <c r="HL12" s="101"/>
      <c r="HM12" s="101"/>
      <c r="HN12" s="101"/>
      <c r="HO12" s="101"/>
      <c r="HP12" s="101"/>
      <c r="HQ12" s="101"/>
      <c r="HR12" s="101"/>
      <c r="HS12" s="101"/>
      <c r="HT12" s="101"/>
      <c r="HU12" s="101"/>
      <c r="HV12" s="101"/>
      <c r="HW12" s="101"/>
      <c r="HX12" s="101"/>
      <c r="HY12" s="101"/>
      <c r="HZ12" s="101"/>
      <c r="IA12" s="101"/>
      <c r="IB12" s="101"/>
      <c r="IC12" s="101"/>
      <c r="ID12" s="101"/>
      <c r="IE12" s="101"/>
      <c r="IF12" s="101"/>
      <c r="IG12" s="101"/>
      <c r="IH12" s="101"/>
      <c r="II12" s="101"/>
      <c r="IJ12" s="101"/>
      <c r="IK12" s="101"/>
      <c r="IL12" s="101"/>
      <c r="IM12" s="101"/>
      <c r="IN12" s="101"/>
      <c r="IO12" s="101"/>
      <c r="IP12" s="101"/>
      <c r="IQ12" s="101"/>
      <c r="IR12" s="101"/>
      <c r="IS12" s="101"/>
      <c r="IT12" s="101"/>
      <c r="IU12" s="101"/>
      <c r="IV12" s="101"/>
      <c r="IW12" s="101"/>
      <c r="IX12" s="101"/>
      <c r="IY12" s="101"/>
      <c r="IZ12" s="101"/>
      <c r="JA12" s="101"/>
      <c r="JB12" s="101"/>
      <c r="JC12" s="101"/>
      <c r="JD12" s="101"/>
      <c r="JE12" s="101"/>
      <c r="JF12" s="101"/>
      <c r="JG12" s="101"/>
      <c r="JH12" s="101"/>
      <c r="JI12" s="101"/>
      <c r="JJ12" s="101"/>
      <c r="JK12" s="101"/>
      <c r="JL12" s="101"/>
      <c r="JM12" s="101"/>
      <c r="JN12" s="101"/>
      <c r="JO12" s="101"/>
      <c r="JP12" s="101"/>
      <c r="JQ12" s="101"/>
      <c r="JR12" s="101"/>
      <c r="JS12" s="101"/>
      <c r="JT12" s="101"/>
      <c r="JU12" s="101"/>
      <c r="JV12" s="101"/>
      <c r="JW12" s="101"/>
      <c r="JX12" s="101"/>
      <c r="JY12" s="101"/>
      <c r="JZ12" s="101"/>
      <c r="KA12" s="101"/>
      <c r="KB12" s="101"/>
      <c r="KC12" s="101"/>
      <c r="KD12" s="101"/>
      <c r="KE12" s="101"/>
      <c r="KF12" s="101"/>
      <c r="KG12" s="101"/>
      <c r="KH12" s="101"/>
      <c r="KI12" s="101"/>
      <c r="KJ12" s="101"/>
      <c r="KK12" s="101"/>
      <c r="KL12" s="101"/>
      <c r="KM12" s="101"/>
      <c r="KN12" s="101"/>
      <c r="KO12" s="101"/>
      <c r="KP12" s="101"/>
      <c r="KQ12" s="101"/>
      <c r="KR12" s="101"/>
      <c r="KS12" s="101"/>
      <c r="KT12" s="101"/>
      <c r="KU12" s="101"/>
      <c r="KV12" s="101"/>
      <c r="KW12" s="101"/>
      <c r="KX12" s="101"/>
      <c r="KY12" s="101"/>
      <c r="KZ12" s="101"/>
      <c r="LA12" s="101"/>
      <c r="LB12" s="101"/>
      <c r="LC12" s="101"/>
      <c r="LD12" s="101"/>
      <c r="LE12" s="101"/>
      <c r="LF12" s="101"/>
      <c r="LG12" s="101"/>
      <c r="LH12" s="101"/>
      <c r="LI12" s="101"/>
      <c r="LJ12" s="101"/>
      <c r="LK12" s="101"/>
      <c r="LL12" s="101"/>
      <c r="LM12" s="101"/>
      <c r="LN12" s="101"/>
      <c r="LO12" s="101"/>
      <c r="LP12" s="101"/>
      <c r="LQ12" s="101"/>
      <c r="LR12" s="101"/>
      <c r="LS12" s="101"/>
      <c r="LT12" s="101"/>
      <c r="LU12" s="101"/>
      <c r="LV12" s="101"/>
      <c r="LW12" s="101"/>
      <c r="LX12" s="101"/>
      <c r="LY12" s="101"/>
      <c r="LZ12" s="101"/>
      <c r="MA12" s="101"/>
      <c r="MB12" s="101"/>
      <c r="MC12" s="101"/>
      <c r="MD12" s="101"/>
      <c r="ME12" s="101"/>
      <c r="MF12" s="101"/>
      <c r="MG12" s="101"/>
      <c r="MH12" s="101"/>
      <c r="MI12" s="101"/>
      <c r="MJ12" s="101"/>
      <c r="MK12" s="101"/>
      <c r="ML12" s="101"/>
      <c r="MM12" s="101"/>
      <c r="MN12" s="101"/>
      <c r="MO12" s="101"/>
      <c r="MP12" s="101"/>
      <c r="MQ12" s="101"/>
      <c r="MR12" s="101"/>
      <c r="MS12" s="101"/>
      <c r="MT12" s="101"/>
      <c r="MU12" s="101"/>
      <c r="MV12" s="101"/>
      <c r="MW12" s="101"/>
      <c r="MX12" s="101"/>
      <c r="MY12" s="101"/>
      <c r="MZ12" s="101"/>
      <c r="NA12" s="101"/>
      <c r="NB12" s="101"/>
      <c r="NC12" s="101"/>
      <c r="ND12" s="101"/>
      <c r="NE12" s="101"/>
      <c r="NF12" s="101"/>
      <c r="NG12" s="101"/>
      <c r="NH12" s="101"/>
      <c r="NI12" s="101"/>
      <c r="NJ12" s="101"/>
      <c r="NK12" s="101"/>
      <c r="NL12" s="101"/>
      <c r="NM12" s="101"/>
      <c r="NN12" s="101"/>
      <c r="NO12" s="101"/>
      <c r="NP12" s="101"/>
      <c r="NQ12" s="101"/>
      <c r="NR12" s="101"/>
      <c r="NS12" s="101"/>
      <c r="NT12" s="101"/>
      <c r="NU12" s="101"/>
      <c r="NV12" s="101"/>
      <c r="NW12" s="101"/>
      <c r="NX12" s="101"/>
      <c r="NY12" s="101"/>
      <c r="NZ12" s="101"/>
      <c r="OA12" s="101"/>
      <c r="OB12" s="101"/>
      <c r="OC12" s="101"/>
      <c r="OD12" s="101"/>
      <c r="OE12" s="101"/>
      <c r="OF12" s="101"/>
      <c r="OG12" s="101"/>
      <c r="OH12" s="101"/>
      <c r="OI12" s="101"/>
      <c r="OJ12" s="101"/>
      <c r="OK12" s="101"/>
      <c r="OL12" s="101"/>
      <c r="OM12" s="101"/>
      <c r="ON12" s="101"/>
      <c r="OO12" s="101"/>
      <c r="OP12" s="101"/>
      <c r="OQ12" s="101"/>
      <c r="OR12" s="101"/>
      <c r="OS12" s="101"/>
      <c r="OT12" s="101"/>
      <c r="OU12" s="101"/>
      <c r="OV12" s="101"/>
      <c r="OW12" s="101"/>
      <c r="OX12" s="101"/>
      <c r="OY12" s="101"/>
      <c r="OZ12" s="101"/>
      <c r="PA12" s="101"/>
      <c r="PB12" s="101"/>
      <c r="PC12" s="101"/>
      <c r="PD12" s="101"/>
      <c r="PE12" s="101"/>
      <c r="PF12" s="101"/>
      <c r="PG12" s="101"/>
      <c r="PH12" s="101"/>
      <c r="PI12" s="101"/>
      <c r="PJ12" s="101"/>
      <c r="PK12" s="101"/>
      <c r="PL12" s="101"/>
      <c r="PM12" s="101"/>
      <c r="PN12" s="101"/>
      <c r="PO12" s="101"/>
      <c r="PP12" s="101"/>
      <c r="PQ12" s="101"/>
      <c r="PR12" s="101"/>
      <c r="PS12" s="101"/>
      <c r="PT12" s="101"/>
      <c r="PU12" s="101"/>
      <c r="PV12" s="101"/>
      <c r="PW12" s="101"/>
      <c r="PX12" s="101"/>
      <c r="PY12" s="101"/>
      <c r="PZ12" s="101"/>
      <c r="QA12" s="101"/>
      <c r="QB12" s="101"/>
      <c r="QC12" s="101"/>
      <c r="QD12" s="101"/>
      <c r="QE12" s="101"/>
      <c r="QF12" s="101"/>
      <c r="QG12" s="101"/>
      <c r="QH12" s="101"/>
      <c r="QI12" s="101"/>
      <c r="QJ12" s="101"/>
      <c r="QK12" s="101"/>
      <c r="QL12" s="101"/>
      <c r="QM12" s="101"/>
      <c r="QN12" s="101"/>
      <c r="QO12" s="101"/>
      <c r="QP12" s="101"/>
      <c r="QQ12" s="101"/>
      <c r="QR12" s="101"/>
      <c r="QS12" s="101"/>
      <c r="QT12" s="101"/>
      <c r="QU12" s="101"/>
      <c r="QV12" s="101"/>
      <c r="QW12" s="101"/>
      <c r="QX12" s="101"/>
      <c r="QY12" s="101"/>
      <c r="QZ12" s="101"/>
      <c r="RA12" s="101"/>
      <c r="RB12" s="101"/>
      <c r="RC12" s="101"/>
      <c r="RD12" s="101"/>
      <c r="RE12" s="101"/>
      <c r="RF12" s="101"/>
      <c r="RG12" s="101"/>
      <c r="RH12" s="101"/>
      <c r="RI12" s="101"/>
      <c r="RJ12" s="101"/>
      <c r="RK12" s="101"/>
      <c r="RL12" s="101"/>
      <c r="RM12" s="101"/>
      <c r="RN12" s="101"/>
      <c r="RO12" s="101"/>
      <c r="RP12" s="101"/>
      <c r="RQ12" s="101"/>
      <c r="RR12" s="101"/>
      <c r="RS12" s="101"/>
      <c r="RT12" s="101"/>
      <c r="RU12" s="101"/>
      <c r="RV12" s="101"/>
      <c r="RW12" s="101"/>
      <c r="RX12" s="101"/>
      <c r="RY12" s="101"/>
      <c r="RZ12" s="101"/>
      <c r="SA12" s="101"/>
      <c r="SB12" s="101"/>
      <c r="SC12" s="101"/>
      <c r="SD12" s="101"/>
      <c r="SE12" s="101"/>
      <c r="SF12" s="101"/>
      <c r="SG12" s="101"/>
      <c r="SH12" s="101"/>
      <c r="SI12" s="101"/>
      <c r="SJ12" s="101"/>
      <c r="SK12" s="101"/>
      <c r="SL12" s="101"/>
      <c r="SM12" s="101"/>
      <c r="SN12" s="101"/>
      <c r="SO12" s="101"/>
      <c r="SP12" s="101"/>
      <c r="SQ12" s="101"/>
      <c r="SR12" s="101"/>
      <c r="SS12" s="101"/>
      <c r="ST12" s="101"/>
      <c r="SU12" s="101"/>
      <c r="SV12" s="101"/>
      <c r="SW12" s="101"/>
      <c r="SX12" s="101"/>
      <c r="SY12" s="101"/>
      <c r="SZ12" s="101"/>
      <c r="TA12" s="101"/>
      <c r="TB12" s="101"/>
      <c r="TC12" s="101"/>
      <c r="TD12" s="101"/>
      <c r="TE12" s="101"/>
      <c r="TF12" s="101"/>
      <c r="TG12" s="101"/>
      <c r="TH12" s="101"/>
      <c r="TI12" s="101"/>
      <c r="TJ12" s="101"/>
      <c r="TK12" s="101"/>
      <c r="TL12" s="101"/>
      <c r="TM12" s="101"/>
      <c r="TN12" s="101"/>
      <c r="TO12" s="101"/>
      <c r="TP12" s="101"/>
      <c r="TQ12" s="101"/>
      <c r="TR12" s="101"/>
      <c r="TS12" s="101"/>
      <c r="TT12" s="101"/>
      <c r="TU12" s="101"/>
      <c r="TV12" s="101"/>
      <c r="TW12" s="101"/>
      <c r="TX12" s="101"/>
      <c r="TY12" s="101"/>
      <c r="TZ12" s="101"/>
      <c r="UA12" s="101"/>
      <c r="UB12" s="101"/>
      <c r="UC12" s="101"/>
      <c r="UD12" s="101"/>
      <c r="UE12" s="101"/>
      <c r="UF12" s="101"/>
      <c r="UG12" s="101"/>
      <c r="UH12" s="101"/>
      <c r="UI12" s="101"/>
      <c r="UJ12" s="101"/>
      <c r="UK12" s="101"/>
      <c r="UL12" s="101"/>
      <c r="UM12" s="101"/>
      <c r="UN12" s="101"/>
      <c r="UO12" s="101"/>
      <c r="UP12" s="101"/>
      <c r="UQ12" s="101"/>
      <c r="UR12" s="101"/>
      <c r="US12" s="101"/>
      <c r="UT12" s="101"/>
      <c r="UU12" s="101"/>
      <c r="UV12" s="101"/>
      <c r="UW12" s="101"/>
      <c r="UX12" s="101"/>
      <c r="UY12" s="101"/>
      <c r="UZ12" s="101"/>
      <c r="VA12" s="101"/>
      <c r="VB12" s="101"/>
      <c r="VC12" s="101"/>
      <c r="VD12" s="101"/>
      <c r="VE12" s="101"/>
      <c r="VF12" s="101"/>
      <c r="VG12" s="101"/>
      <c r="VH12" s="101"/>
      <c r="VI12" s="101"/>
      <c r="VJ12" s="101"/>
      <c r="VK12" s="101"/>
      <c r="VL12" s="101"/>
      <c r="VM12" s="101"/>
      <c r="VN12" s="101"/>
      <c r="VO12" s="101"/>
      <c r="VP12" s="101"/>
      <c r="VQ12" s="101"/>
      <c r="VR12" s="101"/>
      <c r="VS12" s="101"/>
      <c r="VT12" s="101"/>
      <c r="VU12" s="101"/>
      <c r="VV12" s="101"/>
      <c r="VW12" s="101"/>
      <c r="VX12" s="101"/>
      <c r="VY12" s="101"/>
      <c r="VZ12" s="101"/>
      <c r="WA12" s="101"/>
      <c r="WB12" s="101"/>
      <c r="WC12" s="101"/>
      <c r="WD12" s="101"/>
      <c r="WE12" s="101"/>
      <c r="WF12" s="101"/>
      <c r="WG12" s="101"/>
      <c r="WH12" s="101"/>
      <c r="WI12" s="101"/>
      <c r="WJ12" s="101"/>
      <c r="WK12" s="101"/>
      <c r="WL12" s="101"/>
      <c r="WM12" s="101"/>
      <c r="WN12" s="101"/>
      <c r="WO12" s="101"/>
      <c r="WP12" s="101"/>
      <c r="WQ12" s="101"/>
      <c r="WR12" s="101"/>
      <c r="WS12" s="101"/>
      <c r="WT12" s="101"/>
      <c r="WU12" s="101"/>
      <c r="WV12" s="101"/>
      <c r="WW12" s="101"/>
      <c r="WX12" s="101"/>
      <c r="WY12" s="101"/>
      <c r="WZ12" s="101"/>
      <c r="XA12" s="101"/>
      <c r="XB12" s="101"/>
      <c r="XC12" s="101"/>
      <c r="XD12" s="101"/>
      <c r="XE12" s="101"/>
      <c r="XF12" s="101"/>
      <c r="XG12" s="101"/>
      <c r="XH12" s="101"/>
      <c r="XI12" s="101"/>
      <c r="XJ12" s="101"/>
      <c r="XK12" s="101"/>
      <c r="XL12" s="101"/>
      <c r="XM12" s="101"/>
      <c r="XN12" s="101"/>
      <c r="XO12" s="101"/>
      <c r="XP12" s="101"/>
      <c r="XQ12" s="101"/>
      <c r="XR12" s="101"/>
      <c r="XS12" s="101"/>
      <c r="XT12" s="101"/>
      <c r="XU12" s="101"/>
      <c r="XV12" s="101"/>
      <c r="XW12" s="101"/>
      <c r="XX12" s="101"/>
      <c r="XY12" s="101"/>
      <c r="XZ12" s="101"/>
      <c r="YA12" s="101"/>
      <c r="YB12" s="101"/>
      <c r="YC12" s="101"/>
      <c r="YD12" s="101"/>
      <c r="YE12" s="101"/>
      <c r="YF12" s="101"/>
      <c r="YG12" s="101"/>
      <c r="YH12" s="101"/>
      <c r="YI12" s="101"/>
      <c r="YJ12" s="101"/>
      <c r="YK12" s="101"/>
      <c r="YL12" s="101"/>
      <c r="YM12" s="101"/>
      <c r="YN12" s="101"/>
      <c r="YO12" s="101"/>
      <c r="YP12" s="101"/>
      <c r="YQ12" s="101"/>
      <c r="YR12" s="101"/>
      <c r="YS12" s="101"/>
      <c r="YT12" s="101"/>
      <c r="YU12" s="101"/>
      <c r="YV12" s="101"/>
      <c r="YW12" s="101"/>
      <c r="YX12" s="101"/>
      <c r="YY12" s="101"/>
      <c r="YZ12" s="101"/>
      <c r="ZA12" s="101"/>
      <c r="ZB12" s="101"/>
      <c r="ZC12" s="101"/>
      <c r="ZD12" s="101"/>
      <c r="ZE12" s="101"/>
      <c r="ZF12" s="101"/>
      <c r="ZG12" s="101"/>
      <c r="ZH12" s="101"/>
    </row>
    <row r="13" spans="1:684">
      <c r="A13" s="75" t="s">
        <v>51</v>
      </c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>
        <v>10</v>
      </c>
      <c r="BP13" s="101">
        <v>10</v>
      </c>
      <c r="BQ13" s="101"/>
      <c r="BR13" s="101">
        <v>10</v>
      </c>
      <c r="BS13" s="101">
        <v>10</v>
      </c>
      <c r="BT13" s="101">
        <v>10</v>
      </c>
      <c r="BU13" s="101">
        <v>10</v>
      </c>
      <c r="BV13" s="101">
        <v>10</v>
      </c>
      <c r="BW13" s="101">
        <v>10</v>
      </c>
      <c r="BX13" s="101"/>
      <c r="BY13" s="101">
        <v>10</v>
      </c>
      <c r="BZ13" s="101">
        <v>10</v>
      </c>
      <c r="CA13" s="101">
        <v>10</v>
      </c>
      <c r="CB13" s="101">
        <v>10</v>
      </c>
      <c r="CC13" s="101">
        <v>10</v>
      </c>
      <c r="CD13" s="101">
        <v>10</v>
      </c>
      <c r="CE13" s="101"/>
      <c r="CF13" s="101">
        <v>10</v>
      </c>
      <c r="CG13" s="101">
        <v>10</v>
      </c>
      <c r="CH13" s="101">
        <v>10</v>
      </c>
      <c r="CI13" s="101">
        <v>10</v>
      </c>
      <c r="CJ13" s="101">
        <v>10</v>
      </c>
      <c r="CK13" s="101">
        <v>10</v>
      </c>
      <c r="CL13" s="101"/>
      <c r="CM13" s="101"/>
      <c r="CN13" s="101"/>
      <c r="CO13" s="101"/>
      <c r="CP13" s="101"/>
      <c r="CQ13" s="101"/>
      <c r="CR13" s="101"/>
      <c r="CS13" s="101"/>
      <c r="CT13" s="101"/>
      <c r="CU13" s="101"/>
      <c r="CV13" s="101">
        <v>10</v>
      </c>
      <c r="CW13" s="101">
        <v>10</v>
      </c>
      <c r="CX13" s="101">
        <v>10</v>
      </c>
      <c r="CY13" s="101">
        <v>10</v>
      </c>
      <c r="CZ13" s="101"/>
      <c r="DA13" s="101">
        <v>10</v>
      </c>
      <c r="DB13" s="101">
        <v>30</v>
      </c>
      <c r="DC13" s="101">
        <v>30</v>
      </c>
      <c r="DD13" s="101">
        <v>40</v>
      </c>
      <c r="DE13" s="101">
        <v>40</v>
      </c>
      <c r="DF13" s="101">
        <v>40</v>
      </c>
      <c r="DG13" s="101"/>
      <c r="DH13" s="101">
        <v>40</v>
      </c>
      <c r="DI13" s="101">
        <v>40</v>
      </c>
      <c r="DJ13" s="101">
        <v>40</v>
      </c>
      <c r="DK13" s="101">
        <v>40</v>
      </c>
      <c r="DL13" s="101">
        <v>40</v>
      </c>
      <c r="DM13" s="101">
        <v>20</v>
      </c>
      <c r="DN13" s="101"/>
      <c r="DO13" s="101">
        <v>20</v>
      </c>
      <c r="DP13" s="101">
        <v>20</v>
      </c>
      <c r="DQ13" s="101">
        <v>20</v>
      </c>
      <c r="DR13" s="101">
        <v>10</v>
      </c>
      <c r="DS13" s="101"/>
      <c r="DT13" s="101"/>
      <c r="DU13" s="101"/>
      <c r="DV13" s="101"/>
      <c r="DW13" s="101"/>
      <c r="DX13" s="101"/>
      <c r="DY13" s="101"/>
      <c r="DZ13" s="101"/>
      <c r="EA13" s="101"/>
      <c r="EB13" s="101"/>
      <c r="EC13" s="101"/>
      <c r="ED13" s="101"/>
      <c r="EE13" s="101"/>
      <c r="EF13" s="101"/>
      <c r="EG13" s="101">
        <v>20</v>
      </c>
      <c r="EH13" s="101">
        <v>20</v>
      </c>
      <c r="EI13" s="101"/>
      <c r="EJ13" s="101">
        <v>20</v>
      </c>
      <c r="EK13" s="101">
        <v>20</v>
      </c>
      <c r="EL13" s="101">
        <v>20</v>
      </c>
      <c r="EM13" s="101">
        <v>30</v>
      </c>
      <c r="EN13" s="101">
        <v>30</v>
      </c>
      <c r="EO13" s="101">
        <v>30</v>
      </c>
      <c r="EP13" s="101"/>
      <c r="EQ13" s="101">
        <v>30</v>
      </c>
      <c r="ER13" s="101">
        <v>30</v>
      </c>
      <c r="ES13" s="101">
        <v>10</v>
      </c>
      <c r="ET13" s="101">
        <v>10</v>
      </c>
      <c r="EU13" s="101">
        <v>10</v>
      </c>
      <c r="EV13" s="101">
        <v>10</v>
      </c>
      <c r="EW13" s="101"/>
      <c r="EX13" s="101">
        <v>10</v>
      </c>
      <c r="EY13" s="101">
        <v>10</v>
      </c>
      <c r="EZ13" s="101">
        <v>10</v>
      </c>
      <c r="FA13" s="101"/>
      <c r="FB13" s="101"/>
      <c r="FC13" s="101"/>
      <c r="FD13" s="101"/>
      <c r="FE13" s="101"/>
      <c r="FF13" s="101"/>
      <c r="FG13" s="101"/>
      <c r="FH13" s="101"/>
      <c r="FI13" s="101"/>
      <c r="FJ13" s="101"/>
      <c r="FK13" s="101"/>
      <c r="FL13" s="101"/>
      <c r="FM13" s="101"/>
      <c r="FN13" s="101"/>
      <c r="FO13" s="101"/>
      <c r="FP13" s="101"/>
      <c r="FQ13" s="101"/>
      <c r="FR13" s="101"/>
      <c r="FS13" s="101"/>
      <c r="FT13" s="101"/>
      <c r="FU13" s="101"/>
      <c r="FV13" s="101"/>
      <c r="FW13" s="101"/>
      <c r="FX13" s="101"/>
      <c r="FY13" s="101"/>
      <c r="FZ13" s="101"/>
      <c r="GA13" s="101"/>
      <c r="GB13" s="101"/>
      <c r="GC13" s="101"/>
      <c r="GD13" s="101"/>
      <c r="GE13" s="101"/>
      <c r="GF13" s="101"/>
      <c r="GG13" s="101"/>
      <c r="GH13" s="101"/>
      <c r="GI13" s="101"/>
      <c r="GJ13" s="101"/>
      <c r="GK13" s="101"/>
      <c r="GL13" s="101"/>
      <c r="GM13" s="101"/>
      <c r="GN13" s="101"/>
      <c r="GO13" s="101"/>
      <c r="GP13" s="101"/>
      <c r="GQ13" s="101"/>
      <c r="GR13" s="101"/>
      <c r="GS13" s="101"/>
      <c r="GT13" s="101"/>
      <c r="GU13" s="101"/>
      <c r="GV13" s="101"/>
      <c r="GW13" s="101"/>
      <c r="GX13" s="101"/>
      <c r="GY13" s="101"/>
      <c r="GZ13" s="101"/>
      <c r="HA13" s="101"/>
      <c r="HB13" s="101"/>
      <c r="HC13" s="101"/>
      <c r="HD13" s="101"/>
      <c r="HE13" s="101"/>
      <c r="HF13" s="101"/>
      <c r="HG13" s="101"/>
      <c r="HH13" s="101"/>
      <c r="HI13" s="101"/>
      <c r="HJ13" s="101"/>
      <c r="HK13" s="101"/>
      <c r="HL13" s="101"/>
      <c r="HM13" s="101"/>
      <c r="HN13" s="101"/>
      <c r="HO13" s="101"/>
      <c r="HP13" s="101"/>
      <c r="HQ13" s="101"/>
      <c r="HR13" s="101"/>
      <c r="HS13" s="101"/>
      <c r="HT13" s="101"/>
      <c r="HU13" s="101"/>
      <c r="HV13" s="101"/>
      <c r="HW13" s="101"/>
      <c r="HX13" s="101"/>
      <c r="HY13" s="101"/>
      <c r="HZ13" s="101"/>
      <c r="IA13" s="101"/>
      <c r="IB13" s="101"/>
      <c r="IC13" s="101"/>
      <c r="ID13" s="101"/>
      <c r="IE13" s="101"/>
      <c r="IF13" s="101"/>
      <c r="IG13" s="101"/>
      <c r="IH13" s="101"/>
      <c r="II13" s="101"/>
      <c r="IJ13" s="101"/>
      <c r="IK13" s="101"/>
      <c r="IL13" s="101"/>
      <c r="IM13" s="101"/>
      <c r="IN13" s="101"/>
      <c r="IO13" s="101"/>
      <c r="IP13" s="101"/>
      <c r="IQ13" s="101"/>
      <c r="IR13" s="101"/>
      <c r="IS13" s="101"/>
      <c r="IT13" s="101"/>
      <c r="IU13" s="101"/>
      <c r="IV13" s="101"/>
      <c r="IW13" s="101"/>
      <c r="IX13" s="101"/>
      <c r="IY13" s="101"/>
      <c r="IZ13" s="101"/>
      <c r="JA13" s="101"/>
      <c r="JB13" s="101"/>
      <c r="JC13" s="101"/>
      <c r="JD13" s="101"/>
      <c r="JE13" s="101"/>
      <c r="JF13" s="101"/>
      <c r="JG13" s="101"/>
      <c r="JH13" s="101"/>
      <c r="JI13" s="101"/>
      <c r="JJ13" s="101"/>
      <c r="JK13" s="101"/>
      <c r="JL13" s="101"/>
      <c r="JM13" s="101"/>
      <c r="JN13" s="101"/>
      <c r="JO13" s="101"/>
      <c r="JP13" s="101"/>
      <c r="JQ13" s="101"/>
      <c r="JR13" s="101"/>
      <c r="JS13" s="101"/>
      <c r="JT13" s="101"/>
      <c r="JU13" s="101"/>
      <c r="JV13" s="101"/>
      <c r="JW13" s="101"/>
      <c r="JX13" s="101"/>
      <c r="JY13" s="101"/>
      <c r="JZ13" s="101"/>
      <c r="KA13" s="101"/>
      <c r="KB13" s="101"/>
      <c r="KC13" s="101"/>
      <c r="KD13" s="101"/>
      <c r="KE13" s="101"/>
      <c r="KF13" s="101"/>
      <c r="KG13" s="101"/>
      <c r="KH13" s="101"/>
      <c r="KI13" s="101"/>
      <c r="KJ13" s="101"/>
      <c r="KK13" s="101"/>
      <c r="KL13" s="101"/>
      <c r="KM13" s="101"/>
      <c r="KN13" s="101"/>
      <c r="KO13" s="101"/>
      <c r="KP13" s="101"/>
      <c r="KQ13" s="101"/>
      <c r="KR13" s="101"/>
      <c r="KS13" s="101"/>
      <c r="KT13" s="101"/>
      <c r="KU13" s="101"/>
      <c r="KV13" s="101"/>
      <c r="KW13" s="101"/>
      <c r="KX13" s="101"/>
      <c r="KY13" s="101"/>
      <c r="KZ13" s="101"/>
      <c r="LA13" s="101"/>
      <c r="LB13" s="101"/>
      <c r="LC13" s="101"/>
      <c r="LD13" s="101"/>
      <c r="LE13" s="101"/>
      <c r="LF13" s="101"/>
      <c r="LG13" s="101"/>
      <c r="LH13" s="101"/>
      <c r="LI13" s="101"/>
      <c r="LJ13" s="101"/>
      <c r="LK13" s="101"/>
      <c r="LL13" s="101"/>
      <c r="LM13" s="101"/>
      <c r="LN13" s="101"/>
      <c r="LO13" s="101"/>
      <c r="LP13" s="101"/>
      <c r="LQ13" s="101"/>
      <c r="LR13" s="101"/>
      <c r="LS13" s="101"/>
      <c r="LT13" s="101"/>
      <c r="LU13" s="101"/>
      <c r="LV13" s="101"/>
      <c r="LW13" s="101"/>
      <c r="LX13" s="101"/>
      <c r="LY13" s="101"/>
      <c r="LZ13" s="101"/>
      <c r="MA13" s="101"/>
      <c r="MB13" s="101"/>
      <c r="MC13" s="101"/>
      <c r="MD13" s="101"/>
      <c r="ME13" s="101"/>
      <c r="MF13" s="101"/>
      <c r="MG13" s="101"/>
      <c r="MH13" s="101"/>
      <c r="MI13" s="101"/>
      <c r="MJ13" s="101"/>
      <c r="MK13" s="101"/>
      <c r="ML13" s="101"/>
      <c r="MM13" s="101"/>
      <c r="MN13" s="101"/>
      <c r="MO13" s="101"/>
      <c r="MP13" s="101"/>
      <c r="MQ13" s="101"/>
      <c r="MR13" s="101"/>
      <c r="MS13" s="101"/>
      <c r="MT13" s="101"/>
      <c r="MU13" s="101"/>
      <c r="MV13" s="101"/>
      <c r="MW13" s="101"/>
      <c r="MX13" s="101"/>
      <c r="MY13" s="101"/>
      <c r="MZ13" s="101"/>
      <c r="NA13" s="101"/>
      <c r="NB13" s="101"/>
      <c r="NC13" s="101"/>
      <c r="ND13" s="101"/>
      <c r="NE13" s="101"/>
      <c r="NF13" s="101"/>
      <c r="NG13" s="101"/>
      <c r="NH13" s="101"/>
      <c r="NI13" s="101"/>
      <c r="NJ13" s="101"/>
      <c r="NK13" s="101"/>
      <c r="NL13" s="101"/>
      <c r="NM13" s="101"/>
      <c r="NN13" s="101"/>
      <c r="NO13" s="101"/>
      <c r="NP13" s="101"/>
      <c r="NQ13" s="101"/>
      <c r="NR13" s="101"/>
      <c r="NS13" s="101"/>
      <c r="NT13" s="101"/>
      <c r="NU13" s="101"/>
      <c r="NV13" s="101"/>
      <c r="NW13" s="101"/>
      <c r="NX13" s="101"/>
      <c r="NY13" s="101"/>
      <c r="NZ13" s="101"/>
      <c r="OA13" s="101"/>
      <c r="OB13" s="101"/>
      <c r="OC13" s="101"/>
      <c r="OD13" s="101"/>
      <c r="OE13" s="101"/>
      <c r="OF13" s="101"/>
      <c r="OG13" s="101"/>
      <c r="OH13" s="101"/>
      <c r="OI13" s="101"/>
      <c r="OJ13" s="101"/>
      <c r="OK13" s="101"/>
      <c r="OL13" s="101"/>
      <c r="OM13" s="101"/>
      <c r="ON13" s="101"/>
      <c r="OO13" s="101"/>
      <c r="OP13" s="101"/>
      <c r="OQ13" s="101"/>
      <c r="OR13" s="101"/>
      <c r="OS13" s="101"/>
      <c r="OT13" s="101"/>
      <c r="OU13" s="101"/>
      <c r="OV13" s="101"/>
      <c r="OW13" s="101"/>
      <c r="OX13" s="101"/>
      <c r="OY13" s="101"/>
      <c r="OZ13" s="101"/>
      <c r="PA13" s="101"/>
      <c r="PB13" s="101"/>
      <c r="PC13" s="101"/>
      <c r="PD13" s="101"/>
      <c r="PE13" s="101"/>
      <c r="PF13" s="101"/>
      <c r="PG13" s="101"/>
      <c r="PH13" s="101"/>
      <c r="PI13" s="101"/>
      <c r="PJ13" s="101"/>
      <c r="PK13" s="101"/>
      <c r="PL13" s="101"/>
      <c r="PM13" s="101"/>
      <c r="PN13" s="101"/>
      <c r="PO13" s="101"/>
      <c r="PP13" s="101"/>
      <c r="PQ13" s="101"/>
      <c r="PR13" s="101"/>
      <c r="PS13" s="101"/>
      <c r="PT13" s="101"/>
      <c r="PU13" s="101"/>
      <c r="PV13" s="101"/>
      <c r="PW13" s="101"/>
      <c r="PX13" s="101"/>
      <c r="PY13" s="101"/>
      <c r="PZ13" s="101"/>
      <c r="QA13" s="101"/>
      <c r="QB13" s="101"/>
      <c r="QC13" s="101"/>
      <c r="QD13" s="101"/>
      <c r="QE13" s="101"/>
      <c r="QF13" s="101"/>
      <c r="QG13" s="101"/>
      <c r="QH13" s="101"/>
      <c r="QI13" s="101"/>
      <c r="QJ13" s="101"/>
      <c r="QK13" s="101"/>
      <c r="QL13" s="101"/>
      <c r="QM13" s="101"/>
      <c r="QN13" s="101"/>
      <c r="QO13" s="101"/>
      <c r="QP13" s="101"/>
      <c r="QQ13" s="101"/>
      <c r="QR13" s="101"/>
      <c r="QS13" s="101"/>
      <c r="QT13" s="101"/>
      <c r="QU13" s="101"/>
      <c r="QV13" s="101"/>
      <c r="QW13" s="101"/>
      <c r="QX13" s="101"/>
      <c r="QY13" s="101"/>
      <c r="QZ13" s="101"/>
      <c r="RA13" s="101"/>
      <c r="RB13" s="101"/>
      <c r="RC13" s="101"/>
      <c r="RD13" s="101"/>
      <c r="RE13" s="101"/>
      <c r="RF13" s="101"/>
      <c r="RG13" s="101"/>
      <c r="RH13" s="101"/>
      <c r="RI13" s="101"/>
      <c r="RJ13" s="101"/>
      <c r="RK13" s="101"/>
      <c r="RL13" s="101"/>
      <c r="RM13" s="101"/>
      <c r="RN13" s="101"/>
      <c r="RO13" s="101"/>
      <c r="RP13" s="101"/>
      <c r="RQ13" s="101"/>
      <c r="RR13" s="101"/>
      <c r="RS13" s="101"/>
      <c r="RT13" s="101"/>
      <c r="RU13" s="101"/>
      <c r="RV13" s="101"/>
      <c r="RW13" s="101"/>
      <c r="RX13" s="101"/>
      <c r="RY13" s="101"/>
      <c r="RZ13" s="101"/>
      <c r="SA13" s="101"/>
      <c r="SB13" s="101"/>
      <c r="SC13" s="101"/>
      <c r="SD13" s="101"/>
      <c r="SE13" s="101"/>
      <c r="SF13" s="101"/>
      <c r="SG13" s="101"/>
      <c r="SH13" s="101"/>
      <c r="SI13" s="101"/>
      <c r="SJ13" s="101"/>
      <c r="SK13" s="101"/>
      <c r="SL13" s="101"/>
      <c r="SM13" s="101"/>
      <c r="SN13" s="101"/>
      <c r="SO13" s="101"/>
      <c r="SP13" s="101"/>
      <c r="SQ13" s="101"/>
      <c r="SR13" s="101"/>
      <c r="SS13" s="101"/>
      <c r="ST13" s="101"/>
      <c r="SU13" s="101"/>
      <c r="SV13" s="101"/>
      <c r="SW13" s="101"/>
      <c r="SX13" s="101"/>
      <c r="SY13" s="101"/>
      <c r="SZ13" s="101"/>
      <c r="TA13" s="101"/>
      <c r="TB13" s="101"/>
      <c r="TC13" s="101"/>
      <c r="TD13" s="101"/>
      <c r="TE13" s="101"/>
      <c r="TF13" s="101"/>
      <c r="TG13" s="101"/>
      <c r="TH13" s="101"/>
      <c r="TI13" s="101"/>
      <c r="TJ13" s="101"/>
      <c r="TK13" s="101"/>
      <c r="TL13" s="101"/>
      <c r="TM13" s="101"/>
      <c r="TN13" s="101"/>
      <c r="TO13" s="101"/>
      <c r="TP13" s="101"/>
      <c r="TQ13" s="101"/>
      <c r="TR13" s="101"/>
      <c r="TS13" s="101"/>
      <c r="TT13" s="101"/>
      <c r="TU13" s="101"/>
      <c r="TV13" s="101"/>
      <c r="TW13" s="101"/>
      <c r="TX13" s="101"/>
      <c r="TY13" s="101"/>
      <c r="TZ13" s="101"/>
      <c r="UA13" s="101"/>
      <c r="UB13" s="101"/>
      <c r="UC13" s="101"/>
      <c r="UD13" s="101"/>
      <c r="UE13" s="101"/>
      <c r="UF13" s="101"/>
      <c r="UG13" s="101"/>
      <c r="UH13" s="101"/>
      <c r="UI13" s="101"/>
      <c r="UJ13" s="101"/>
      <c r="UK13" s="101"/>
      <c r="UL13" s="101"/>
      <c r="UM13" s="101"/>
      <c r="UN13" s="101"/>
      <c r="UO13" s="101"/>
      <c r="UP13" s="101"/>
      <c r="UQ13" s="101"/>
      <c r="UR13" s="101"/>
      <c r="US13" s="101"/>
      <c r="UT13" s="101"/>
      <c r="UU13" s="101"/>
      <c r="UV13" s="101"/>
      <c r="UW13" s="101"/>
      <c r="UX13" s="101"/>
      <c r="UY13" s="101"/>
      <c r="UZ13" s="101"/>
      <c r="VA13" s="101"/>
      <c r="VB13" s="101"/>
      <c r="VC13" s="101"/>
      <c r="VD13" s="101"/>
      <c r="VE13" s="101"/>
      <c r="VF13" s="101"/>
      <c r="VG13" s="101"/>
      <c r="VH13" s="101"/>
      <c r="VI13" s="101"/>
      <c r="VJ13" s="101"/>
      <c r="VK13" s="101"/>
      <c r="VL13" s="101"/>
      <c r="VM13" s="101"/>
      <c r="VN13" s="101"/>
      <c r="VO13" s="101"/>
      <c r="VP13" s="101"/>
      <c r="VQ13" s="101"/>
      <c r="VR13" s="101"/>
      <c r="VS13" s="101"/>
      <c r="VT13" s="101"/>
      <c r="VU13" s="101"/>
      <c r="VV13" s="101"/>
      <c r="VW13" s="101"/>
      <c r="VX13" s="101"/>
      <c r="VY13" s="101"/>
      <c r="VZ13" s="101"/>
      <c r="WA13" s="101"/>
      <c r="WB13" s="101"/>
      <c r="WC13" s="101"/>
      <c r="WD13" s="101"/>
      <c r="WE13" s="101"/>
      <c r="WF13" s="101"/>
      <c r="WG13" s="101"/>
      <c r="WH13" s="101"/>
      <c r="WI13" s="101"/>
      <c r="WJ13" s="101"/>
      <c r="WK13" s="101"/>
      <c r="WL13" s="101"/>
      <c r="WM13" s="101"/>
      <c r="WN13" s="101"/>
      <c r="WO13" s="101"/>
      <c r="WP13" s="101"/>
      <c r="WQ13" s="101"/>
      <c r="WR13" s="101"/>
      <c r="WS13" s="101"/>
      <c r="WT13" s="101"/>
      <c r="WU13" s="101"/>
      <c r="WV13" s="101"/>
      <c r="WW13" s="101"/>
      <c r="WX13" s="101"/>
      <c r="WY13" s="101"/>
      <c r="WZ13" s="101"/>
      <c r="XA13" s="101"/>
      <c r="XB13" s="101"/>
      <c r="XC13" s="101"/>
      <c r="XD13" s="101"/>
      <c r="XE13" s="101"/>
      <c r="XF13" s="101"/>
      <c r="XG13" s="101"/>
      <c r="XH13" s="101"/>
      <c r="XI13" s="101"/>
      <c r="XJ13" s="101"/>
      <c r="XK13" s="101"/>
      <c r="XL13" s="101"/>
      <c r="XM13" s="101"/>
      <c r="XN13" s="101"/>
      <c r="XO13" s="101"/>
      <c r="XP13" s="101"/>
      <c r="XQ13" s="101"/>
      <c r="XR13" s="101"/>
      <c r="XS13" s="101"/>
      <c r="XT13" s="101"/>
      <c r="XU13" s="101"/>
      <c r="XV13" s="101"/>
      <c r="XW13" s="101"/>
      <c r="XX13" s="101"/>
      <c r="XY13" s="101"/>
      <c r="XZ13" s="101"/>
      <c r="YA13" s="101"/>
      <c r="YB13" s="101"/>
      <c r="YC13" s="101"/>
      <c r="YD13" s="101"/>
      <c r="YE13" s="101"/>
      <c r="YF13" s="101"/>
      <c r="YG13" s="101"/>
      <c r="YH13" s="101"/>
      <c r="YI13" s="101"/>
      <c r="YJ13" s="101"/>
      <c r="YK13" s="101"/>
      <c r="YL13" s="101"/>
      <c r="YM13" s="101"/>
      <c r="YN13" s="101"/>
      <c r="YO13" s="101"/>
      <c r="YP13" s="101"/>
      <c r="YQ13" s="101"/>
      <c r="YR13" s="101"/>
      <c r="YS13" s="101"/>
      <c r="YT13" s="101"/>
      <c r="YU13" s="101"/>
      <c r="YV13" s="101"/>
      <c r="YW13" s="101"/>
      <c r="YX13" s="101"/>
      <c r="YY13" s="101"/>
      <c r="YZ13" s="101"/>
      <c r="ZA13" s="101"/>
      <c r="ZB13" s="101"/>
      <c r="ZC13" s="101"/>
      <c r="ZD13" s="101"/>
      <c r="ZE13" s="101"/>
      <c r="ZF13" s="101"/>
      <c r="ZG13" s="101"/>
      <c r="ZH13" s="101"/>
    </row>
    <row r="14" spans="1:684">
      <c r="A14" s="75" t="s">
        <v>52</v>
      </c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  <c r="BI14" s="101"/>
      <c r="BJ14" s="101"/>
      <c r="BK14" s="101"/>
      <c r="BL14" s="101"/>
      <c r="BM14" s="101"/>
      <c r="BN14" s="101"/>
      <c r="BO14" s="101"/>
      <c r="BP14" s="101"/>
      <c r="BQ14" s="101"/>
      <c r="BR14" s="101"/>
      <c r="BS14" s="101"/>
      <c r="BT14" s="101"/>
      <c r="BU14" s="101"/>
      <c r="BV14" s="101"/>
      <c r="BW14" s="101"/>
      <c r="BX14" s="101"/>
      <c r="BY14" s="101"/>
      <c r="BZ14" s="101"/>
      <c r="CA14" s="101"/>
      <c r="CB14" s="101"/>
      <c r="CC14" s="101"/>
      <c r="CD14" s="101"/>
      <c r="CE14" s="101"/>
      <c r="CF14" s="101"/>
      <c r="CG14" s="101"/>
      <c r="CH14" s="101"/>
      <c r="CI14" s="101"/>
      <c r="CJ14" s="101"/>
      <c r="CK14" s="101"/>
      <c r="CL14" s="101"/>
      <c r="CM14" s="101"/>
      <c r="CN14" s="101"/>
      <c r="CO14" s="101"/>
      <c r="CP14" s="101"/>
      <c r="CQ14" s="101"/>
      <c r="CR14" s="101"/>
      <c r="CS14" s="101"/>
      <c r="CT14" s="101"/>
      <c r="CU14" s="101"/>
      <c r="CV14" s="101"/>
      <c r="CW14" s="101"/>
      <c r="CX14" s="101"/>
      <c r="CY14" s="101"/>
      <c r="CZ14" s="101"/>
      <c r="DA14" s="101"/>
      <c r="DB14" s="101"/>
      <c r="DC14" s="101"/>
      <c r="DD14" s="101"/>
      <c r="DE14" s="101"/>
      <c r="DF14" s="101"/>
      <c r="DG14" s="101"/>
      <c r="DH14" s="101"/>
      <c r="DI14" s="101"/>
      <c r="DJ14" s="101"/>
      <c r="DK14" s="101"/>
      <c r="DL14" s="101"/>
      <c r="DM14" s="101"/>
      <c r="DN14" s="101"/>
      <c r="DO14" s="101"/>
      <c r="DP14" s="101"/>
      <c r="DQ14" s="101"/>
      <c r="DR14" s="101"/>
      <c r="DS14" s="101"/>
      <c r="DT14" s="101"/>
      <c r="DU14" s="101"/>
      <c r="DV14" s="101"/>
      <c r="DW14" s="101"/>
      <c r="DX14" s="101"/>
      <c r="DY14" s="101"/>
      <c r="DZ14" s="101"/>
      <c r="EA14" s="101"/>
      <c r="EB14" s="101"/>
      <c r="EC14" s="101"/>
      <c r="ED14" s="101"/>
      <c r="EE14" s="101"/>
      <c r="EF14" s="101"/>
      <c r="EG14" s="101"/>
      <c r="EH14" s="101"/>
      <c r="EI14" s="101"/>
      <c r="EJ14" s="101"/>
      <c r="EK14" s="101"/>
      <c r="EL14" s="101"/>
      <c r="EM14" s="101"/>
      <c r="EN14" s="101"/>
      <c r="EO14" s="101"/>
      <c r="EP14" s="101"/>
      <c r="EQ14" s="101"/>
      <c r="ER14" s="101"/>
      <c r="ES14" s="101"/>
      <c r="ET14" s="101"/>
      <c r="EU14" s="101"/>
      <c r="EV14" s="101"/>
      <c r="EW14" s="101"/>
      <c r="EX14" s="101"/>
      <c r="EY14" s="101"/>
      <c r="EZ14" s="101"/>
      <c r="FA14" s="101"/>
      <c r="FB14" s="101"/>
      <c r="FC14" s="101"/>
      <c r="FD14" s="101"/>
      <c r="FE14" s="101"/>
      <c r="FF14" s="101"/>
      <c r="FG14" s="101"/>
      <c r="FH14" s="101"/>
      <c r="FI14" s="101"/>
      <c r="FJ14" s="101"/>
      <c r="FK14" s="101"/>
      <c r="FL14" s="101"/>
      <c r="FM14" s="101"/>
      <c r="FN14" s="101"/>
      <c r="FO14" s="101"/>
      <c r="FP14" s="101"/>
      <c r="FQ14" s="101"/>
      <c r="FR14" s="101"/>
      <c r="FS14" s="101"/>
      <c r="FT14" s="101"/>
      <c r="FU14" s="101"/>
      <c r="FV14" s="101"/>
      <c r="FW14" s="101"/>
      <c r="FX14" s="101"/>
      <c r="FY14" s="101"/>
      <c r="FZ14" s="101"/>
      <c r="GA14" s="101"/>
      <c r="GB14" s="101"/>
      <c r="GC14" s="101"/>
      <c r="GD14" s="101"/>
      <c r="GE14" s="101"/>
      <c r="GF14" s="101"/>
      <c r="GG14" s="101"/>
      <c r="GH14" s="101"/>
      <c r="GI14" s="101"/>
      <c r="GJ14" s="101"/>
      <c r="GK14" s="101"/>
      <c r="GL14" s="101"/>
      <c r="GM14" s="101"/>
      <c r="GN14" s="101"/>
      <c r="GO14" s="101"/>
      <c r="GP14" s="101"/>
      <c r="GQ14" s="101"/>
      <c r="GR14" s="101"/>
      <c r="GS14" s="101"/>
      <c r="GT14" s="101"/>
      <c r="GU14" s="101"/>
      <c r="GV14" s="101"/>
      <c r="GW14" s="101"/>
      <c r="GX14" s="101"/>
      <c r="GY14" s="101"/>
      <c r="GZ14" s="101"/>
      <c r="HA14" s="101"/>
      <c r="HB14" s="101"/>
      <c r="HC14" s="101"/>
      <c r="HD14" s="101"/>
      <c r="HE14" s="101"/>
      <c r="HF14" s="101"/>
      <c r="HG14" s="101"/>
      <c r="HH14" s="101"/>
      <c r="HI14" s="101"/>
      <c r="HJ14" s="101"/>
      <c r="HK14" s="101"/>
      <c r="HL14" s="101"/>
      <c r="HM14" s="101"/>
      <c r="HN14" s="101"/>
      <c r="HO14" s="101"/>
      <c r="HP14" s="101"/>
      <c r="HQ14" s="101"/>
      <c r="HR14" s="101"/>
      <c r="HS14" s="101"/>
      <c r="HT14" s="101"/>
      <c r="HU14" s="101"/>
      <c r="HV14" s="101"/>
      <c r="HW14" s="101"/>
      <c r="HX14" s="101"/>
      <c r="HY14" s="101"/>
      <c r="HZ14" s="101"/>
      <c r="IA14" s="101"/>
      <c r="IB14" s="101"/>
      <c r="IC14" s="101"/>
      <c r="ID14" s="101"/>
      <c r="IE14" s="101"/>
      <c r="IF14" s="101"/>
      <c r="IG14" s="101"/>
      <c r="IH14" s="101"/>
      <c r="II14" s="101"/>
      <c r="IJ14" s="101"/>
      <c r="IK14" s="101"/>
      <c r="IL14" s="101"/>
      <c r="IM14" s="101"/>
      <c r="IN14" s="101"/>
      <c r="IO14" s="101"/>
      <c r="IP14" s="101"/>
      <c r="IQ14" s="101"/>
      <c r="IR14" s="101"/>
      <c r="IS14" s="101"/>
      <c r="IT14" s="101"/>
      <c r="IU14" s="101"/>
      <c r="IV14" s="101"/>
      <c r="IW14" s="101"/>
      <c r="IX14" s="101"/>
      <c r="IY14" s="101"/>
      <c r="IZ14" s="101"/>
      <c r="JA14" s="101"/>
      <c r="JB14" s="101"/>
      <c r="JC14" s="101"/>
      <c r="JD14" s="101"/>
      <c r="JE14" s="101"/>
      <c r="JF14" s="101"/>
      <c r="JG14" s="101"/>
      <c r="JH14" s="101"/>
      <c r="JI14" s="101"/>
      <c r="JJ14" s="101"/>
      <c r="JK14" s="101"/>
      <c r="JL14" s="101"/>
      <c r="JM14" s="101"/>
      <c r="JN14" s="101"/>
      <c r="JO14" s="101"/>
      <c r="JP14" s="101"/>
      <c r="JQ14" s="101"/>
      <c r="JR14" s="101"/>
      <c r="JS14" s="101"/>
      <c r="JT14" s="101"/>
      <c r="JU14" s="101"/>
      <c r="JV14" s="101"/>
      <c r="JW14" s="101"/>
      <c r="JX14" s="101"/>
      <c r="JY14" s="101"/>
      <c r="JZ14" s="101"/>
      <c r="KA14" s="101"/>
      <c r="KB14" s="101"/>
      <c r="KC14" s="101"/>
      <c r="KD14" s="101"/>
      <c r="KE14" s="101"/>
      <c r="KF14" s="101"/>
      <c r="KG14" s="101"/>
      <c r="KH14" s="101"/>
      <c r="KI14" s="101"/>
      <c r="KJ14" s="101"/>
      <c r="KK14" s="101"/>
      <c r="KL14" s="101"/>
      <c r="KM14" s="101"/>
      <c r="KN14" s="101"/>
      <c r="KO14" s="101"/>
      <c r="KP14" s="101"/>
      <c r="KQ14" s="101"/>
      <c r="KR14" s="101"/>
      <c r="KS14" s="101"/>
      <c r="KT14" s="101"/>
      <c r="KU14" s="101"/>
      <c r="KV14" s="101"/>
      <c r="KW14" s="101"/>
      <c r="KX14" s="101"/>
      <c r="KY14" s="101"/>
      <c r="KZ14" s="101"/>
      <c r="LA14" s="101"/>
      <c r="LB14" s="101"/>
      <c r="LC14" s="101"/>
      <c r="LD14" s="101"/>
      <c r="LE14" s="101"/>
      <c r="LF14" s="101"/>
      <c r="LG14" s="101"/>
      <c r="LH14" s="101"/>
      <c r="LI14" s="101"/>
      <c r="LJ14" s="101"/>
      <c r="LK14" s="101"/>
      <c r="LL14" s="101"/>
      <c r="LM14" s="101"/>
      <c r="LN14" s="101"/>
      <c r="LO14" s="101"/>
      <c r="LP14" s="101"/>
      <c r="LQ14" s="101"/>
      <c r="LR14" s="101"/>
      <c r="LS14" s="101"/>
      <c r="LT14" s="101"/>
      <c r="LU14" s="101"/>
      <c r="LV14" s="101"/>
      <c r="LW14" s="101"/>
      <c r="LX14" s="101"/>
      <c r="LY14" s="101"/>
      <c r="LZ14" s="101"/>
      <c r="MA14" s="101"/>
      <c r="MB14" s="101"/>
      <c r="MC14" s="101"/>
      <c r="MD14" s="101"/>
      <c r="ME14" s="101"/>
      <c r="MF14" s="101"/>
      <c r="MG14" s="101"/>
      <c r="MH14" s="101"/>
      <c r="MI14" s="101"/>
      <c r="MJ14" s="101">
        <v>8</v>
      </c>
      <c r="MK14" s="101"/>
      <c r="ML14" s="101">
        <v>40</v>
      </c>
      <c r="MM14" s="101">
        <v>40</v>
      </c>
      <c r="MN14" s="101">
        <v>40</v>
      </c>
      <c r="MO14" s="101">
        <v>41</v>
      </c>
      <c r="MP14" s="101">
        <v>46</v>
      </c>
      <c r="MQ14" s="101">
        <v>46</v>
      </c>
      <c r="MR14" s="101"/>
      <c r="MS14" s="101">
        <v>46</v>
      </c>
      <c r="MT14" s="101">
        <v>46</v>
      </c>
      <c r="MU14" s="101">
        <v>46</v>
      </c>
      <c r="MV14" s="101">
        <v>46</v>
      </c>
      <c r="MW14" s="101">
        <v>46</v>
      </c>
      <c r="MX14" s="101">
        <v>38</v>
      </c>
      <c r="MY14" s="101"/>
      <c r="MZ14" s="101">
        <v>6</v>
      </c>
      <c r="NA14" s="101">
        <v>5</v>
      </c>
      <c r="NB14" s="101"/>
      <c r="NC14" s="101"/>
      <c r="ND14" s="101"/>
      <c r="NE14" s="101"/>
      <c r="NF14" s="101"/>
      <c r="NG14" s="101"/>
      <c r="NH14" s="101"/>
      <c r="NI14" s="101"/>
      <c r="NJ14" s="101">
        <v>8</v>
      </c>
      <c r="NK14" s="101">
        <v>40</v>
      </c>
      <c r="NL14" s="101">
        <v>40</v>
      </c>
      <c r="NM14" s="101"/>
      <c r="NN14" s="101">
        <v>40</v>
      </c>
      <c r="NO14" s="101">
        <v>41</v>
      </c>
      <c r="NP14" s="101">
        <v>46</v>
      </c>
      <c r="NQ14" s="101">
        <v>46</v>
      </c>
      <c r="NR14" s="101">
        <v>46</v>
      </c>
      <c r="NS14" s="101">
        <v>46</v>
      </c>
      <c r="NT14" s="101"/>
      <c r="NU14" s="101">
        <v>54</v>
      </c>
      <c r="NV14" s="101">
        <v>86</v>
      </c>
      <c r="NW14" s="101">
        <v>86</v>
      </c>
      <c r="NX14" s="101">
        <v>82</v>
      </c>
      <c r="NY14" s="101">
        <v>67</v>
      </c>
      <c r="NZ14" s="101">
        <v>71</v>
      </c>
      <c r="OA14" s="101"/>
      <c r="OB14" s="101">
        <v>66</v>
      </c>
      <c r="OC14" s="101">
        <v>66</v>
      </c>
      <c r="OD14" s="101">
        <v>66</v>
      </c>
      <c r="OE14" s="101">
        <v>66</v>
      </c>
      <c r="OF14" s="101">
        <v>66</v>
      </c>
      <c r="OG14" s="101">
        <v>66</v>
      </c>
      <c r="OH14" s="101"/>
      <c r="OI14" s="101">
        <v>58</v>
      </c>
      <c r="OJ14" s="101">
        <v>30</v>
      </c>
      <c r="OK14" s="101">
        <v>45</v>
      </c>
      <c r="OL14" s="101">
        <v>40</v>
      </c>
      <c r="OM14" s="101">
        <v>40</v>
      </c>
      <c r="ON14" s="101">
        <v>40</v>
      </c>
      <c r="OO14" s="101"/>
      <c r="OP14" s="101">
        <v>40</v>
      </c>
      <c r="OQ14" s="101">
        <v>40</v>
      </c>
      <c r="OR14" s="101">
        <v>60</v>
      </c>
      <c r="OS14" s="101">
        <v>60</v>
      </c>
      <c r="OT14" s="101">
        <v>60</v>
      </c>
      <c r="OU14" s="101">
        <v>56</v>
      </c>
      <c r="OV14" s="101"/>
      <c r="OW14" s="101">
        <v>40</v>
      </c>
      <c r="OX14" s="101">
        <v>40</v>
      </c>
      <c r="OY14" s="101">
        <v>40</v>
      </c>
      <c r="OZ14" s="101">
        <v>40</v>
      </c>
      <c r="PA14" s="101">
        <v>44</v>
      </c>
      <c r="PB14" s="101">
        <v>60</v>
      </c>
      <c r="PC14" s="101"/>
      <c r="PD14" s="101">
        <v>60</v>
      </c>
      <c r="PE14" s="101">
        <v>60</v>
      </c>
      <c r="PF14" s="101">
        <v>72</v>
      </c>
      <c r="PG14" s="101">
        <v>68</v>
      </c>
      <c r="PH14" s="101">
        <v>52</v>
      </c>
      <c r="PI14" s="101">
        <v>55</v>
      </c>
      <c r="PJ14" s="101"/>
      <c r="PK14" s="101">
        <v>66</v>
      </c>
      <c r="PL14" s="101">
        <v>66</v>
      </c>
      <c r="PM14" s="101">
        <v>70</v>
      </c>
      <c r="PN14" s="101">
        <v>86</v>
      </c>
      <c r="PO14" s="101">
        <v>66</v>
      </c>
      <c r="PP14" s="101">
        <v>66</v>
      </c>
      <c r="PQ14" s="101"/>
      <c r="PR14" s="101">
        <v>66</v>
      </c>
      <c r="PS14" s="101">
        <v>66</v>
      </c>
      <c r="PT14" s="101">
        <v>66</v>
      </c>
      <c r="PU14" s="101">
        <v>69</v>
      </c>
      <c r="PV14" s="101">
        <v>82</v>
      </c>
      <c r="PW14" s="101">
        <v>82</v>
      </c>
      <c r="PX14" s="101"/>
      <c r="PY14" s="101">
        <v>82</v>
      </c>
      <c r="PZ14" s="101">
        <v>82</v>
      </c>
      <c r="QA14" s="101">
        <v>79</v>
      </c>
      <c r="QB14" s="101">
        <v>66</v>
      </c>
      <c r="QC14" s="101">
        <v>66</v>
      </c>
      <c r="QD14" s="101">
        <v>66</v>
      </c>
      <c r="QE14" s="101"/>
      <c r="QF14" s="101">
        <v>66</v>
      </c>
      <c r="QG14" s="101">
        <v>69</v>
      </c>
      <c r="QH14" s="101">
        <v>82</v>
      </c>
      <c r="QI14" s="101">
        <v>82</v>
      </c>
      <c r="QJ14" s="101">
        <v>78</v>
      </c>
      <c r="QK14" s="101">
        <v>62</v>
      </c>
      <c r="QL14" s="101"/>
      <c r="QM14" s="101">
        <v>59</v>
      </c>
      <c r="QN14" s="101">
        <v>46</v>
      </c>
      <c r="QO14" s="101">
        <v>36</v>
      </c>
      <c r="QP14" s="101">
        <v>36</v>
      </c>
      <c r="QQ14" s="101">
        <v>36</v>
      </c>
      <c r="QR14" s="101">
        <v>36</v>
      </c>
      <c r="QS14" s="101"/>
      <c r="QT14" s="101">
        <v>36</v>
      </c>
      <c r="QU14" s="101">
        <v>36</v>
      </c>
      <c r="QV14" s="101">
        <v>32</v>
      </c>
      <c r="QW14" s="101">
        <v>16</v>
      </c>
      <c r="QX14" s="101">
        <v>17</v>
      </c>
      <c r="QY14" s="101">
        <v>20</v>
      </c>
      <c r="QZ14" s="101"/>
      <c r="RA14" s="101">
        <v>20</v>
      </c>
      <c r="RB14" s="101">
        <v>20</v>
      </c>
      <c r="RC14" s="101">
        <v>20</v>
      </c>
      <c r="RD14" s="101">
        <v>22</v>
      </c>
      <c r="RE14" s="101">
        <v>22</v>
      </c>
      <c r="RF14" s="101">
        <v>22</v>
      </c>
      <c r="RG14" s="101">
        <v>2</v>
      </c>
      <c r="RH14" s="101">
        <v>22</v>
      </c>
      <c r="RI14" s="101">
        <v>22</v>
      </c>
      <c r="RJ14" s="101">
        <v>26</v>
      </c>
      <c r="RK14" s="101">
        <v>42</v>
      </c>
      <c r="RL14" s="101">
        <v>44</v>
      </c>
      <c r="RM14" s="101">
        <v>60</v>
      </c>
      <c r="RN14" s="101"/>
      <c r="RO14" s="101">
        <v>60</v>
      </c>
      <c r="RP14" s="101">
        <v>62</v>
      </c>
      <c r="RQ14" s="101">
        <v>62</v>
      </c>
      <c r="RR14" s="101">
        <v>62</v>
      </c>
      <c r="RS14" s="101">
        <v>62</v>
      </c>
      <c r="RT14" s="101">
        <v>62</v>
      </c>
      <c r="RU14" s="101">
        <v>2</v>
      </c>
      <c r="RV14" s="101">
        <v>62</v>
      </c>
      <c r="RW14" s="101">
        <v>62</v>
      </c>
      <c r="RX14" s="101">
        <v>62</v>
      </c>
      <c r="RY14" s="101">
        <v>62</v>
      </c>
      <c r="RZ14" s="101">
        <v>62</v>
      </c>
      <c r="SA14" s="101">
        <v>60</v>
      </c>
      <c r="SB14" s="101"/>
      <c r="SC14" s="101">
        <v>62</v>
      </c>
      <c r="SD14" s="101">
        <v>62</v>
      </c>
      <c r="SE14" s="101">
        <v>62</v>
      </c>
      <c r="SF14" s="101">
        <v>62</v>
      </c>
      <c r="SG14" s="101">
        <v>58</v>
      </c>
      <c r="SH14" s="101">
        <v>42</v>
      </c>
      <c r="SI14" s="101">
        <v>4</v>
      </c>
      <c r="SJ14" s="101">
        <v>44</v>
      </c>
      <c r="SK14" s="101">
        <v>42</v>
      </c>
      <c r="SL14" s="101">
        <v>40</v>
      </c>
      <c r="SM14" s="101">
        <v>40</v>
      </c>
      <c r="SN14" s="101">
        <v>40</v>
      </c>
      <c r="SO14" s="101">
        <v>40</v>
      </c>
      <c r="SP14" s="101"/>
      <c r="SQ14" s="101">
        <v>40</v>
      </c>
      <c r="SR14" s="101">
        <v>40</v>
      </c>
      <c r="SS14" s="101">
        <v>36</v>
      </c>
      <c r="ST14" s="101">
        <v>20</v>
      </c>
      <c r="SU14" s="101">
        <v>16</v>
      </c>
      <c r="SV14" s="101">
        <v>2</v>
      </c>
      <c r="SW14" s="101">
        <v>2</v>
      </c>
      <c r="SX14" s="101">
        <v>2</v>
      </c>
      <c r="SY14" s="101"/>
      <c r="SZ14" s="101"/>
      <c r="TA14" s="101"/>
      <c r="TB14" s="101"/>
      <c r="TC14" s="101"/>
      <c r="TD14" s="101"/>
      <c r="TE14" s="101"/>
      <c r="TF14" s="101"/>
      <c r="TG14" s="101"/>
      <c r="TH14" s="101"/>
      <c r="TI14" s="101"/>
      <c r="TJ14" s="101"/>
      <c r="TK14" s="101"/>
      <c r="TL14" s="101"/>
      <c r="TM14" s="101"/>
      <c r="TN14" s="101"/>
      <c r="TO14" s="101"/>
      <c r="TP14" s="101"/>
      <c r="TQ14" s="101"/>
      <c r="TR14" s="101"/>
      <c r="TS14" s="101"/>
      <c r="TT14" s="101"/>
      <c r="TU14" s="101"/>
      <c r="TV14" s="101"/>
      <c r="TW14" s="101"/>
      <c r="TX14" s="101"/>
      <c r="TY14" s="101"/>
      <c r="TZ14" s="101"/>
      <c r="UA14" s="101"/>
      <c r="UB14" s="101"/>
      <c r="UC14" s="101"/>
      <c r="UD14" s="101"/>
      <c r="UE14" s="101"/>
      <c r="UF14" s="101"/>
      <c r="UG14" s="101"/>
      <c r="UH14" s="101"/>
      <c r="UI14" s="101"/>
      <c r="UJ14" s="101"/>
      <c r="UK14" s="101"/>
      <c r="UL14" s="101"/>
      <c r="UM14" s="101"/>
      <c r="UN14" s="101"/>
      <c r="UO14" s="101"/>
      <c r="UP14" s="101"/>
      <c r="UQ14" s="101"/>
      <c r="UR14" s="101"/>
      <c r="US14" s="101"/>
      <c r="UT14" s="101"/>
      <c r="UU14" s="101"/>
      <c r="UV14" s="101"/>
      <c r="UW14" s="101"/>
      <c r="UX14" s="101"/>
      <c r="UY14" s="101"/>
      <c r="UZ14" s="101"/>
      <c r="VA14" s="101"/>
      <c r="VB14" s="101"/>
      <c r="VC14" s="101"/>
      <c r="VD14" s="101"/>
      <c r="VE14" s="101"/>
      <c r="VF14" s="101"/>
      <c r="VG14" s="101"/>
      <c r="VH14" s="101"/>
      <c r="VI14" s="101"/>
      <c r="VJ14" s="101"/>
      <c r="VK14" s="101"/>
      <c r="VL14" s="101"/>
      <c r="VM14" s="101"/>
      <c r="VN14" s="101"/>
      <c r="VO14" s="101"/>
      <c r="VP14" s="101"/>
      <c r="VQ14" s="101"/>
      <c r="VR14" s="101"/>
      <c r="VS14" s="101"/>
      <c r="VT14" s="101"/>
      <c r="VU14" s="101"/>
      <c r="VV14" s="101"/>
      <c r="VW14" s="101"/>
      <c r="VX14" s="101"/>
      <c r="VY14" s="101"/>
      <c r="VZ14" s="101"/>
      <c r="WA14" s="101"/>
      <c r="WB14" s="101"/>
      <c r="WC14" s="101"/>
      <c r="WD14" s="101"/>
      <c r="WE14" s="101"/>
      <c r="WF14" s="101"/>
      <c r="WG14" s="101"/>
      <c r="WH14" s="101"/>
      <c r="WI14" s="101"/>
      <c r="WJ14" s="101"/>
      <c r="WK14" s="101"/>
      <c r="WL14" s="101"/>
      <c r="WM14" s="101"/>
      <c r="WN14" s="101"/>
      <c r="WO14" s="101"/>
      <c r="WP14" s="101"/>
      <c r="WQ14" s="101"/>
      <c r="WR14" s="101"/>
      <c r="WS14" s="101"/>
      <c r="WT14" s="101"/>
      <c r="WU14" s="101"/>
      <c r="WV14" s="101"/>
      <c r="WW14" s="101"/>
      <c r="WX14" s="101"/>
      <c r="WY14" s="101"/>
      <c r="WZ14" s="101"/>
      <c r="XA14" s="101"/>
      <c r="XB14" s="101"/>
      <c r="XC14" s="101"/>
      <c r="XD14" s="101"/>
      <c r="XE14" s="101"/>
      <c r="XF14" s="101"/>
      <c r="XG14" s="101"/>
      <c r="XH14" s="101"/>
      <c r="XI14" s="101"/>
      <c r="XJ14" s="101"/>
      <c r="XK14" s="101"/>
      <c r="XL14" s="101"/>
      <c r="XM14" s="101"/>
      <c r="XN14" s="101"/>
      <c r="XO14" s="101"/>
      <c r="XP14" s="101"/>
      <c r="XQ14" s="101"/>
      <c r="XR14" s="101"/>
      <c r="XS14" s="101"/>
      <c r="XT14" s="101"/>
      <c r="XU14" s="101"/>
      <c r="XV14" s="101"/>
      <c r="XW14" s="101"/>
      <c r="XX14" s="101"/>
      <c r="XY14" s="101"/>
      <c r="XZ14" s="101"/>
      <c r="YA14" s="101"/>
      <c r="YB14" s="101"/>
      <c r="YC14" s="101"/>
      <c r="YD14" s="101"/>
      <c r="YE14" s="101"/>
      <c r="YF14" s="101"/>
      <c r="YG14" s="101"/>
      <c r="YH14" s="101"/>
      <c r="YI14" s="101"/>
      <c r="YJ14" s="101"/>
      <c r="YK14" s="101"/>
      <c r="YL14" s="101"/>
      <c r="YM14" s="101"/>
      <c r="YN14" s="101"/>
      <c r="YO14" s="101"/>
      <c r="YP14" s="101"/>
      <c r="YQ14" s="101"/>
      <c r="YR14" s="101"/>
      <c r="YS14" s="101"/>
      <c r="YT14" s="101"/>
      <c r="YU14" s="101"/>
      <c r="YV14" s="101"/>
      <c r="YW14" s="101"/>
      <c r="YX14" s="101"/>
      <c r="YY14" s="101"/>
      <c r="YZ14" s="101"/>
      <c r="ZA14" s="101"/>
      <c r="ZB14" s="101"/>
      <c r="ZC14" s="101"/>
      <c r="ZD14" s="101"/>
      <c r="ZE14" s="101"/>
      <c r="ZF14" s="101"/>
      <c r="ZG14" s="101"/>
      <c r="ZH14" s="101"/>
    </row>
    <row r="15" spans="1:684">
      <c r="A15" s="75" t="s">
        <v>53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  <c r="BZ15" s="101"/>
      <c r="CA15" s="101"/>
      <c r="CB15" s="101"/>
      <c r="CC15" s="101"/>
      <c r="CD15" s="101"/>
      <c r="CE15" s="101"/>
      <c r="CF15" s="101"/>
      <c r="CG15" s="101"/>
      <c r="CH15" s="101"/>
      <c r="CI15" s="101"/>
      <c r="CJ15" s="101"/>
      <c r="CK15" s="101"/>
      <c r="CL15" s="101"/>
      <c r="CM15" s="101"/>
      <c r="CN15" s="101"/>
      <c r="CO15" s="101"/>
      <c r="CP15" s="101"/>
      <c r="CQ15" s="101"/>
      <c r="CR15" s="101"/>
      <c r="CS15" s="101"/>
      <c r="CT15" s="101"/>
      <c r="CU15" s="101"/>
      <c r="CV15" s="101"/>
      <c r="CW15" s="101"/>
      <c r="CX15" s="101"/>
      <c r="CY15" s="101"/>
      <c r="CZ15" s="101"/>
      <c r="DA15" s="101"/>
      <c r="DB15" s="101"/>
      <c r="DC15" s="101"/>
      <c r="DD15" s="101"/>
      <c r="DE15" s="101"/>
      <c r="DF15" s="101"/>
      <c r="DG15" s="101"/>
      <c r="DH15" s="101"/>
      <c r="DI15" s="101"/>
      <c r="DJ15" s="101"/>
      <c r="DK15" s="101"/>
      <c r="DL15" s="101"/>
      <c r="DM15" s="101"/>
      <c r="DN15" s="101"/>
      <c r="DO15" s="101"/>
      <c r="DP15" s="101"/>
      <c r="DQ15" s="101"/>
      <c r="DR15" s="101"/>
      <c r="DS15" s="101"/>
      <c r="DT15" s="101"/>
      <c r="DU15" s="101"/>
      <c r="DV15" s="101"/>
      <c r="DW15" s="101"/>
      <c r="DX15" s="101"/>
      <c r="DY15" s="101"/>
      <c r="DZ15" s="101"/>
      <c r="EA15" s="101"/>
      <c r="EB15" s="101"/>
      <c r="EC15" s="101"/>
      <c r="ED15" s="101"/>
      <c r="EE15" s="101"/>
      <c r="EF15" s="101"/>
      <c r="EG15" s="101"/>
      <c r="EH15" s="101"/>
      <c r="EI15" s="101"/>
      <c r="EJ15" s="101"/>
      <c r="EK15" s="101"/>
      <c r="EL15" s="101"/>
      <c r="EM15" s="101"/>
      <c r="EN15" s="101"/>
      <c r="EO15" s="101"/>
      <c r="EP15" s="101"/>
      <c r="EQ15" s="101"/>
      <c r="ER15" s="101"/>
      <c r="ES15" s="101"/>
      <c r="ET15" s="101"/>
      <c r="EU15" s="101"/>
      <c r="EV15" s="101"/>
      <c r="EW15" s="101"/>
      <c r="EX15" s="101"/>
      <c r="EY15" s="101"/>
      <c r="EZ15" s="101"/>
      <c r="FA15" s="101"/>
      <c r="FB15" s="101"/>
      <c r="FC15" s="101"/>
      <c r="FD15" s="101"/>
      <c r="FE15" s="101"/>
      <c r="FF15" s="101"/>
      <c r="FG15" s="101"/>
      <c r="FH15" s="101"/>
      <c r="FI15" s="101"/>
      <c r="FJ15" s="101"/>
      <c r="FK15" s="101"/>
      <c r="FL15" s="101"/>
      <c r="FM15" s="101"/>
      <c r="FN15" s="101"/>
      <c r="FO15" s="101"/>
      <c r="FP15" s="101"/>
      <c r="FQ15" s="101"/>
      <c r="FR15" s="101"/>
      <c r="FS15" s="101"/>
      <c r="FT15" s="101"/>
      <c r="FU15" s="101"/>
      <c r="FV15" s="101"/>
      <c r="FW15" s="101"/>
      <c r="FX15" s="101"/>
      <c r="FY15" s="101"/>
      <c r="FZ15" s="101"/>
      <c r="GA15" s="101"/>
      <c r="GB15" s="101"/>
      <c r="GC15" s="101"/>
      <c r="GD15" s="101"/>
      <c r="GE15" s="101"/>
      <c r="GF15" s="101"/>
      <c r="GG15" s="101"/>
      <c r="GH15" s="101"/>
      <c r="GI15" s="101"/>
      <c r="GJ15" s="101"/>
      <c r="GK15" s="101"/>
      <c r="GL15" s="101"/>
      <c r="GM15" s="101"/>
      <c r="GN15" s="101"/>
      <c r="GO15" s="101"/>
      <c r="GP15" s="101"/>
      <c r="GQ15" s="101"/>
      <c r="GR15" s="101"/>
      <c r="GS15" s="101"/>
      <c r="GT15" s="101"/>
      <c r="GU15" s="101"/>
      <c r="GV15" s="101"/>
      <c r="GW15" s="101"/>
      <c r="GX15" s="101"/>
      <c r="GY15" s="101"/>
      <c r="GZ15" s="101"/>
      <c r="HA15" s="101"/>
      <c r="HB15" s="101"/>
      <c r="HC15" s="101"/>
      <c r="HD15" s="101"/>
      <c r="HE15" s="101"/>
      <c r="HF15" s="101"/>
      <c r="HG15" s="101"/>
      <c r="HH15" s="101"/>
      <c r="HI15" s="101"/>
      <c r="HJ15" s="101"/>
      <c r="HK15" s="101"/>
      <c r="HL15" s="101"/>
      <c r="HM15" s="101"/>
      <c r="HN15" s="101"/>
      <c r="HO15" s="101"/>
      <c r="HP15" s="101"/>
      <c r="HQ15" s="101"/>
      <c r="HR15" s="101"/>
      <c r="HS15" s="101"/>
      <c r="HT15" s="101"/>
      <c r="HU15" s="101"/>
      <c r="HV15" s="101"/>
      <c r="HW15" s="101"/>
      <c r="HX15" s="101"/>
      <c r="HY15" s="101"/>
      <c r="HZ15" s="101"/>
      <c r="IA15" s="101"/>
      <c r="IB15" s="101"/>
      <c r="IC15" s="101"/>
      <c r="ID15" s="101"/>
      <c r="IE15" s="101"/>
      <c r="IF15" s="101"/>
      <c r="IG15" s="101"/>
      <c r="IH15" s="101"/>
      <c r="II15" s="101"/>
      <c r="IJ15" s="101"/>
      <c r="IK15" s="101"/>
      <c r="IL15" s="101"/>
      <c r="IM15" s="101"/>
      <c r="IN15" s="101"/>
      <c r="IO15" s="101"/>
      <c r="IP15" s="101"/>
      <c r="IQ15" s="101"/>
      <c r="IR15" s="101"/>
      <c r="IS15" s="101"/>
      <c r="IT15" s="101"/>
      <c r="IU15" s="101"/>
      <c r="IV15" s="101"/>
      <c r="IW15" s="101"/>
      <c r="IX15" s="101"/>
      <c r="IY15" s="101"/>
      <c r="IZ15" s="101"/>
      <c r="JA15" s="101"/>
      <c r="JB15" s="101"/>
      <c r="JC15" s="101"/>
      <c r="JD15" s="101"/>
      <c r="JE15" s="101"/>
      <c r="JF15" s="101"/>
      <c r="JG15" s="101"/>
      <c r="JH15" s="101"/>
      <c r="JI15" s="101"/>
      <c r="JJ15" s="101"/>
      <c r="JK15" s="101"/>
      <c r="JL15" s="101"/>
      <c r="JM15" s="101"/>
      <c r="JN15" s="101"/>
      <c r="JO15" s="101"/>
      <c r="JP15" s="101"/>
      <c r="JQ15" s="101"/>
      <c r="JR15" s="101"/>
      <c r="JS15" s="101"/>
      <c r="JT15" s="101"/>
      <c r="JU15" s="101"/>
      <c r="JV15" s="101"/>
      <c r="JW15" s="101"/>
      <c r="JX15" s="101"/>
      <c r="JY15" s="101"/>
      <c r="JZ15" s="101"/>
      <c r="KA15" s="101"/>
      <c r="KB15" s="101"/>
      <c r="KC15" s="101"/>
      <c r="KD15" s="101"/>
      <c r="KE15" s="101"/>
      <c r="KF15" s="101"/>
      <c r="KG15" s="101"/>
      <c r="KH15" s="101"/>
      <c r="KI15" s="101"/>
      <c r="KJ15" s="101"/>
      <c r="KK15" s="101"/>
      <c r="KL15" s="101"/>
      <c r="KM15" s="101"/>
      <c r="KN15" s="101"/>
      <c r="KO15" s="101"/>
      <c r="KP15" s="101"/>
      <c r="KQ15" s="101"/>
      <c r="KR15" s="101"/>
      <c r="KS15" s="101"/>
      <c r="KT15" s="101"/>
      <c r="KU15" s="101"/>
      <c r="KV15" s="101"/>
      <c r="KW15" s="101">
        <v>3</v>
      </c>
      <c r="KX15" s="101">
        <v>16</v>
      </c>
      <c r="KY15" s="101">
        <v>16</v>
      </c>
      <c r="KZ15" s="101">
        <v>16</v>
      </c>
      <c r="LA15" s="101">
        <v>16</v>
      </c>
      <c r="LB15" s="101"/>
      <c r="LC15" s="101">
        <v>16</v>
      </c>
      <c r="LD15" s="101">
        <v>16</v>
      </c>
      <c r="LE15" s="101">
        <v>16</v>
      </c>
      <c r="LF15" s="101">
        <v>16</v>
      </c>
      <c r="LG15" s="101">
        <v>16</v>
      </c>
      <c r="LH15" s="101">
        <v>14</v>
      </c>
      <c r="LI15" s="101"/>
      <c r="LJ15" s="101">
        <v>8</v>
      </c>
      <c r="LK15" s="101">
        <v>8</v>
      </c>
      <c r="LL15" s="101">
        <v>8</v>
      </c>
      <c r="LM15" s="101">
        <v>8</v>
      </c>
      <c r="LN15" s="101">
        <v>8</v>
      </c>
      <c r="LO15" s="101">
        <v>8</v>
      </c>
      <c r="LP15" s="101"/>
      <c r="LQ15" s="101">
        <v>8</v>
      </c>
      <c r="LR15" s="101">
        <v>8</v>
      </c>
      <c r="LS15" s="101">
        <v>8</v>
      </c>
      <c r="LT15" s="101">
        <v>6</v>
      </c>
      <c r="LU15" s="101"/>
      <c r="LV15" s="101">
        <v>3</v>
      </c>
      <c r="LW15" s="101"/>
      <c r="LX15" s="101">
        <v>16</v>
      </c>
      <c r="LY15" s="101">
        <v>16</v>
      </c>
      <c r="LZ15" s="101">
        <v>16</v>
      </c>
      <c r="MA15" s="101">
        <v>16</v>
      </c>
      <c r="MB15" s="101">
        <v>16</v>
      </c>
      <c r="MC15" s="101">
        <v>16</v>
      </c>
      <c r="MD15" s="101"/>
      <c r="ME15" s="101">
        <v>16</v>
      </c>
      <c r="MF15" s="101">
        <v>36</v>
      </c>
      <c r="MG15" s="101">
        <v>45</v>
      </c>
      <c r="MH15" s="101">
        <v>60</v>
      </c>
      <c r="MI15" s="101">
        <v>54</v>
      </c>
      <c r="MJ15" s="101">
        <v>54</v>
      </c>
      <c r="MK15" s="101"/>
      <c r="ML15" s="101">
        <v>54</v>
      </c>
      <c r="MM15" s="101">
        <v>54</v>
      </c>
      <c r="MN15" s="101">
        <v>54</v>
      </c>
      <c r="MO15" s="101">
        <v>54</v>
      </c>
      <c r="MP15" s="101">
        <v>54</v>
      </c>
      <c r="MQ15" s="101">
        <v>54</v>
      </c>
      <c r="MR15" s="101"/>
      <c r="MS15" s="101">
        <v>52</v>
      </c>
      <c r="MT15" s="101">
        <v>28</v>
      </c>
      <c r="MU15" s="101">
        <v>34</v>
      </c>
      <c r="MV15" s="101">
        <v>34</v>
      </c>
      <c r="MW15" s="101">
        <v>34</v>
      </c>
      <c r="MX15" s="101">
        <v>34</v>
      </c>
      <c r="MY15" s="101"/>
      <c r="MZ15" s="101">
        <v>34</v>
      </c>
      <c r="NA15" s="101">
        <v>34</v>
      </c>
      <c r="NB15" s="101">
        <v>34</v>
      </c>
      <c r="NC15" s="101">
        <v>34</v>
      </c>
      <c r="ND15" s="101">
        <v>32</v>
      </c>
      <c r="NE15" s="101">
        <v>49</v>
      </c>
      <c r="NF15" s="101"/>
      <c r="NG15" s="101">
        <v>62</v>
      </c>
      <c r="NH15" s="101">
        <v>62</v>
      </c>
      <c r="NI15" s="101">
        <v>62</v>
      </c>
      <c r="NJ15" s="101">
        <v>62</v>
      </c>
      <c r="NK15" s="101">
        <v>62</v>
      </c>
      <c r="NL15" s="101">
        <v>62</v>
      </c>
      <c r="NM15" s="101"/>
      <c r="NN15" s="101">
        <v>68</v>
      </c>
      <c r="NO15" s="101">
        <v>78</v>
      </c>
      <c r="NP15" s="101">
        <v>78</v>
      </c>
      <c r="NQ15" s="101">
        <v>76</v>
      </c>
      <c r="NR15" s="101">
        <v>70</v>
      </c>
      <c r="NS15" s="101">
        <v>50</v>
      </c>
      <c r="NT15" s="101"/>
      <c r="NU15" s="101">
        <v>50</v>
      </c>
      <c r="NV15" s="101">
        <v>50</v>
      </c>
      <c r="NW15" s="101">
        <v>50</v>
      </c>
      <c r="NX15" s="101">
        <v>50</v>
      </c>
      <c r="NY15" s="101">
        <v>50</v>
      </c>
      <c r="NZ15" s="101">
        <v>50</v>
      </c>
      <c r="OA15" s="101"/>
      <c r="OB15" s="101">
        <v>44</v>
      </c>
      <c r="OC15" s="101">
        <v>38</v>
      </c>
      <c r="OD15" s="101">
        <v>52</v>
      </c>
      <c r="OE15" s="101">
        <v>52</v>
      </c>
      <c r="OF15" s="101">
        <v>52</v>
      </c>
      <c r="OG15" s="101">
        <v>72</v>
      </c>
      <c r="OH15" s="101"/>
      <c r="OI15" s="101">
        <v>72</v>
      </c>
      <c r="OJ15" s="101">
        <v>72</v>
      </c>
      <c r="OK15" s="101">
        <v>66</v>
      </c>
      <c r="OL15" s="101">
        <v>56</v>
      </c>
      <c r="OM15" s="101">
        <v>56</v>
      </c>
      <c r="ON15" s="101">
        <v>58</v>
      </c>
      <c r="OO15" s="101"/>
      <c r="OP15" s="101">
        <v>64</v>
      </c>
      <c r="OQ15" s="101">
        <v>64</v>
      </c>
      <c r="OR15" s="101">
        <v>70</v>
      </c>
      <c r="OS15" s="101">
        <v>74</v>
      </c>
      <c r="OT15" s="101">
        <v>74</v>
      </c>
      <c r="OU15" s="101">
        <v>54</v>
      </c>
      <c r="OV15" s="101"/>
      <c r="OW15" s="101">
        <v>54</v>
      </c>
      <c r="OX15" s="101">
        <v>56</v>
      </c>
      <c r="OY15" s="101">
        <v>58</v>
      </c>
      <c r="OZ15" s="101">
        <v>64</v>
      </c>
      <c r="PA15" s="101">
        <v>58</v>
      </c>
      <c r="PB15" s="101">
        <v>58</v>
      </c>
      <c r="PC15" s="101"/>
      <c r="PD15" s="101">
        <v>58</v>
      </c>
      <c r="PE15" s="101">
        <v>58</v>
      </c>
      <c r="PF15" s="101">
        <v>60</v>
      </c>
      <c r="PG15" s="101">
        <v>74</v>
      </c>
      <c r="PH15" s="101">
        <v>82</v>
      </c>
      <c r="PI15" s="101">
        <v>76</v>
      </c>
      <c r="PJ15" s="101"/>
      <c r="PK15" s="101">
        <v>72</v>
      </c>
      <c r="PL15" s="101">
        <v>70</v>
      </c>
      <c r="PM15" s="101">
        <v>44</v>
      </c>
      <c r="PN15" s="101">
        <v>44</v>
      </c>
      <c r="PO15" s="101">
        <v>42</v>
      </c>
      <c r="PP15" s="101">
        <v>40</v>
      </c>
      <c r="PQ15" s="101"/>
      <c r="PR15" s="101">
        <v>42</v>
      </c>
      <c r="PS15" s="101">
        <v>56</v>
      </c>
      <c r="PT15" s="101">
        <v>56</v>
      </c>
      <c r="PU15" s="101">
        <v>56</v>
      </c>
      <c r="PV15" s="101">
        <v>56</v>
      </c>
      <c r="PW15" s="101">
        <v>46</v>
      </c>
      <c r="PX15" s="101"/>
      <c r="PY15" s="101">
        <v>32</v>
      </c>
      <c r="PZ15" s="101">
        <v>32</v>
      </c>
      <c r="QA15" s="101">
        <v>32</v>
      </c>
      <c r="QB15" s="101">
        <v>32</v>
      </c>
      <c r="QC15" s="101">
        <v>34</v>
      </c>
      <c r="QD15" s="101">
        <v>48</v>
      </c>
      <c r="QE15" s="101"/>
      <c r="QF15" s="101">
        <v>40</v>
      </c>
      <c r="QG15" s="101">
        <v>40</v>
      </c>
      <c r="QH15" s="101">
        <v>40</v>
      </c>
      <c r="QI15" s="101">
        <v>40</v>
      </c>
      <c r="QJ15" s="101">
        <v>32</v>
      </c>
      <c r="QK15" s="101">
        <v>32</v>
      </c>
      <c r="QL15" s="101"/>
      <c r="QM15" s="101">
        <v>32</v>
      </c>
      <c r="QN15" s="101">
        <v>32</v>
      </c>
      <c r="QO15" s="101">
        <v>34</v>
      </c>
      <c r="QP15" s="101">
        <v>44</v>
      </c>
      <c r="QQ15" s="101">
        <v>44</v>
      </c>
      <c r="QR15" s="101">
        <v>44</v>
      </c>
      <c r="QS15" s="101"/>
      <c r="QT15" s="101">
        <v>54</v>
      </c>
      <c r="QU15" s="101">
        <v>54</v>
      </c>
      <c r="QV15" s="101">
        <v>46</v>
      </c>
      <c r="QW15" s="101">
        <v>46</v>
      </c>
      <c r="QX15" s="101">
        <v>46</v>
      </c>
      <c r="QY15" s="101">
        <v>50</v>
      </c>
      <c r="QZ15" s="101"/>
      <c r="RA15" s="101">
        <v>52</v>
      </c>
      <c r="RB15" s="101">
        <v>62</v>
      </c>
      <c r="RC15" s="101">
        <v>62</v>
      </c>
      <c r="RD15" s="101">
        <v>62</v>
      </c>
      <c r="RE15" s="101">
        <v>62</v>
      </c>
      <c r="RF15" s="101">
        <v>58</v>
      </c>
      <c r="RG15" s="101"/>
      <c r="RH15" s="101">
        <v>42</v>
      </c>
      <c r="RI15" s="101">
        <v>42</v>
      </c>
      <c r="RJ15" s="101">
        <v>42</v>
      </c>
      <c r="RK15" s="101">
        <v>32</v>
      </c>
      <c r="RL15" s="101">
        <v>34</v>
      </c>
      <c r="RM15" s="101">
        <v>44</v>
      </c>
      <c r="RN15" s="101"/>
      <c r="RO15" s="101">
        <v>44</v>
      </c>
      <c r="RP15" s="101">
        <v>44</v>
      </c>
      <c r="RQ15" s="101">
        <v>40</v>
      </c>
      <c r="RR15" s="101">
        <v>36</v>
      </c>
      <c r="RS15" s="101">
        <v>20</v>
      </c>
      <c r="RT15" s="101">
        <v>20</v>
      </c>
      <c r="RU15" s="101"/>
      <c r="RV15" s="101">
        <v>20</v>
      </c>
      <c r="RW15" s="101">
        <v>20</v>
      </c>
      <c r="RX15" s="101">
        <v>20</v>
      </c>
      <c r="RY15" s="101">
        <v>20</v>
      </c>
      <c r="RZ15" s="101">
        <v>20</v>
      </c>
      <c r="SA15" s="101">
        <v>20</v>
      </c>
      <c r="SB15" s="101"/>
      <c r="SC15" s="101">
        <v>20</v>
      </c>
      <c r="SD15" s="101">
        <v>16</v>
      </c>
      <c r="SE15" s="101"/>
      <c r="SF15" s="101"/>
      <c r="SG15" s="101"/>
      <c r="SH15" s="101"/>
      <c r="SI15" s="101"/>
      <c r="SJ15" s="101"/>
      <c r="SK15" s="101"/>
      <c r="SL15" s="101"/>
      <c r="SM15" s="101"/>
      <c r="SN15" s="101"/>
      <c r="SO15" s="101"/>
      <c r="SP15" s="101"/>
      <c r="SQ15" s="101"/>
      <c r="SR15" s="101"/>
      <c r="SS15" s="101"/>
      <c r="ST15" s="101"/>
      <c r="SU15" s="101"/>
      <c r="SV15" s="101"/>
      <c r="SW15" s="101"/>
      <c r="SX15" s="101"/>
      <c r="SY15" s="101"/>
      <c r="SZ15" s="101"/>
      <c r="TA15" s="101"/>
      <c r="TB15" s="101"/>
      <c r="TC15" s="101"/>
      <c r="TD15" s="101"/>
      <c r="TE15" s="101"/>
      <c r="TF15" s="101"/>
      <c r="TG15" s="101"/>
      <c r="TH15" s="101"/>
      <c r="TI15" s="101"/>
      <c r="TJ15" s="101"/>
      <c r="TK15" s="101"/>
      <c r="TL15" s="101"/>
      <c r="TM15" s="101"/>
      <c r="TN15" s="101"/>
      <c r="TO15" s="101"/>
      <c r="TP15" s="101"/>
      <c r="TQ15" s="101"/>
      <c r="TR15" s="101"/>
      <c r="TS15" s="101"/>
      <c r="TT15" s="101"/>
      <c r="TU15" s="101"/>
      <c r="TV15" s="101"/>
      <c r="TW15" s="101"/>
      <c r="TX15" s="101"/>
      <c r="TY15" s="101"/>
      <c r="TZ15" s="101"/>
      <c r="UA15" s="101"/>
      <c r="UB15" s="101"/>
      <c r="UC15" s="101"/>
      <c r="UD15" s="101"/>
      <c r="UE15" s="101"/>
      <c r="UF15" s="101"/>
      <c r="UG15" s="101"/>
      <c r="UH15" s="101"/>
      <c r="UI15" s="101"/>
      <c r="UJ15" s="101"/>
      <c r="UK15" s="101"/>
      <c r="UL15" s="101"/>
      <c r="UM15" s="101"/>
      <c r="UN15" s="101"/>
      <c r="UO15" s="101"/>
      <c r="UP15" s="101"/>
      <c r="UQ15" s="101"/>
      <c r="UR15" s="101"/>
      <c r="US15" s="101"/>
      <c r="UT15" s="101"/>
      <c r="UU15" s="101"/>
      <c r="UV15" s="101"/>
      <c r="UW15" s="101"/>
      <c r="UX15" s="101"/>
      <c r="UY15" s="101"/>
      <c r="UZ15" s="101"/>
      <c r="VA15" s="101"/>
      <c r="VB15" s="101"/>
      <c r="VC15" s="101"/>
      <c r="VD15" s="101"/>
      <c r="VE15" s="101"/>
      <c r="VF15" s="101"/>
      <c r="VG15" s="101"/>
      <c r="VH15" s="101"/>
      <c r="VI15" s="101"/>
      <c r="VJ15" s="101"/>
      <c r="VK15" s="101"/>
      <c r="VL15" s="101"/>
      <c r="VM15" s="101"/>
      <c r="VN15" s="101"/>
      <c r="VO15" s="101"/>
      <c r="VP15" s="101"/>
      <c r="VQ15" s="101"/>
      <c r="VR15" s="101"/>
      <c r="VS15" s="101"/>
      <c r="VT15" s="101"/>
      <c r="VU15" s="101"/>
      <c r="VV15" s="101"/>
      <c r="VW15" s="101"/>
      <c r="VX15" s="101"/>
      <c r="VY15" s="101"/>
      <c r="VZ15" s="101"/>
      <c r="WA15" s="101"/>
      <c r="WB15" s="101"/>
      <c r="WC15" s="101"/>
      <c r="WD15" s="101"/>
      <c r="WE15" s="101"/>
      <c r="WF15" s="101"/>
      <c r="WG15" s="101"/>
      <c r="WH15" s="101"/>
      <c r="WI15" s="101"/>
      <c r="WJ15" s="101"/>
      <c r="WK15" s="101"/>
      <c r="WL15" s="101"/>
      <c r="WM15" s="101"/>
      <c r="WN15" s="101"/>
      <c r="WO15" s="101"/>
      <c r="WP15" s="101"/>
      <c r="WQ15" s="101"/>
      <c r="WR15" s="101"/>
      <c r="WS15" s="101"/>
      <c r="WT15" s="101"/>
      <c r="WU15" s="101"/>
      <c r="WV15" s="101"/>
      <c r="WW15" s="101"/>
      <c r="WX15" s="101"/>
      <c r="WY15" s="101"/>
      <c r="WZ15" s="101"/>
      <c r="XA15" s="101"/>
      <c r="XB15" s="101"/>
      <c r="XC15" s="101"/>
      <c r="XD15" s="101"/>
      <c r="XE15" s="101"/>
      <c r="XF15" s="101"/>
      <c r="XG15" s="101"/>
      <c r="XH15" s="101"/>
      <c r="XI15" s="101"/>
      <c r="XJ15" s="101"/>
      <c r="XK15" s="101"/>
      <c r="XL15" s="101"/>
      <c r="XM15" s="101"/>
      <c r="XN15" s="101"/>
      <c r="XO15" s="101"/>
      <c r="XP15" s="101"/>
      <c r="XQ15" s="101"/>
      <c r="XR15" s="101"/>
      <c r="XS15" s="101"/>
      <c r="XT15" s="101"/>
      <c r="XU15" s="101"/>
      <c r="XV15" s="101"/>
      <c r="XW15" s="101"/>
      <c r="XX15" s="101"/>
      <c r="XY15" s="101"/>
      <c r="XZ15" s="101"/>
      <c r="YA15" s="101"/>
      <c r="YB15" s="101"/>
      <c r="YC15" s="101"/>
      <c r="YD15" s="101"/>
      <c r="YE15" s="101"/>
      <c r="YF15" s="101"/>
      <c r="YG15" s="101"/>
      <c r="YH15" s="101"/>
      <c r="YI15" s="101"/>
      <c r="YJ15" s="101"/>
      <c r="YK15" s="101"/>
      <c r="YL15" s="101"/>
      <c r="YM15" s="101"/>
      <c r="YN15" s="101"/>
      <c r="YO15" s="101"/>
      <c r="YP15" s="101"/>
      <c r="YQ15" s="101"/>
      <c r="YR15" s="101"/>
      <c r="YS15" s="101"/>
      <c r="YT15" s="101"/>
      <c r="YU15" s="101"/>
      <c r="YV15" s="101"/>
      <c r="YW15" s="101"/>
      <c r="YX15" s="101"/>
      <c r="YY15" s="101"/>
      <c r="YZ15" s="101"/>
      <c r="ZA15" s="101"/>
      <c r="ZB15" s="101"/>
      <c r="ZC15" s="101"/>
      <c r="ZD15" s="101"/>
      <c r="ZE15" s="101"/>
      <c r="ZF15" s="101"/>
      <c r="ZG15" s="101"/>
      <c r="ZH15" s="101"/>
    </row>
    <row r="16" spans="1:684">
      <c r="A16" s="75" t="s">
        <v>54</v>
      </c>
      <c r="B16" s="101"/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1"/>
      <c r="BF16" s="101"/>
      <c r="BG16" s="101"/>
      <c r="BH16" s="101"/>
      <c r="BI16" s="101"/>
      <c r="BJ16" s="101"/>
      <c r="BK16" s="101"/>
      <c r="BL16" s="101"/>
      <c r="BM16" s="101"/>
      <c r="BN16" s="101"/>
      <c r="BO16" s="101"/>
      <c r="BP16" s="101"/>
      <c r="BQ16" s="101"/>
      <c r="BR16" s="101"/>
      <c r="BS16" s="101"/>
      <c r="BT16" s="101"/>
      <c r="BU16" s="101"/>
      <c r="BV16" s="101"/>
      <c r="BW16" s="101"/>
      <c r="BX16" s="101"/>
      <c r="BY16" s="101"/>
      <c r="BZ16" s="101"/>
      <c r="CA16" s="101"/>
      <c r="CB16" s="101"/>
      <c r="CC16" s="101"/>
      <c r="CD16" s="101"/>
      <c r="CE16" s="101"/>
      <c r="CF16" s="101"/>
      <c r="CG16" s="101"/>
      <c r="CH16" s="101"/>
      <c r="CI16" s="101"/>
      <c r="CJ16" s="101"/>
      <c r="CK16" s="101"/>
      <c r="CL16" s="101"/>
      <c r="CM16" s="101"/>
      <c r="CN16" s="101"/>
      <c r="CO16" s="101"/>
      <c r="CP16" s="101"/>
      <c r="CQ16" s="101"/>
      <c r="CR16" s="101"/>
      <c r="CS16" s="101"/>
      <c r="CT16" s="101"/>
      <c r="CU16" s="101"/>
      <c r="CV16" s="101"/>
      <c r="CW16" s="101"/>
      <c r="CX16" s="101"/>
      <c r="CY16" s="101"/>
      <c r="CZ16" s="101"/>
      <c r="DA16" s="101"/>
      <c r="DB16" s="101"/>
      <c r="DC16" s="101"/>
      <c r="DD16" s="101"/>
      <c r="DE16" s="101"/>
      <c r="DF16" s="101"/>
      <c r="DG16" s="101"/>
      <c r="DH16" s="101"/>
      <c r="DI16" s="101"/>
      <c r="DJ16" s="101"/>
      <c r="DK16" s="101"/>
      <c r="DL16" s="101"/>
      <c r="DM16" s="101"/>
      <c r="DN16" s="101"/>
      <c r="DO16" s="101"/>
      <c r="DP16" s="101"/>
      <c r="DQ16" s="101"/>
      <c r="DR16" s="101"/>
      <c r="DS16" s="101"/>
      <c r="DT16" s="101"/>
      <c r="DU16" s="101"/>
      <c r="DV16" s="101"/>
      <c r="DW16" s="101"/>
      <c r="DX16" s="101"/>
      <c r="DY16" s="101"/>
      <c r="DZ16" s="101"/>
      <c r="EA16" s="101"/>
      <c r="EB16" s="101"/>
      <c r="EC16" s="101"/>
      <c r="ED16" s="101"/>
      <c r="EE16" s="101"/>
      <c r="EF16" s="101"/>
      <c r="EG16" s="101"/>
      <c r="EH16" s="101"/>
      <c r="EI16" s="101"/>
      <c r="EJ16" s="101"/>
      <c r="EK16" s="101"/>
      <c r="EL16" s="101"/>
      <c r="EM16" s="101"/>
      <c r="EN16" s="101"/>
      <c r="EO16" s="101"/>
      <c r="EP16" s="101"/>
      <c r="EQ16" s="101"/>
      <c r="ER16" s="101"/>
      <c r="ES16" s="101"/>
      <c r="ET16" s="101"/>
      <c r="EU16" s="101"/>
      <c r="EV16" s="101"/>
      <c r="EW16" s="101"/>
      <c r="EX16" s="101"/>
      <c r="EY16" s="101"/>
      <c r="EZ16" s="101"/>
      <c r="FA16" s="101"/>
      <c r="FB16" s="101"/>
      <c r="FC16" s="101"/>
      <c r="FD16" s="101"/>
      <c r="FE16" s="101"/>
      <c r="FF16" s="101"/>
      <c r="FG16" s="101"/>
      <c r="FH16" s="101"/>
      <c r="FI16" s="101"/>
      <c r="FJ16" s="101"/>
      <c r="FK16" s="101"/>
      <c r="FL16" s="101"/>
      <c r="FM16" s="101"/>
      <c r="FN16" s="101"/>
      <c r="FO16" s="101"/>
      <c r="FP16" s="101"/>
      <c r="FQ16" s="101"/>
      <c r="FR16" s="101"/>
      <c r="FS16" s="101"/>
      <c r="FT16" s="101"/>
      <c r="FU16" s="101"/>
      <c r="FV16" s="101"/>
      <c r="FW16" s="101"/>
      <c r="FX16" s="101"/>
      <c r="FY16" s="101"/>
      <c r="FZ16" s="101"/>
      <c r="GA16" s="101"/>
      <c r="GB16" s="101"/>
      <c r="GC16" s="101"/>
      <c r="GD16" s="101"/>
      <c r="GE16" s="101"/>
      <c r="GF16" s="101"/>
      <c r="GG16" s="101"/>
      <c r="GH16" s="101"/>
      <c r="GI16" s="101"/>
      <c r="GJ16" s="101"/>
      <c r="GK16" s="101"/>
      <c r="GL16" s="101"/>
      <c r="GM16" s="101"/>
      <c r="GN16" s="101"/>
      <c r="GO16" s="101"/>
      <c r="GP16" s="101"/>
      <c r="GQ16" s="101"/>
      <c r="GR16" s="101"/>
      <c r="GS16" s="101"/>
      <c r="GT16" s="101"/>
      <c r="GU16" s="101"/>
      <c r="GV16" s="101"/>
      <c r="GW16" s="101"/>
      <c r="GX16" s="101"/>
      <c r="GY16" s="101"/>
      <c r="GZ16" s="101"/>
      <c r="HA16" s="101"/>
      <c r="HB16" s="101"/>
      <c r="HC16" s="101"/>
      <c r="HD16" s="101"/>
      <c r="HE16" s="101"/>
      <c r="HF16" s="101"/>
      <c r="HG16" s="101"/>
      <c r="HH16" s="101"/>
      <c r="HI16" s="101"/>
      <c r="HJ16" s="101"/>
      <c r="HK16" s="101"/>
      <c r="HL16" s="101"/>
      <c r="HM16" s="101"/>
      <c r="HN16" s="101"/>
      <c r="HO16" s="101"/>
      <c r="HP16" s="101"/>
      <c r="HQ16" s="101"/>
      <c r="HR16" s="101"/>
      <c r="HS16" s="101"/>
      <c r="HT16" s="101"/>
      <c r="HU16" s="101"/>
      <c r="HV16" s="101"/>
      <c r="HW16" s="101"/>
      <c r="HX16" s="101"/>
      <c r="HY16" s="101"/>
      <c r="HZ16" s="101"/>
      <c r="IA16" s="101"/>
      <c r="IB16" s="101"/>
      <c r="IC16" s="101"/>
      <c r="ID16" s="101"/>
      <c r="IE16" s="101"/>
      <c r="IF16" s="101"/>
      <c r="IG16" s="101"/>
      <c r="IH16" s="101"/>
      <c r="II16" s="101"/>
      <c r="IJ16" s="101"/>
      <c r="IK16" s="101"/>
      <c r="IL16" s="101"/>
      <c r="IM16" s="101"/>
      <c r="IN16" s="101"/>
      <c r="IO16" s="101"/>
      <c r="IP16" s="101"/>
      <c r="IQ16" s="101"/>
      <c r="IR16" s="101"/>
      <c r="IS16" s="101"/>
      <c r="IT16" s="101"/>
      <c r="IU16" s="101"/>
      <c r="IV16" s="101"/>
      <c r="IW16" s="101"/>
      <c r="IX16" s="101"/>
      <c r="IY16" s="101"/>
      <c r="IZ16" s="101"/>
      <c r="JA16" s="101"/>
      <c r="JB16" s="101"/>
      <c r="JC16" s="101"/>
      <c r="JD16" s="101"/>
      <c r="JE16" s="101"/>
      <c r="JF16" s="101"/>
      <c r="JG16" s="101"/>
      <c r="JH16" s="101"/>
      <c r="JI16" s="101"/>
      <c r="JJ16" s="101"/>
      <c r="JK16" s="101"/>
      <c r="JL16" s="101"/>
      <c r="JM16" s="101"/>
      <c r="JN16" s="101"/>
      <c r="JO16" s="101"/>
      <c r="JP16" s="101"/>
      <c r="JQ16" s="101"/>
      <c r="JR16" s="101"/>
      <c r="JS16" s="101"/>
      <c r="JT16" s="101"/>
      <c r="JU16" s="101"/>
      <c r="JV16" s="101"/>
      <c r="JW16" s="101"/>
      <c r="JX16" s="101"/>
      <c r="JY16" s="101"/>
      <c r="JZ16" s="101"/>
      <c r="KA16" s="101"/>
      <c r="KB16" s="101"/>
      <c r="KC16" s="101"/>
      <c r="KD16" s="101"/>
      <c r="KE16" s="101"/>
      <c r="KF16" s="101"/>
      <c r="KG16" s="101"/>
      <c r="KH16" s="101">
        <v>1</v>
      </c>
      <c r="KI16" s="101">
        <v>4</v>
      </c>
      <c r="KJ16" s="101">
        <v>4</v>
      </c>
      <c r="KK16" s="101">
        <v>4</v>
      </c>
      <c r="KL16" s="101"/>
      <c r="KM16" s="101"/>
      <c r="KN16" s="101"/>
      <c r="KO16" s="101"/>
      <c r="KP16" s="101"/>
      <c r="KQ16" s="101"/>
      <c r="KR16" s="101">
        <v>4</v>
      </c>
      <c r="KS16" s="101">
        <v>3</v>
      </c>
      <c r="KT16" s="101"/>
      <c r="KU16" s="101"/>
      <c r="KV16" s="101"/>
      <c r="KW16" s="101"/>
      <c r="KX16" s="101"/>
      <c r="KY16" s="101"/>
      <c r="KZ16" s="101"/>
      <c r="LA16" s="101"/>
      <c r="LB16" s="101"/>
      <c r="LC16" s="101"/>
      <c r="LD16" s="101"/>
      <c r="LE16" s="101"/>
      <c r="LF16" s="101"/>
      <c r="LG16" s="101"/>
      <c r="LH16" s="101"/>
      <c r="LI16" s="101"/>
      <c r="LJ16" s="101"/>
      <c r="LK16" s="101"/>
      <c r="LL16" s="101"/>
      <c r="LM16" s="101">
        <v>1</v>
      </c>
      <c r="LN16" s="101">
        <v>4</v>
      </c>
      <c r="LO16" s="101">
        <v>4</v>
      </c>
      <c r="LP16" s="101"/>
      <c r="LQ16" s="101">
        <v>4</v>
      </c>
      <c r="LR16" s="101">
        <v>4</v>
      </c>
      <c r="LS16" s="101">
        <v>3</v>
      </c>
      <c r="LT16" s="101"/>
      <c r="LU16" s="101">
        <v>0</v>
      </c>
      <c r="LV16" s="101">
        <v>2</v>
      </c>
      <c r="LW16" s="101"/>
      <c r="LX16" s="101">
        <v>3</v>
      </c>
      <c r="LY16" s="101">
        <v>6</v>
      </c>
      <c r="LZ16" s="101">
        <v>6</v>
      </c>
      <c r="MA16" s="101">
        <v>6</v>
      </c>
      <c r="MB16" s="101">
        <v>6</v>
      </c>
      <c r="MC16" s="101">
        <v>5</v>
      </c>
      <c r="MD16" s="101"/>
      <c r="ME16" s="101">
        <v>2</v>
      </c>
      <c r="MF16" s="101"/>
      <c r="MG16" s="101">
        <v>0</v>
      </c>
      <c r="MH16" s="101">
        <v>2</v>
      </c>
      <c r="MI16" s="101">
        <v>2</v>
      </c>
      <c r="MJ16" s="101">
        <v>2</v>
      </c>
      <c r="MK16" s="101"/>
      <c r="ML16" s="101">
        <v>2</v>
      </c>
      <c r="MM16" s="101">
        <v>2</v>
      </c>
      <c r="MN16" s="101">
        <v>2</v>
      </c>
      <c r="MO16" s="101">
        <v>2</v>
      </c>
      <c r="MP16" s="101">
        <v>2</v>
      </c>
      <c r="MQ16" s="101"/>
      <c r="MR16" s="101"/>
      <c r="MS16" s="101">
        <v>0</v>
      </c>
      <c r="MT16" s="101">
        <v>2</v>
      </c>
      <c r="MU16" s="101">
        <v>2</v>
      </c>
      <c r="MV16" s="101">
        <v>2</v>
      </c>
      <c r="MW16" s="101">
        <v>2</v>
      </c>
      <c r="MX16" s="101">
        <v>2</v>
      </c>
      <c r="MY16" s="101"/>
      <c r="MZ16" s="101">
        <v>2</v>
      </c>
      <c r="NA16" s="101">
        <v>2</v>
      </c>
      <c r="NB16" s="101">
        <v>2</v>
      </c>
      <c r="NC16" s="101"/>
      <c r="ND16" s="101">
        <v>0</v>
      </c>
      <c r="NE16" s="101">
        <v>2</v>
      </c>
      <c r="NF16" s="101"/>
      <c r="NG16" s="101">
        <v>2</v>
      </c>
      <c r="NH16" s="101">
        <v>2</v>
      </c>
      <c r="NI16" s="101">
        <v>2</v>
      </c>
      <c r="NJ16" s="101">
        <v>2</v>
      </c>
      <c r="NK16" s="101">
        <v>2</v>
      </c>
      <c r="NL16" s="101">
        <v>2</v>
      </c>
      <c r="NM16" s="101"/>
      <c r="NN16" s="101">
        <v>2</v>
      </c>
      <c r="NO16" s="101"/>
      <c r="NP16" s="101">
        <v>0</v>
      </c>
      <c r="NQ16" s="101">
        <v>2</v>
      </c>
      <c r="NR16" s="101">
        <v>2</v>
      </c>
      <c r="NS16" s="101">
        <v>2</v>
      </c>
      <c r="NT16" s="101"/>
      <c r="NU16" s="101">
        <v>2</v>
      </c>
      <c r="NV16" s="101">
        <v>2</v>
      </c>
      <c r="NW16" s="101">
        <v>2</v>
      </c>
      <c r="NX16" s="101">
        <v>2</v>
      </c>
      <c r="NY16" s="101">
        <v>2</v>
      </c>
      <c r="NZ16" s="101"/>
      <c r="OA16" s="101"/>
      <c r="OB16" s="101">
        <v>0</v>
      </c>
      <c r="OC16" s="101">
        <v>2</v>
      </c>
      <c r="OD16" s="101">
        <v>2</v>
      </c>
      <c r="OE16" s="101">
        <v>2</v>
      </c>
      <c r="OF16" s="101">
        <v>2</v>
      </c>
      <c r="OG16" s="101">
        <v>2</v>
      </c>
      <c r="OH16" s="101"/>
      <c r="OI16" s="101">
        <v>2</v>
      </c>
      <c r="OJ16" s="101">
        <v>2</v>
      </c>
      <c r="OK16" s="101">
        <v>2</v>
      </c>
      <c r="OL16" s="101"/>
      <c r="OM16" s="101"/>
      <c r="ON16" s="101"/>
      <c r="OO16" s="101"/>
      <c r="OP16" s="101"/>
      <c r="OQ16" s="101"/>
      <c r="OR16" s="101">
        <v>4</v>
      </c>
      <c r="OS16" s="101">
        <v>5</v>
      </c>
      <c r="OT16" s="101">
        <v>8</v>
      </c>
      <c r="OU16" s="101">
        <v>8</v>
      </c>
      <c r="OV16" s="101"/>
      <c r="OW16" s="101">
        <v>8</v>
      </c>
      <c r="OX16" s="101">
        <v>8</v>
      </c>
      <c r="OY16" s="101">
        <v>8</v>
      </c>
      <c r="OZ16" s="101">
        <v>4</v>
      </c>
      <c r="PA16" s="101">
        <v>4</v>
      </c>
      <c r="PB16" s="101">
        <v>3</v>
      </c>
      <c r="PC16" s="101"/>
      <c r="PD16" s="101"/>
      <c r="PE16" s="101">
        <v>1</v>
      </c>
      <c r="PF16" s="101">
        <v>4</v>
      </c>
      <c r="PG16" s="101">
        <v>4</v>
      </c>
      <c r="PH16" s="101">
        <v>4</v>
      </c>
      <c r="PI16" s="101">
        <v>4</v>
      </c>
      <c r="PJ16" s="101"/>
      <c r="PK16" s="101">
        <v>4</v>
      </c>
      <c r="PL16" s="101">
        <v>4</v>
      </c>
      <c r="PM16" s="101">
        <v>4</v>
      </c>
      <c r="PN16" s="101">
        <v>3</v>
      </c>
      <c r="PO16" s="101"/>
      <c r="PP16" s="101">
        <v>1</v>
      </c>
      <c r="PQ16" s="101"/>
      <c r="PR16" s="101">
        <v>8</v>
      </c>
      <c r="PS16" s="101">
        <v>8</v>
      </c>
      <c r="PT16" s="101">
        <v>8</v>
      </c>
      <c r="PU16" s="101">
        <v>8</v>
      </c>
      <c r="PV16" s="101">
        <v>8</v>
      </c>
      <c r="PW16" s="101">
        <v>8</v>
      </c>
      <c r="PX16" s="101"/>
      <c r="PY16" s="101">
        <v>8</v>
      </c>
      <c r="PZ16" s="101">
        <v>3</v>
      </c>
      <c r="QA16" s="101"/>
      <c r="QB16" s="101"/>
      <c r="QC16" s="101"/>
      <c r="QD16" s="101"/>
      <c r="QE16" s="101"/>
      <c r="QF16" s="101"/>
      <c r="QG16" s="101"/>
      <c r="QH16" s="101"/>
      <c r="QI16" s="101"/>
      <c r="QJ16" s="101"/>
      <c r="QK16" s="101"/>
      <c r="QL16" s="101"/>
      <c r="QM16" s="101"/>
      <c r="QN16" s="101"/>
      <c r="QO16" s="101">
        <v>8</v>
      </c>
      <c r="QP16" s="101">
        <v>8</v>
      </c>
      <c r="QQ16" s="101">
        <v>16</v>
      </c>
      <c r="QR16" s="101">
        <v>16</v>
      </c>
      <c r="QS16" s="101"/>
      <c r="QT16" s="101">
        <v>20</v>
      </c>
      <c r="QU16" s="101">
        <v>20</v>
      </c>
      <c r="QV16" s="101">
        <v>12</v>
      </c>
      <c r="QW16" s="101">
        <v>12</v>
      </c>
      <c r="QX16" s="101">
        <v>4</v>
      </c>
      <c r="QY16" s="101">
        <v>4</v>
      </c>
      <c r="QZ16" s="101"/>
      <c r="RA16" s="101">
        <v>4</v>
      </c>
      <c r="RB16" s="101"/>
      <c r="RC16" s="101">
        <v>8</v>
      </c>
      <c r="RD16" s="101">
        <v>8</v>
      </c>
      <c r="RE16" s="101">
        <v>8</v>
      </c>
      <c r="RF16" s="101">
        <v>8</v>
      </c>
      <c r="RG16" s="101"/>
      <c r="RH16" s="101">
        <v>8</v>
      </c>
      <c r="RI16" s="101">
        <v>8</v>
      </c>
      <c r="RJ16" s="101"/>
      <c r="RK16" s="101"/>
      <c r="RL16" s="101"/>
      <c r="RM16" s="101"/>
      <c r="RN16" s="101"/>
      <c r="RO16" s="101"/>
      <c r="RP16" s="101"/>
      <c r="RQ16" s="101"/>
      <c r="RR16" s="101"/>
      <c r="RS16" s="101"/>
      <c r="RT16" s="101">
        <v>8</v>
      </c>
      <c r="RU16" s="101"/>
      <c r="RV16" s="101">
        <v>8</v>
      </c>
      <c r="RW16" s="101">
        <v>8</v>
      </c>
      <c r="RX16" s="101">
        <v>14</v>
      </c>
      <c r="RY16" s="101">
        <v>14</v>
      </c>
      <c r="RZ16" s="101">
        <v>14</v>
      </c>
      <c r="SA16" s="101">
        <v>14</v>
      </c>
      <c r="SB16" s="101"/>
      <c r="SC16" s="101">
        <v>14</v>
      </c>
      <c r="SD16" s="101">
        <v>6</v>
      </c>
      <c r="SE16" s="101">
        <v>6</v>
      </c>
      <c r="SF16" s="101">
        <v>14</v>
      </c>
      <c r="SG16" s="101">
        <v>14</v>
      </c>
      <c r="SH16" s="101">
        <v>14</v>
      </c>
      <c r="SI16" s="101"/>
      <c r="SJ16" s="101">
        <v>14</v>
      </c>
      <c r="SK16" s="101">
        <v>14</v>
      </c>
      <c r="SL16" s="101">
        <v>14</v>
      </c>
      <c r="SM16" s="101">
        <v>14</v>
      </c>
      <c r="SN16" s="101">
        <v>14</v>
      </c>
      <c r="SO16" s="101"/>
      <c r="SP16" s="101"/>
      <c r="SQ16" s="101"/>
      <c r="SR16" s="101">
        <v>8</v>
      </c>
      <c r="SS16" s="101">
        <v>8</v>
      </c>
      <c r="ST16" s="101">
        <v>8</v>
      </c>
      <c r="SU16" s="101">
        <v>8</v>
      </c>
      <c r="SV16" s="101">
        <v>8</v>
      </c>
      <c r="SW16" s="101"/>
      <c r="SX16" s="101">
        <v>8</v>
      </c>
      <c r="SY16" s="101">
        <v>8</v>
      </c>
      <c r="SZ16" s="101">
        <v>8</v>
      </c>
      <c r="TA16" s="101"/>
      <c r="TB16" s="101"/>
      <c r="TC16" s="101"/>
      <c r="TD16" s="101"/>
      <c r="TE16" s="101"/>
      <c r="TF16" s="101"/>
      <c r="TG16" s="101"/>
      <c r="TH16" s="101"/>
      <c r="TI16" s="101"/>
      <c r="TJ16" s="101"/>
      <c r="TK16" s="101"/>
      <c r="TL16" s="101"/>
      <c r="TM16" s="101"/>
      <c r="TN16" s="101"/>
      <c r="TO16" s="101"/>
      <c r="TP16" s="101"/>
      <c r="TQ16" s="101"/>
      <c r="TR16" s="101"/>
      <c r="TS16" s="101"/>
      <c r="TT16" s="101"/>
      <c r="TU16" s="101"/>
      <c r="TV16" s="101"/>
      <c r="TW16" s="101"/>
      <c r="TX16" s="101"/>
      <c r="TY16" s="101"/>
      <c r="TZ16" s="101"/>
      <c r="UA16" s="101"/>
      <c r="UB16" s="101"/>
      <c r="UC16" s="101"/>
      <c r="UD16" s="101"/>
      <c r="UE16" s="101"/>
      <c r="UF16" s="101"/>
      <c r="UG16" s="101"/>
      <c r="UH16" s="101"/>
      <c r="UI16" s="101"/>
      <c r="UJ16" s="101"/>
      <c r="UK16" s="101"/>
      <c r="UL16" s="101"/>
      <c r="UM16" s="101"/>
      <c r="UN16" s="101"/>
      <c r="UO16" s="101"/>
      <c r="UP16" s="101"/>
      <c r="UQ16" s="101"/>
      <c r="UR16" s="101"/>
      <c r="US16" s="101"/>
      <c r="UT16" s="101"/>
      <c r="UU16" s="101"/>
      <c r="UV16" s="101"/>
      <c r="UW16" s="101"/>
      <c r="UX16" s="101"/>
      <c r="UY16" s="101"/>
      <c r="UZ16" s="101"/>
      <c r="VA16" s="101"/>
      <c r="VB16" s="101"/>
      <c r="VC16" s="101"/>
      <c r="VD16" s="101"/>
      <c r="VE16" s="101"/>
      <c r="VF16" s="101"/>
      <c r="VG16" s="101"/>
      <c r="VH16" s="101"/>
      <c r="VI16" s="101"/>
      <c r="VJ16" s="101"/>
      <c r="VK16" s="101"/>
      <c r="VL16" s="101"/>
      <c r="VM16" s="101"/>
      <c r="VN16" s="101"/>
      <c r="VO16" s="101"/>
      <c r="VP16" s="101"/>
      <c r="VQ16" s="101"/>
      <c r="VR16" s="101"/>
      <c r="VS16" s="101"/>
      <c r="VT16" s="101"/>
      <c r="VU16" s="101"/>
      <c r="VV16" s="101"/>
      <c r="VW16" s="101"/>
      <c r="VX16" s="101"/>
      <c r="VY16" s="101"/>
      <c r="VZ16" s="101"/>
      <c r="WA16" s="101"/>
      <c r="WB16" s="101"/>
      <c r="WC16" s="101"/>
      <c r="WD16" s="101"/>
      <c r="WE16" s="101"/>
      <c r="WF16" s="101"/>
      <c r="WG16" s="101"/>
      <c r="WH16" s="101"/>
      <c r="WI16" s="101"/>
      <c r="WJ16" s="101"/>
      <c r="WK16" s="101"/>
      <c r="WL16" s="101"/>
      <c r="WM16" s="101"/>
      <c r="WN16" s="101"/>
      <c r="WO16" s="101"/>
      <c r="WP16" s="101"/>
      <c r="WQ16" s="101"/>
      <c r="WR16" s="101"/>
      <c r="WS16" s="101"/>
      <c r="WT16" s="101"/>
      <c r="WU16" s="101"/>
      <c r="WV16" s="101"/>
      <c r="WW16" s="101"/>
      <c r="WX16" s="101"/>
      <c r="WY16" s="101"/>
      <c r="WZ16" s="101"/>
      <c r="XA16" s="101"/>
      <c r="XB16" s="101"/>
      <c r="XC16" s="101"/>
      <c r="XD16" s="101"/>
      <c r="XE16" s="101"/>
      <c r="XF16" s="101"/>
      <c r="XG16" s="101"/>
      <c r="XH16" s="101"/>
      <c r="XI16" s="101"/>
      <c r="XJ16" s="101"/>
      <c r="XK16" s="101"/>
      <c r="XL16" s="101"/>
      <c r="XM16" s="101"/>
      <c r="XN16" s="101"/>
      <c r="XO16" s="101"/>
      <c r="XP16" s="101"/>
      <c r="XQ16" s="101"/>
      <c r="XR16" s="101"/>
      <c r="XS16" s="101"/>
      <c r="XT16" s="101"/>
      <c r="XU16" s="101"/>
      <c r="XV16" s="101"/>
      <c r="XW16" s="101"/>
      <c r="XX16" s="101"/>
      <c r="XY16" s="101"/>
      <c r="XZ16" s="101"/>
      <c r="YA16" s="101"/>
      <c r="YB16" s="101"/>
      <c r="YC16" s="101"/>
      <c r="YD16" s="101"/>
      <c r="YE16" s="101"/>
      <c r="YF16" s="101"/>
      <c r="YG16" s="101"/>
      <c r="YH16" s="101"/>
      <c r="YI16" s="101"/>
      <c r="YJ16" s="101"/>
      <c r="YK16" s="101"/>
      <c r="YL16" s="101"/>
      <c r="YM16" s="101"/>
      <c r="YN16" s="101"/>
      <c r="YO16" s="101"/>
      <c r="YP16" s="101"/>
      <c r="YQ16" s="101"/>
      <c r="YR16" s="101"/>
      <c r="YS16" s="101"/>
      <c r="YT16" s="101"/>
      <c r="YU16" s="101"/>
      <c r="YV16" s="101"/>
      <c r="YW16" s="101"/>
      <c r="YX16" s="101"/>
      <c r="YY16" s="101"/>
      <c r="YZ16" s="101"/>
      <c r="ZA16" s="101"/>
      <c r="ZB16" s="101"/>
      <c r="ZC16" s="101"/>
      <c r="ZD16" s="101"/>
      <c r="ZE16" s="101"/>
      <c r="ZF16" s="101"/>
      <c r="ZG16" s="101"/>
      <c r="ZH16" s="101"/>
    </row>
    <row r="17" spans="1:684">
      <c r="A17" s="75" t="s">
        <v>55</v>
      </c>
      <c r="B17" s="101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  <c r="BZ17" s="101"/>
      <c r="CA17" s="101"/>
      <c r="CB17" s="101"/>
      <c r="CC17" s="101"/>
      <c r="CD17" s="101"/>
      <c r="CE17" s="101"/>
      <c r="CF17" s="101"/>
      <c r="CG17" s="101"/>
      <c r="CH17" s="101"/>
      <c r="CI17" s="101"/>
      <c r="CJ17" s="101"/>
      <c r="CK17" s="101"/>
      <c r="CL17" s="101"/>
      <c r="CM17" s="101"/>
      <c r="CN17" s="101"/>
      <c r="CO17" s="101"/>
      <c r="CP17" s="101"/>
      <c r="CQ17" s="101"/>
      <c r="CR17" s="101"/>
      <c r="CS17" s="101"/>
      <c r="CT17" s="101"/>
      <c r="CU17" s="101"/>
      <c r="CV17" s="101"/>
      <c r="CW17" s="101"/>
      <c r="CX17" s="101"/>
      <c r="CY17" s="101"/>
      <c r="CZ17" s="101"/>
      <c r="DA17" s="101"/>
      <c r="DB17" s="101"/>
      <c r="DC17" s="101"/>
      <c r="DD17" s="101"/>
      <c r="DE17" s="101"/>
      <c r="DF17" s="101"/>
      <c r="DG17" s="101"/>
      <c r="DH17" s="101"/>
      <c r="DI17" s="101"/>
      <c r="DJ17" s="101"/>
      <c r="DK17" s="101"/>
      <c r="DL17" s="101"/>
      <c r="DM17" s="101"/>
      <c r="DN17" s="101"/>
      <c r="DO17" s="101"/>
      <c r="DP17" s="101"/>
      <c r="DQ17" s="101"/>
      <c r="DR17" s="101"/>
      <c r="DS17" s="101"/>
      <c r="DT17" s="101"/>
      <c r="DU17" s="101"/>
      <c r="DV17" s="101"/>
      <c r="DW17" s="101"/>
      <c r="DX17" s="101"/>
      <c r="DY17" s="101"/>
      <c r="DZ17" s="101"/>
      <c r="EA17" s="101"/>
      <c r="EB17" s="101"/>
      <c r="EC17" s="101"/>
      <c r="ED17" s="101"/>
      <c r="EE17" s="101"/>
      <c r="EF17" s="101"/>
      <c r="EG17" s="101"/>
      <c r="EH17" s="101"/>
      <c r="EI17" s="101"/>
      <c r="EJ17" s="101"/>
      <c r="EK17" s="101"/>
      <c r="EL17" s="101"/>
      <c r="EM17" s="101"/>
      <c r="EN17" s="101"/>
      <c r="EO17" s="101"/>
      <c r="EP17" s="101"/>
      <c r="EQ17" s="101"/>
      <c r="ER17" s="101"/>
      <c r="ES17" s="101"/>
      <c r="ET17" s="101"/>
      <c r="EU17" s="101"/>
      <c r="EV17" s="101"/>
      <c r="EW17" s="101"/>
      <c r="EX17" s="101"/>
      <c r="EY17" s="101"/>
      <c r="EZ17" s="101"/>
      <c r="FA17" s="101"/>
      <c r="FB17" s="101"/>
      <c r="FC17" s="101"/>
      <c r="FD17" s="101"/>
      <c r="FE17" s="101"/>
      <c r="FF17" s="101"/>
      <c r="FG17" s="101"/>
      <c r="FH17" s="101"/>
      <c r="FI17" s="101"/>
      <c r="FJ17" s="101"/>
      <c r="FK17" s="101"/>
      <c r="FL17" s="101"/>
      <c r="FM17" s="101"/>
      <c r="FN17" s="101"/>
      <c r="FO17" s="101"/>
      <c r="FP17" s="101"/>
      <c r="FQ17" s="101"/>
      <c r="FR17" s="101"/>
      <c r="FS17" s="101"/>
      <c r="FT17" s="101"/>
      <c r="FU17" s="101"/>
      <c r="FV17" s="101"/>
      <c r="FW17" s="101"/>
      <c r="FX17" s="101"/>
      <c r="FY17" s="101"/>
      <c r="FZ17" s="101"/>
      <c r="GA17" s="101"/>
      <c r="GB17" s="101"/>
      <c r="GC17" s="101"/>
      <c r="GD17" s="101"/>
      <c r="GE17" s="101"/>
      <c r="GF17" s="101"/>
      <c r="GG17" s="101"/>
      <c r="GH17" s="101"/>
      <c r="GI17" s="101"/>
      <c r="GJ17" s="101"/>
      <c r="GK17" s="101"/>
      <c r="GL17" s="101"/>
      <c r="GM17" s="101"/>
      <c r="GN17" s="101"/>
      <c r="GO17" s="101"/>
      <c r="GP17" s="101"/>
      <c r="GQ17" s="101"/>
      <c r="GR17" s="101"/>
      <c r="GS17" s="101"/>
      <c r="GT17" s="101"/>
      <c r="GU17" s="101"/>
      <c r="GV17" s="101"/>
      <c r="GW17" s="101"/>
      <c r="GX17" s="101"/>
      <c r="GY17" s="101"/>
      <c r="GZ17" s="101"/>
      <c r="HA17" s="101"/>
      <c r="HB17" s="101"/>
      <c r="HC17" s="101"/>
      <c r="HD17" s="101"/>
      <c r="HE17" s="101"/>
      <c r="HF17" s="101"/>
      <c r="HG17" s="101"/>
      <c r="HH17" s="101"/>
      <c r="HI17" s="101"/>
      <c r="HJ17" s="101"/>
      <c r="HK17" s="101"/>
      <c r="HL17" s="101"/>
      <c r="HM17" s="101"/>
      <c r="HN17" s="101"/>
      <c r="HO17" s="101"/>
      <c r="HP17" s="101"/>
      <c r="HQ17" s="101"/>
      <c r="HR17" s="101"/>
      <c r="HS17" s="101"/>
      <c r="HT17" s="101"/>
      <c r="HU17" s="101"/>
      <c r="HV17" s="101"/>
      <c r="HW17" s="101"/>
      <c r="HX17" s="101"/>
      <c r="HY17" s="101"/>
      <c r="HZ17" s="101"/>
      <c r="IA17" s="101"/>
      <c r="IB17" s="101"/>
      <c r="IC17" s="101"/>
      <c r="ID17" s="101"/>
      <c r="IE17" s="101"/>
      <c r="IF17" s="101"/>
      <c r="IG17" s="101"/>
      <c r="IH17" s="101"/>
      <c r="II17" s="101"/>
      <c r="IJ17" s="101"/>
      <c r="IK17" s="101"/>
      <c r="IL17" s="101"/>
      <c r="IM17" s="101"/>
      <c r="IN17" s="101"/>
      <c r="IO17" s="101"/>
      <c r="IP17" s="101"/>
      <c r="IQ17" s="101"/>
      <c r="IR17" s="101"/>
      <c r="IS17" s="101"/>
      <c r="IT17" s="101"/>
      <c r="IU17" s="101"/>
      <c r="IV17" s="101"/>
      <c r="IW17" s="101"/>
      <c r="IX17" s="101"/>
      <c r="IY17" s="101"/>
      <c r="IZ17" s="101"/>
      <c r="JA17" s="101"/>
      <c r="JB17" s="101"/>
      <c r="JC17" s="101"/>
      <c r="JD17" s="101"/>
      <c r="JE17" s="101"/>
      <c r="JF17" s="101"/>
      <c r="JG17" s="101"/>
      <c r="JH17" s="101"/>
      <c r="JI17" s="101"/>
      <c r="JJ17" s="101"/>
      <c r="JK17" s="101"/>
      <c r="JL17" s="101"/>
      <c r="JM17" s="101"/>
      <c r="JN17" s="101"/>
      <c r="JO17" s="101"/>
      <c r="JP17" s="101"/>
      <c r="JQ17" s="101"/>
      <c r="JR17" s="101"/>
      <c r="JS17" s="101"/>
      <c r="JT17" s="101"/>
      <c r="JU17" s="101"/>
      <c r="JV17" s="101"/>
      <c r="JW17" s="101"/>
      <c r="JX17" s="101"/>
      <c r="JY17" s="101"/>
      <c r="JZ17" s="101"/>
      <c r="KA17" s="101"/>
      <c r="KB17" s="101"/>
      <c r="KC17" s="101"/>
      <c r="KD17" s="101"/>
      <c r="KE17" s="101"/>
      <c r="KF17" s="101"/>
      <c r="KG17" s="101"/>
      <c r="KH17" s="101"/>
      <c r="KI17" s="101"/>
      <c r="KJ17" s="101"/>
      <c r="KK17" s="101"/>
      <c r="KL17" s="101"/>
      <c r="KM17" s="101"/>
      <c r="KN17" s="101"/>
      <c r="KO17" s="101"/>
      <c r="KP17" s="101"/>
      <c r="KQ17" s="101"/>
      <c r="KR17" s="101"/>
      <c r="KS17" s="101"/>
      <c r="KT17" s="101"/>
      <c r="KU17" s="101"/>
      <c r="KV17" s="101"/>
      <c r="KW17" s="101"/>
      <c r="KX17" s="101"/>
      <c r="KY17" s="101"/>
      <c r="KZ17" s="101"/>
      <c r="LA17" s="101"/>
      <c r="LB17" s="101"/>
      <c r="LC17" s="101"/>
      <c r="LD17" s="101"/>
      <c r="LE17" s="101"/>
      <c r="LF17" s="101"/>
      <c r="LG17" s="101"/>
      <c r="LH17" s="101"/>
      <c r="LI17" s="101"/>
      <c r="LJ17" s="101"/>
      <c r="LK17" s="101"/>
      <c r="LL17" s="101"/>
      <c r="LM17" s="101"/>
      <c r="LN17" s="101"/>
      <c r="LO17" s="101"/>
      <c r="LP17" s="101"/>
      <c r="LQ17" s="101"/>
      <c r="LR17" s="101"/>
      <c r="LS17" s="101"/>
      <c r="LT17" s="101"/>
      <c r="LU17" s="101"/>
      <c r="LV17" s="101"/>
      <c r="LW17" s="101"/>
      <c r="LX17" s="101"/>
      <c r="LY17" s="101"/>
      <c r="LZ17" s="101"/>
      <c r="MA17" s="101">
        <v>2</v>
      </c>
      <c r="MB17" s="101">
        <v>12</v>
      </c>
      <c r="MC17" s="101">
        <v>12</v>
      </c>
      <c r="MD17" s="101"/>
      <c r="ME17" s="101">
        <v>12</v>
      </c>
      <c r="MF17" s="101">
        <v>12</v>
      </c>
      <c r="MG17" s="101">
        <v>12</v>
      </c>
      <c r="MH17" s="101">
        <v>12</v>
      </c>
      <c r="MI17" s="101">
        <v>12</v>
      </c>
      <c r="MJ17" s="101">
        <v>10</v>
      </c>
      <c r="MK17" s="101"/>
      <c r="ML17" s="101"/>
      <c r="MM17" s="101"/>
      <c r="MN17" s="101"/>
      <c r="MO17" s="101"/>
      <c r="MP17" s="101"/>
      <c r="MQ17" s="101"/>
      <c r="MR17" s="101"/>
      <c r="MS17" s="101"/>
      <c r="MT17" s="101"/>
      <c r="MU17" s="101"/>
      <c r="MV17" s="101"/>
      <c r="MW17" s="101"/>
      <c r="MX17" s="101"/>
      <c r="MY17" s="101"/>
      <c r="MZ17" s="101"/>
      <c r="NA17" s="101">
        <v>2</v>
      </c>
      <c r="NB17" s="101">
        <v>12</v>
      </c>
      <c r="NC17" s="101">
        <v>12</v>
      </c>
      <c r="ND17" s="101">
        <v>12</v>
      </c>
      <c r="NE17" s="101">
        <v>12</v>
      </c>
      <c r="NF17" s="101"/>
      <c r="NG17" s="101">
        <v>12</v>
      </c>
      <c r="NH17" s="101">
        <v>12</v>
      </c>
      <c r="NI17" s="101">
        <v>12</v>
      </c>
      <c r="NJ17" s="101">
        <v>10</v>
      </c>
      <c r="NK17" s="101">
        <v>2</v>
      </c>
      <c r="NL17" s="101">
        <v>12</v>
      </c>
      <c r="NM17" s="101"/>
      <c r="NN17" s="101">
        <v>12</v>
      </c>
      <c r="NO17" s="101">
        <v>12</v>
      </c>
      <c r="NP17" s="101">
        <v>12</v>
      </c>
      <c r="NQ17" s="101">
        <v>12</v>
      </c>
      <c r="NR17" s="101">
        <v>12</v>
      </c>
      <c r="NS17" s="101">
        <v>12</v>
      </c>
      <c r="NT17" s="101"/>
      <c r="NU17" s="101">
        <v>10</v>
      </c>
      <c r="NV17" s="101"/>
      <c r="NW17" s="101"/>
      <c r="NX17" s="101">
        <v>2</v>
      </c>
      <c r="NY17" s="101">
        <v>10</v>
      </c>
      <c r="NZ17" s="101">
        <v>10</v>
      </c>
      <c r="OA17" s="101"/>
      <c r="OB17" s="101">
        <v>10</v>
      </c>
      <c r="OC17" s="101">
        <v>10</v>
      </c>
      <c r="OD17" s="101">
        <v>10</v>
      </c>
      <c r="OE17" s="101">
        <v>10</v>
      </c>
      <c r="OF17" s="101">
        <v>10</v>
      </c>
      <c r="OG17" s="101">
        <v>8</v>
      </c>
      <c r="OH17" s="101"/>
      <c r="OI17" s="101"/>
      <c r="OJ17" s="101">
        <v>2</v>
      </c>
      <c r="OK17" s="101">
        <v>10</v>
      </c>
      <c r="OL17" s="101">
        <v>10</v>
      </c>
      <c r="OM17" s="101">
        <v>10</v>
      </c>
      <c r="ON17" s="101">
        <v>10</v>
      </c>
      <c r="OO17" s="101"/>
      <c r="OP17" s="101">
        <v>10</v>
      </c>
      <c r="OQ17" s="101">
        <v>10</v>
      </c>
      <c r="OR17" s="101">
        <v>10</v>
      </c>
      <c r="OS17" s="101">
        <v>8</v>
      </c>
      <c r="OT17" s="101"/>
      <c r="OU17" s="101"/>
      <c r="OV17" s="101"/>
      <c r="OW17" s="101"/>
      <c r="OX17" s="101"/>
      <c r="OY17" s="101"/>
      <c r="OZ17" s="101"/>
      <c r="PA17" s="101"/>
      <c r="PB17" s="101"/>
      <c r="PC17" s="101"/>
      <c r="PD17" s="101">
        <v>10</v>
      </c>
      <c r="PE17" s="101">
        <v>10</v>
      </c>
      <c r="PF17" s="101">
        <v>10</v>
      </c>
      <c r="PG17" s="101">
        <v>10</v>
      </c>
      <c r="PH17" s="101">
        <v>10</v>
      </c>
      <c r="PI17" s="101">
        <v>10</v>
      </c>
      <c r="PJ17" s="101"/>
      <c r="PK17" s="101">
        <v>10</v>
      </c>
      <c r="PL17" s="101">
        <v>10</v>
      </c>
      <c r="PM17" s="101"/>
      <c r="PN17" s="101"/>
      <c r="PO17" s="101"/>
      <c r="PP17" s="101"/>
      <c r="PQ17" s="101"/>
      <c r="PR17" s="101"/>
      <c r="PS17" s="101"/>
      <c r="PT17" s="101"/>
      <c r="PU17" s="101"/>
      <c r="PV17" s="101"/>
      <c r="PW17" s="101"/>
      <c r="PX17" s="101"/>
      <c r="PY17" s="101"/>
      <c r="PZ17" s="101"/>
      <c r="QA17" s="101"/>
      <c r="QB17" s="101"/>
      <c r="QC17" s="101"/>
      <c r="QD17" s="101"/>
      <c r="QE17" s="101"/>
      <c r="QF17" s="101"/>
      <c r="QG17" s="101"/>
      <c r="QH17" s="101"/>
      <c r="QI17" s="101"/>
      <c r="QJ17" s="101"/>
      <c r="QK17" s="101"/>
      <c r="QL17" s="101"/>
      <c r="QM17" s="101"/>
      <c r="QN17" s="101"/>
      <c r="QO17" s="101"/>
      <c r="QP17" s="101"/>
      <c r="QQ17" s="101"/>
      <c r="QR17" s="101"/>
      <c r="QS17" s="101"/>
      <c r="QT17" s="101"/>
      <c r="QU17" s="101"/>
      <c r="QV17" s="101"/>
      <c r="QW17" s="101"/>
      <c r="QX17" s="101"/>
      <c r="QY17" s="101"/>
      <c r="QZ17" s="101"/>
      <c r="RA17" s="101"/>
      <c r="RB17" s="101"/>
      <c r="RC17" s="101"/>
      <c r="RD17" s="101"/>
      <c r="RE17" s="101"/>
      <c r="RF17" s="101"/>
      <c r="RG17" s="101"/>
      <c r="RH17" s="101"/>
      <c r="RI17" s="101"/>
      <c r="RJ17" s="101"/>
      <c r="RK17" s="101"/>
      <c r="RL17" s="101"/>
      <c r="RM17" s="101"/>
      <c r="RN17" s="101"/>
      <c r="RO17" s="101"/>
      <c r="RP17" s="101"/>
      <c r="RQ17" s="101"/>
      <c r="RR17" s="101"/>
      <c r="RS17" s="101"/>
      <c r="RT17" s="101"/>
      <c r="RU17" s="101"/>
      <c r="RV17" s="101"/>
      <c r="RW17" s="101"/>
      <c r="RX17" s="101"/>
      <c r="RY17" s="101"/>
      <c r="RZ17" s="101"/>
      <c r="SA17" s="101"/>
      <c r="SB17" s="101"/>
      <c r="SC17" s="101"/>
      <c r="SD17" s="101"/>
      <c r="SE17" s="101"/>
      <c r="SF17" s="101"/>
      <c r="SG17" s="101"/>
      <c r="SH17" s="101"/>
      <c r="SI17" s="101"/>
      <c r="SJ17" s="101"/>
      <c r="SK17" s="101"/>
      <c r="SL17" s="101"/>
      <c r="SM17" s="101"/>
      <c r="SN17" s="101"/>
      <c r="SO17" s="101"/>
      <c r="SP17" s="101"/>
      <c r="SQ17" s="101"/>
      <c r="SR17" s="101"/>
      <c r="SS17" s="101"/>
      <c r="ST17" s="101"/>
      <c r="SU17" s="101"/>
      <c r="SV17" s="101"/>
      <c r="SW17" s="101"/>
      <c r="SX17" s="101"/>
      <c r="SY17" s="101"/>
      <c r="SZ17" s="101"/>
      <c r="TA17" s="101"/>
      <c r="TB17" s="101"/>
      <c r="TC17" s="101"/>
      <c r="TD17" s="101"/>
      <c r="TE17" s="101"/>
      <c r="TF17" s="101"/>
      <c r="TG17" s="101"/>
      <c r="TH17" s="101"/>
      <c r="TI17" s="101"/>
      <c r="TJ17" s="101"/>
      <c r="TK17" s="101"/>
      <c r="TL17" s="101"/>
      <c r="TM17" s="101"/>
      <c r="TN17" s="101"/>
      <c r="TO17" s="101"/>
      <c r="TP17" s="101"/>
      <c r="TQ17" s="101"/>
      <c r="TR17" s="101"/>
      <c r="TS17" s="101"/>
      <c r="TT17" s="101"/>
      <c r="TU17" s="101"/>
      <c r="TV17" s="101"/>
      <c r="TW17" s="101"/>
      <c r="TX17" s="101"/>
      <c r="TY17" s="101"/>
      <c r="TZ17" s="101"/>
      <c r="UA17" s="101"/>
      <c r="UB17" s="101"/>
      <c r="UC17" s="101"/>
      <c r="UD17" s="101"/>
      <c r="UE17" s="101"/>
      <c r="UF17" s="101"/>
      <c r="UG17" s="101"/>
      <c r="UH17" s="101"/>
      <c r="UI17" s="101"/>
      <c r="UJ17" s="101"/>
      <c r="UK17" s="101"/>
      <c r="UL17" s="101"/>
      <c r="UM17" s="101"/>
      <c r="UN17" s="101"/>
      <c r="UO17" s="101"/>
      <c r="UP17" s="101"/>
      <c r="UQ17" s="101"/>
      <c r="UR17" s="101"/>
      <c r="US17" s="101"/>
      <c r="UT17" s="101"/>
      <c r="UU17" s="101"/>
      <c r="UV17" s="101"/>
      <c r="UW17" s="101"/>
      <c r="UX17" s="101"/>
      <c r="UY17" s="101"/>
      <c r="UZ17" s="101"/>
      <c r="VA17" s="101"/>
      <c r="VB17" s="101"/>
      <c r="VC17" s="101"/>
      <c r="VD17" s="101"/>
      <c r="VE17" s="101"/>
      <c r="VF17" s="101"/>
      <c r="VG17" s="101"/>
      <c r="VH17" s="101"/>
      <c r="VI17" s="101"/>
      <c r="VJ17" s="101"/>
      <c r="VK17" s="101"/>
      <c r="VL17" s="101"/>
      <c r="VM17" s="101"/>
      <c r="VN17" s="101"/>
      <c r="VO17" s="101"/>
      <c r="VP17" s="101"/>
      <c r="VQ17" s="101"/>
      <c r="VR17" s="101"/>
      <c r="VS17" s="101"/>
      <c r="VT17" s="101"/>
      <c r="VU17" s="101"/>
      <c r="VV17" s="101"/>
      <c r="VW17" s="101"/>
      <c r="VX17" s="101"/>
      <c r="VY17" s="101"/>
      <c r="VZ17" s="101"/>
      <c r="WA17" s="101"/>
      <c r="WB17" s="101"/>
      <c r="WC17" s="101"/>
      <c r="WD17" s="101"/>
      <c r="WE17" s="101"/>
      <c r="WF17" s="101"/>
      <c r="WG17" s="101"/>
      <c r="WH17" s="101"/>
      <c r="WI17" s="101"/>
      <c r="WJ17" s="101"/>
      <c r="WK17" s="101"/>
      <c r="WL17" s="101"/>
      <c r="WM17" s="101"/>
      <c r="WN17" s="101"/>
      <c r="WO17" s="101"/>
      <c r="WP17" s="101"/>
      <c r="WQ17" s="101"/>
      <c r="WR17" s="101"/>
      <c r="WS17" s="101"/>
      <c r="WT17" s="101"/>
      <c r="WU17" s="101"/>
      <c r="WV17" s="101"/>
      <c r="WW17" s="101"/>
      <c r="WX17" s="101"/>
      <c r="WY17" s="101"/>
      <c r="WZ17" s="101"/>
      <c r="XA17" s="101"/>
      <c r="XB17" s="101"/>
      <c r="XC17" s="101"/>
      <c r="XD17" s="101"/>
      <c r="XE17" s="101"/>
      <c r="XF17" s="101"/>
      <c r="XG17" s="101"/>
      <c r="XH17" s="101"/>
      <c r="XI17" s="101"/>
      <c r="XJ17" s="101"/>
      <c r="XK17" s="101"/>
      <c r="XL17" s="101"/>
      <c r="XM17" s="101"/>
      <c r="XN17" s="101"/>
      <c r="XO17" s="101"/>
      <c r="XP17" s="101"/>
      <c r="XQ17" s="101"/>
      <c r="XR17" s="101"/>
      <c r="XS17" s="101"/>
      <c r="XT17" s="101"/>
      <c r="XU17" s="101"/>
      <c r="XV17" s="101"/>
      <c r="XW17" s="101"/>
      <c r="XX17" s="101"/>
      <c r="XY17" s="101"/>
      <c r="XZ17" s="101"/>
      <c r="YA17" s="101"/>
      <c r="YB17" s="101"/>
      <c r="YC17" s="101"/>
      <c r="YD17" s="101"/>
      <c r="YE17" s="101"/>
      <c r="YF17" s="101"/>
      <c r="YG17" s="101"/>
      <c r="YH17" s="101"/>
      <c r="YI17" s="101"/>
      <c r="YJ17" s="101"/>
      <c r="YK17" s="101"/>
      <c r="YL17" s="101"/>
      <c r="YM17" s="101"/>
      <c r="YN17" s="101"/>
      <c r="YO17" s="101"/>
      <c r="YP17" s="101"/>
      <c r="YQ17" s="101"/>
      <c r="YR17" s="101"/>
      <c r="YS17" s="101"/>
      <c r="YT17" s="101"/>
      <c r="YU17" s="101"/>
      <c r="YV17" s="101"/>
      <c r="YW17" s="101"/>
      <c r="YX17" s="101"/>
      <c r="YY17" s="101"/>
      <c r="YZ17" s="101"/>
      <c r="ZA17" s="101"/>
      <c r="ZB17" s="101"/>
      <c r="ZC17" s="101"/>
      <c r="ZD17" s="101"/>
      <c r="ZE17" s="101"/>
      <c r="ZF17" s="101"/>
      <c r="ZG17" s="101"/>
      <c r="ZH17" s="101"/>
    </row>
    <row r="18" spans="1:684">
      <c r="A18" s="75" t="s">
        <v>56</v>
      </c>
      <c r="B18" s="101"/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1"/>
      <c r="AQ18" s="101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1"/>
      <c r="BF18" s="101"/>
      <c r="BG18" s="101"/>
      <c r="BH18" s="101"/>
      <c r="BI18" s="101"/>
      <c r="BJ18" s="101"/>
      <c r="BK18" s="101"/>
      <c r="BL18" s="101"/>
      <c r="BM18" s="101"/>
      <c r="BN18" s="101"/>
      <c r="BO18" s="101"/>
      <c r="BP18" s="101"/>
      <c r="BQ18" s="101"/>
      <c r="BR18" s="101"/>
      <c r="BS18" s="101"/>
      <c r="BT18" s="101"/>
      <c r="BU18" s="101"/>
      <c r="BV18" s="101"/>
      <c r="BW18" s="101"/>
      <c r="BX18" s="101"/>
      <c r="BY18" s="101"/>
      <c r="BZ18" s="101"/>
      <c r="CA18" s="101"/>
      <c r="CB18" s="101"/>
      <c r="CC18" s="101"/>
      <c r="CD18" s="101"/>
      <c r="CE18" s="101"/>
      <c r="CF18" s="101"/>
      <c r="CG18" s="101"/>
      <c r="CH18" s="101"/>
      <c r="CI18" s="101"/>
      <c r="CJ18" s="101"/>
      <c r="CK18" s="101"/>
      <c r="CL18" s="101"/>
      <c r="CM18" s="101"/>
      <c r="CN18" s="101"/>
      <c r="CO18" s="101"/>
      <c r="CP18" s="101"/>
      <c r="CQ18" s="101"/>
      <c r="CR18" s="101"/>
      <c r="CS18" s="101"/>
      <c r="CT18" s="101"/>
      <c r="CU18" s="101"/>
      <c r="CV18" s="101"/>
      <c r="CW18" s="101"/>
      <c r="CX18" s="101"/>
      <c r="CY18" s="101"/>
      <c r="CZ18" s="101"/>
      <c r="DA18" s="101"/>
      <c r="DB18" s="101"/>
      <c r="DC18" s="101"/>
      <c r="DD18" s="101"/>
      <c r="DE18" s="101"/>
      <c r="DF18" s="101"/>
      <c r="DG18" s="101"/>
      <c r="DH18" s="101"/>
      <c r="DI18" s="101"/>
      <c r="DJ18" s="101"/>
      <c r="DK18" s="101"/>
      <c r="DL18" s="101"/>
      <c r="DM18" s="101"/>
      <c r="DN18" s="101"/>
      <c r="DO18" s="101"/>
      <c r="DP18" s="101"/>
      <c r="DQ18" s="101"/>
      <c r="DR18" s="101"/>
      <c r="DS18" s="101"/>
      <c r="DT18" s="101"/>
      <c r="DU18" s="101"/>
      <c r="DV18" s="101"/>
      <c r="DW18" s="101"/>
      <c r="DX18" s="101"/>
      <c r="DY18" s="101"/>
      <c r="DZ18" s="101"/>
      <c r="EA18" s="101"/>
      <c r="EB18" s="101"/>
      <c r="EC18" s="101"/>
      <c r="ED18" s="101"/>
      <c r="EE18" s="101"/>
      <c r="EF18" s="101"/>
      <c r="EG18" s="101"/>
      <c r="EH18" s="101"/>
      <c r="EI18" s="101"/>
      <c r="EJ18" s="101"/>
      <c r="EK18" s="101"/>
      <c r="EL18" s="101"/>
      <c r="EM18" s="101"/>
      <c r="EN18" s="101"/>
      <c r="EO18" s="101"/>
      <c r="EP18" s="101"/>
      <c r="EQ18" s="101"/>
      <c r="ER18" s="101"/>
      <c r="ES18" s="101"/>
      <c r="ET18" s="101"/>
      <c r="EU18" s="101"/>
      <c r="EV18" s="101"/>
      <c r="EW18" s="101"/>
      <c r="EX18" s="101"/>
      <c r="EY18" s="101"/>
      <c r="EZ18" s="101"/>
      <c r="FA18" s="101"/>
      <c r="FB18" s="101"/>
      <c r="FC18" s="101"/>
      <c r="FD18" s="101"/>
      <c r="FE18" s="101"/>
      <c r="FF18" s="101"/>
      <c r="FG18" s="101"/>
      <c r="FH18" s="101"/>
      <c r="FI18" s="101"/>
      <c r="FJ18" s="101"/>
      <c r="FK18" s="101"/>
      <c r="FL18" s="101"/>
      <c r="FM18" s="101"/>
      <c r="FN18" s="101"/>
      <c r="FO18" s="101"/>
      <c r="FP18" s="101"/>
      <c r="FQ18" s="101"/>
      <c r="FR18" s="101"/>
      <c r="FS18" s="101"/>
      <c r="FT18" s="101"/>
      <c r="FU18" s="101"/>
      <c r="FV18" s="101"/>
      <c r="FW18" s="101"/>
      <c r="FX18" s="101"/>
      <c r="FY18" s="101"/>
      <c r="FZ18" s="101"/>
      <c r="GA18" s="101"/>
      <c r="GB18" s="101"/>
      <c r="GC18" s="101"/>
      <c r="GD18" s="101"/>
      <c r="GE18" s="101"/>
      <c r="GF18" s="101"/>
      <c r="GG18" s="101"/>
      <c r="GH18" s="101"/>
      <c r="GI18" s="101"/>
      <c r="GJ18" s="101"/>
      <c r="GK18" s="101"/>
      <c r="GL18" s="101"/>
      <c r="GM18" s="101"/>
      <c r="GN18" s="101"/>
      <c r="GO18" s="101"/>
      <c r="GP18" s="101"/>
      <c r="GQ18" s="101"/>
      <c r="GR18" s="101"/>
      <c r="GS18" s="101"/>
      <c r="GT18" s="101"/>
      <c r="GU18" s="101"/>
      <c r="GV18" s="101"/>
      <c r="GW18" s="101"/>
      <c r="GX18" s="101"/>
      <c r="GY18" s="101"/>
      <c r="GZ18" s="101"/>
      <c r="HA18" s="101"/>
      <c r="HB18" s="101"/>
      <c r="HC18" s="101"/>
      <c r="HD18" s="101"/>
      <c r="HE18" s="101"/>
      <c r="HF18" s="101"/>
      <c r="HG18" s="101"/>
      <c r="HH18" s="101"/>
      <c r="HI18" s="101"/>
      <c r="HJ18" s="101"/>
      <c r="HK18" s="101"/>
      <c r="HL18" s="101"/>
      <c r="HM18" s="101"/>
      <c r="HN18" s="101"/>
      <c r="HO18" s="101"/>
      <c r="HP18" s="101"/>
      <c r="HQ18" s="101"/>
      <c r="HR18" s="101"/>
      <c r="HS18" s="101"/>
      <c r="HT18" s="101"/>
      <c r="HU18" s="101"/>
      <c r="HV18" s="101"/>
      <c r="HW18" s="101"/>
      <c r="HX18" s="101"/>
      <c r="HY18" s="101"/>
      <c r="HZ18" s="101"/>
      <c r="IA18" s="101"/>
      <c r="IB18" s="101"/>
      <c r="IC18" s="101"/>
      <c r="ID18" s="101"/>
      <c r="IE18" s="101"/>
      <c r="IF18" s="101"/>
      <c r="IG18" s="101"/>
      <c r="IH18" s="101"/>
      <c r="II18" s="101"/>
      <c r="IJ18" s="101"/>
      <c r="IK18" s="101"/>
      <c r="IL18" s="101"/>
      <c r="IM18" s="101"/>
      <c r="IN18" s="101"/>
      <c r="IO18" s="101"/>
      <c r="IP18" s="101"/>
      <c r="IQ18" s="101"/>
      <c r="IR18" s="101"/>
      <c r="IS18" s="101"/>
      <c r="IT18" s="101"/>
      <c r="IU18" s="101"/>
      <c r="IV18" s="101"/>
      <c r="IW18" s="101"/>
      <c r="IX18" s="101"/>
      <c r="IY18" s="101"/>
      <c r="IZ18" s="101"/>
      <c r="JA18" s="101"/>
      <c r="JB18" s="101"/>
      <c r="JC18" s="101"/>
      <c r="JD18" s="101"/>
      <c r="JE18" s="101"/>
      <c r="JF18" s="101"/>
      <c r="JG18" s="101"/>
      <c r="JH18" s="101"/>
      <c r="JI18" s="101"/>
      <c r="JJ18" s="101"/>
      <c r="JK18" s="101"/>
      <c r="JL18" s="101"/>
      <c r="JM18" s="101"/>
      <c r="JN18" s="101"/>
      <c r="JO18" s="101"/>
      <c r="JP18" s="101"/>
      <c r="JQ18" s="101"/>
      <c r="JR18" s="101"/>
      <c r="JS18" s="101"/>
      <c r="JT18" s="101"/>
      <c r="JU18" s="101"/>
      <c r="JV18" s="101"/>
      <c r="JW18" s="101"/>
      <c r="JX18" s="101"/>
      <c r="JY18" s="101"/>
      <c r="JZ18" s="101"/>
      <c r="KA18" s="101"/>
      <c r="KB18" s="101"/>
      <c r="KC18" s="101"/>
      <c r="KD18" s="101"/>
      <c r="KE18" s="101"/>
      <c r="KF18" s="101"/>
      <c r="KG18" s="101"/>
      <c r="KH18" s="101"/>
      <c r="KI18" s="101"/>
      <c r="KJ18" s="101"/>
      <c r="KK18" s="101"/>
      <c r="KL18" s="101"/>
      <c r="KM18" s="101"/>
      <c r="KN18" s="101"/>
      <c r="KO18" s="101"/>
      <c r="KP18" s="101"/>
      <c r="KQ18" s="101"/>
      <c r="KR18" s="101"/>
      <c r="KS18" s="101"/>
      <c r="KT18" s="101"/>
      <c r="KU18" s="101"/>
      <c r="KV18" s="101"/>
      <c r="KW18" s="101"/>
      <c r="KX18" s="101"/>
      <c r="KY18" s="101"/>
      <c r="KZ18" s="101"/>
      <c r="LA18" s="101"/>
      <c r="LB18" s="101"/>
      <c r="LC18" s="101"/>
      <c r="LD18" s="101"/>
      <c r="LE18" s="101"/>
      <c r="LF18" s="101"/>
      <c r="LG18" s="101"/>
      <c r="LH18" s="101"/>
      <c r="LI18" s="101"/>
      <c r="LJ18" s="101"/>
      <c r="LK18" s="101"/>
      <c r="LL18" s="101"/>
      <c r="LM18" s="101"/>
      <c r="LN18" s="101"/>
      <c r="LO18" s="101"/>
      <c r="LP18" s="101"/>
      <c r="LQ18" s="101"/>
      <c r="LR18" s="101"/>
      <c r="LS18" s="101"/>
      <c r="LT18" s="101">
        <v>1</v>
      </c>
      <c r="LU18" s="101">
        <v>6</v>
      </c>
      <c r="LV18" s="101">
        <v>6</v>
      </c>
      <c r="LW18" s="101"/>
      <c r="LX18" s="101">
        <v>6</v>
      </c>
      <c r="LY18" s="101">
        <v>6</v>
      </c>
      <c r="LZ18" s="101">
        <v>6</v>
      </c>
      <c r="MA18" s="101">
        <v>6</v>
      </c>
      <c r="MB18" s="101">
        <v>6</v>
      </c>
      <c r="MC18" s="101">
        <v>6</v>
      </c>
      <c r="MD18" s="101"/>
      <c r="ME18" s="101">
        <v>6</v>
      </c>
      <c r="MF18" s="101">
        <v>5</v>
      </c>
      <c r="MG18" s="101"/>
      <c r="MH18" s="101"/>
      <c r="MI18" s="101"/>
      <c r="MJ18" s="101"/>
      <c r="MK18" s="101"/>
      <c r="ML18" s="101"/>
      <c r="MM18" s="101"/>
      <c r="MN18" s="101"/>
      <c r="MO18" s="101"/>
      <c r="MP18" s="101"/>
      <c r="MQ18" s="101"/>
      <c r="MR18" s="101"/>
      <c r="MS18" s="101"/>
      <c r="MT18" s="101">
        <v>1</v>
      </c>
      <c r="MU18" s="101">
        <v>6</v>
      </c>
      <c r="MV18" s="101">
        <v>6</v>
      </c>
      <c r="MW18" s="101">
        <v>6</v>
      </c>
      <c r="MX18" s="101">
        <v>6</v>
      </c>
      <c r="MY18" s="101"/>
      <c r="MZ18" s="101">
        <v>6</v>
      </c>
      <c r="NA18" s="101">
        <v>6</v>
      </c>
      <c r="NB18" s="101">
        <v>6</v>
      </c>
      <c r="NC18" s="101">
        <v>6</v>
      </c>
      <c r="ND18" s="101">
        <v>7</v>
      </c>
      <c r="NE18" s="101">
        <v>11</v>
      </c>
      <c r="NF18" s="101"/>
      <c r="NG18" s="101">
        <v>6</v>
      </c>
      <c r="NH18" s="101">
        <v>6</v>
      </c>
      <c r="NI18" s="101">
        <v>6</v>
      </c>
      <c r="NJ18" s="101">
        <v>6</v>
      </c>
      <c r="NK18" s="101">
        <v>6</v>
      </c>
      <c r="NL18" s="101">
        <v>6</v>
      </c>
      <c r="NM18" s="101"/>
      <c r="NN18" s="101">
        <v>6</v>
      </c>
      <c r="NO18" s="101">
        <v>6</v>
      </c>
      <c r="NP18" s="101">
        <v>5</v>
      </c>
      <c r="NQ18" s="101">
        <v>3</v>
      </c>
      <c r="NR18" s="101">
        <v>16</v>
      </c>
      <c r="NS18" s="101">
        <v>16</v>
      </c>
      <c r="NT18" s="101"/>
      <c r="NU18" s="101">
        <v>16</v>
      </c>
      <c r="NV18" s="101">
        <v>21</v>
      </c>
      <c r="NW18" s="101">
        <v>24</v>
      </c>
      <c r="NX18" s="101">
        <v>24</v>
      </c>
      <c r="NY18" s="101">
        <v>24</v>
      </c>
      <c r="NZ18" s="101">
        <v>24</v>
      </c>
      <c r="OA18" s="101"/>
      <c r="OB18" s="101">
        <v>24</v>
      </c>
      <c r="OC18" s="101">
        <v>24</v>
      </c>
      <c r="OD18" s="101">
        <v>30</v>
      </c>
      <c r="OE18" s="101">
        <v>34</v>
      </c>
      <c r="OF18" s="101">
        <v>34</v>
      </c>
      <c r="OG18" s="101">
        <v>34</v>
      </c>
      <c r="OH18" s="101"/>
      <c r="OI18" s="101">
        <v>34</v>
      </c>
      <c r="OJ18" s="101">
        <v>34</v>
      </c>
      <c r="OK18" s="101">
        <v>40</v>
      </c>
      <c r="OL18" s="101">
        <v>50</v>
      </c>
      <c r="OM18" s="101">
        <v>45</v>
      </c>
      <c r="ON18" s="101">
        <v>39</v>
      </c>
      <c r="OO18" s="101"/>
      <c r="OP18" s="101">
        <v>26</v>
      </c>
      <c r="OQ18" s="101">
        <v>26</v>
      </c>
      <c r="OR18" s="101">
        <v>20</v>
      </c>
      <c r="OS18" s="101">
        <v>16</v>
      </c>
      <c r="OT18" s="101">
        <v>16</v>
      </c>
      <c r="OU18" s="101">
        <v>16</v>
      </c>
      <c r="OV18" s="101"/>
      <c r="OW18" s="101">
        <v>10</v>
      </c>
      <c r="OX18" s="101"/>
      <c r="OY18" s="101"/>
      <c r="OZ18" s="101">
        <v>2</v>
      </c>
      <c r="PA18" s="101">
        <v>8</v>
      </c>
      <c r="PB18" s="101">
        <v>8</v>
      </c>
      <c r="PC18" s="101"/>
      <c r="PD18" s="101">
        <v>8</v>
      </c>
      <c r="PE18" s="101">
        <v>8</v>
      </c>
      <c r="PF18" s="101">
        <v>8</v>
      </c>
      <c r="PG18" s="101">
        <v>8</v>
      </c>
      <c r="PH18" s="101">
        <v>8</v>
      </c>
      <c r="PI18" s="101">
        <v>8</v>
      </c>
      <c r="PJ18" s="101"/>
      <c r="PK18" s="101">
        <v>8</v>
      </c>
      <c r="PL18" s="101">
        <v>10</v>
      </c>
      <c r="PM18" s="101">
        <v>16</v>
      </c>
      <c r="PN18" s="101">
        <v>14</v>
      </c>
      <c r="PO18" s="101">
        <v>8</v>
      </c>
      <c r="PP18" s="101">
        <v>8</v>
      </c>
      <c r="PQ18" s="101"/>
      <c r="PR18" s="101">
        <v>8</v>
      </c>
      <c r="PS18" s="101">
        <v>8</v>
      </c>
      <c r="PT18" s="101">
        <v>8</v>
      </c>
      <c r="PU18" s="101">
        <v>8</v>
      </c>
      <c r="PV18" s="101">
        <v>8</v>
      </c>
      <c r="PW18" s="101">
        <v>14</v>
      </c>
      <c r="PX18" s="101"/>
      <c r="PY18" s="101">
        <v>20</v>
      </c>
      <c r="PZ18" s="101">
        <v>18</v>
      </c>
      <c r="QA18" s="101">
        <v>12</v>
      </c>
      <c r="QB18" s="101">
        <v>12</v>
      </c>
      <c r="QC18" s="101">
        <v>12</v>
      </c>
      <c r="QD18" s="101">
        <v>12</v>
      </c>
      <c r="QE18" s="101"/>
      <c r="QF18" s="101">
        <v>12</v>
      </c>
      <c r="QG18" s="101">
        <v>12</v>
      </c>
      <c r="QH18" s="101">
        <v>20</v>
      </c>
      <c r="QI18" s="101">
        <v>20</v>
      </c>
      <c r="QJ18" s="101">
        <v>20</v>
      </c>
      <c r="QK18" s="101">
        <v>18</v>
      </c>
      <c r="QL18" s="101"/>
      <c r="QM18" s="101">
        <v>12</v>
      </c>
      <c r="QN18" s="101">
        <v>12</v>
      </c>
      <c r="QO18" s="101">
        <v>10</v>
      </c>
      <c r="QP18" s="101">
        <v>16</v>
      </c>
      <c r="QQ18" s="101">
        <v>16</v>
      </c>
      <c r="QR18" s="101">
        <v>16</v>
      </c>
      <c r="QS18" s="101"/>
      <c r="QT18" s="101">
        <v>8</v>
      </c>
      <c r="QU18" s="101">
        <v>8</v>
      </c>
      <c r="QV18" s="101">
        <v>8</v>
      </c>
      <c r="QW18" s="101">
        <v>8</v>
      </c>
      <c r="QX18" s="101">
        <v>8</v>
      </c>
      <c r="QY18" s="101">
        <v>8</v>
      </c>
      <c r="QZ18" s="101"/>
      <c r="RA18" s="101">
        <v>10</v>
      </c>
      <c r="RB18" s="101">
        <v>16</v>
      </c>
      <c r="RC18" s="101">
        <v>16</v>
      </c>
      <c r="RD18" s="101">
        <v>16</v>
      </c>
      <c r="RE18" s="101">
        <v>16</v>
      </c>
      <c r="RF18" s="101">
        <v>14</v>
      </c>
      <c r="RG18" s="101"/>
      <c r="RH18" s="101">
        <v>8</v>
      </c>
      <c r="RI18" s="101">
        <v>8</v>
      </c>
      <c r="RJ18" s="101">
        <v>8</v>
      </c>
      <c r="RK18" s="101">
        <v>8</v>
      </c>
      <c r="RL18" s="101">
        <v>10</v>
      </c>
      <c r="RM18" s="101">
        <v>16</v>
      </c>
      <c r="RN18" s="101"/>
      <c r="RO18" s="101">
        <v>16</v>
      </c>
      <c r="RP18" s="101">
        <v>16</v>
      </c>
      <c r="RQ18" s="101">
        <v>16</v>
      </c>
      <c r="RR18" s="101">
        <v>14</v>
      </c>
      <c r="RS18" s="101">
        <v>8</v>
      </c>
      <c r="RT18" s="101">
        <v>8</v>
      </c>
      <c r="RU18" s="101"/>
      <c r="RV18" s="101">
        <v>8</v>
      </c>
      <c r="RW18" s="101">
        <v>8</v>
      </c>
      <c r="RX18" s="101">
        <v>8</v>
      </c>
      <c r="RY18" s="101">
        <v>8</v>
      </c>
      <c r="RZ18" s="101">
        <v>8</v>
      </c>
      <c r="SA18" s="101">
        <v>8</v>
      </c>
      <c r="SB18" s="101"/>
      <c r="SC18" s="101">
        <v>8</v>
      </c>
      <c r="SD18" s="101">
        <v>6</v>
      </c>
      <c r="SE18" s="101"/>
      <c r="SF18" s="101"/>
      <c r="SG18" s="101"/>
      <c r="SH18" s="101"/>
      <c r="SI18" s="101"/>
      <c r="SJ18" s="101"/>
      <c r="SK18" s="101"/>
      <c r="SL18" s="101"/>
      <c r="SM18" s="101"/>
      <c r="SN18" s="101"/>
      <c r="SO18" s="101"/>
      <c r="SP18" s="101"/>
      <c r="SQ18" s="101"/>
      <c r="SR18" s="101"/>
      <c r="SS18" s="101"/>
      <c r="ST18" s="101"/>
      <c r="SU18" s="101"/>
      <c r="SV18" s="101"/>
      <c r="SW18" s="101"/>
      <c r="SX18" s="101"/>
      <c r="SY18" s="101"/>
      <c r="SZ18" s="101"/>
      <c r="TA18" s="101"/>
      <c r="TB18" s="101"/>
      <c r="TC18" s="101"/>
      <c r="TD18" s="101"/>
      <c r="TE18" s="101"/>
      <c r="TF18" s="101"/>
      <c r="TG18" s="101"/>
      <c r="TH18" s="101"/>
      <c r="TI18" s="101"/>
      <c r="TJ18" s="101"/>
      <c r="TK18" s="101"/>
      <c r="TL18" s="101"/>
      <c r="TM18" s="101"/>
      <c r="TN18" s="101"/>
      <c r="TO18" s="101"/>
      <c r="TP18" s="101"/>
      <c r="TQ18" s="101"/>
      <c r="TR18" s="101"/>
      <c r="TS18" s="101"/>
      <c r="TT18" s="101"/>
      <c r="TU18" s="101"/>
      <c r="TV18" s="101"/>
      <c r="TW18" s="101"/>
      <c r="TX18" s="101"/>
      <c r="TY18" s="101"/>
      <c r="TZ18" s="101"/>
      <c r="UA18" s="101"/>
      <c r="UB18" s="101"/>
      <c r="UC18" s="101"/>
      <c r="UD18" s="101"/>
      <c r="UE18" s="101"/>
      <c r="UF18" s="101"/>
      <c r="UG18" s="101"/>
      <c r="UH18" s="101"/>
      <c r="UI18" s="101"/>
      <c r="UJ18" s="101"/>
      <c r="UK18" s="101"/>
      <c r="UL18" s="101"/>
      <c r="UM18" s="101"/>
      <c r="UN18" s="101"/>
      <c r="UO18" s="101"/>
      <c r="UP18" s="101"/>
      <c r="UQ18" s="101"/>
      <c r="UR18" s="101"/>
      <c r="US18" s="101"/>
      <c r="UT18" s="101"/>
      <c r="UU18" s="101"/>
      <c r="UV18" s="101"/>
      <c r="UW18" s="101"/>
      <c r="UX18" s="101"/>
      <c r="UY18" s="101"/>
      <c r="UZ18" s="101"/>
      <c r="VA18" s="101"/>
      <c r="VB18" s="101"/>
      <c r="VC18" s="101"/>
      <c r="VD18" s="101"/>
      <c r="VE18" s="101"/>
      <c r="VF18" s="101"/>
      <c r="VG18" s="101"/>
      <c r="VH18" s="101"/>
      <c r="VI18" s="101"/>
      <c r="VJ18" s="101"/>
      <c r="VK18" s="101"/>
      <c r="VL18" s="101"/>
      <c r="VM18" s="101"/>
      <c r="VN18" s="101"/>
      <c r="VO18" s="101"/>
      <c r="VP18" s="101"/>
      <c r="VQ18" s="101"/>
      <c r="VR18" s="101"/>
      <c r="VS18" s="101"/>
      <c r="VT18" s="101"/>
      <c r="VU18" s="101"/>
      <c r="VV18" s="101"/>
      <c r="VW18" s="101"/>
      <c r="VX18" s="101"/>
      <c r="VY18" s="101"/>
      <c r="VZ18" s="101"/>
      <c r="WA18" s="101"/>
      <c r="WB18" s="101"/>
      <c r="WC18" s="101"/>
      <c r="WD18" s="101"/>
      <c r="WE18" s="101"/>
      <c r="WF18" s="101"/>
      <c r="WG18" s="101"/>
      <c r="WH18" s="101"/>
      <c r="WI18" s="101"/>
      <c r="WJ18" s="101"/>
      <c r="WK18" s="101"/>
      <c r="WL18" s="101"/>
      <c r="WM18" s="101"/>
      <c r="WN18" s="101"/>
      <c r="WO18" s="101"/>
      <c r="WP18" s="101"/>
      <c r="WQ18" s="101"/>
      <c r="WR18" s="101"/>
      <c r="WS18" s="101"/>
      <c r="WT18" s="101"/>
      <c r="WU18" s="101"/>
      <c r="WV18" s="101"/>
      <c r="WW18" s="101"/>
      <c r="WX18" s="101"/>
      <c r="WY18" s="101"/>
      <c r="WZ18" s="101"/>
      <c r="XA18" s="101"/>
      <c r="XB18" s="101"/>
      <c r="XC18" s="101"/>
      <c r="XD18" s="101"/>
      <c r="XE18" s="101"/>
      <c r="XF18" s="101"/>
      <c r="XG18" s="101"/>
      <c r="XH18" s="101"/>
      <c r="XI18" s="101"/>
      <c r="XJ18" s="101"/>
      <c r="XK18" s="101"/>
      <c r="XL18" s="101"/>
      <c r="XM18" s="101"/>
      <c r="XN18" s="101"/>
      <c r="XO18" s="101"/>
      <c r="XP18" s="101"/>
      <c r="XQ18" s="101"/>
      <c r="XR18" s="101"/>
      <c r="XS18" s="101"/>
      <c r="XT18" s="101"/>
      <c r="XU18" s="101"/>
      <c r="XV18" s="101"/>
      <c r="XW18" s="101"/>
      <c r="XX18" s="101"/>
      <c r="XY18" s="101"/>
      <c r="XZ18" s="101"/>
      <c r="YA18" s="101"/>
      <c r="YB18" s="101"/>
      <c r="YC18" s="101"/>
      <c r="YD18" s="101"/>
      <c r="YE18" s="101"/>
      <c r="YF18" s="101"/>
      <c r="YG18" s="101"/>
      <c r="YH18" s="101"/>
      <c r="YI18" s="101"/>
      <c r="YJ18" s="101"/>
      <c r="YK18" s="101"/>
      <c r="YL18" s="101"/>
      <c r="YM18" s="101"/>
      <c r="YN18" s="101"/>
      <c r="YO18" s="101"/>
      <c r="YP18" s="101"/>
      <c r="YQ18" s="101"/>
      <c r="YR18" s="101"/>
      <c r="YS18" s="101"/>
      <c r="YT18" s="101"/>
      <c r="YU18" s="101"/>
      <c r="YV18" s="101"/>
      <c r="YW18" s="101"/>
      <c r="YX18" s="101"/>
      <c r="YY18" s="101"/>
      <c r="YZ18" s="101"/>
      <c r="ZA18" s="101"/>
      <c r="ZB18" s="101"/>
      <c r="ZC18" s="101"/>
      <c r="ZD18" s="101"/>
      <c r="ZE18" s="101"/>
      <c r="ZF18" s="101"/>
      <c r="ZG18" s="101"/>
      <c r="ZH18" s="101"/>
    </row>
    <row r="19" spans="1:684">
      <c r="A19" s="75" t="s">
        <v>57</v>
      </c>
      <c r="B19" s="101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  <c r="BZ19" s="101"/>
      <c r="CA19" s="101"/>
      <c r="CB19" s="101"/>
      <c r="CC19" s="101"/>
      <c r="CD19" s="101"/>
      <c r="CE19" s="101"/>
      <c r="CF19" s="101"/>
      <c r="CG19" s="101"/>
      <c r="CH19" s="101"/>
      <c r="CI19" s="101"/>
      <c r="CJ19" s="101"/>
      <c r="CK19" s="101"/>
      <c r="CL19" s="101"/>
      <c r="CM19" s="101"/>
      <c r="CN19" s="101"/>
      <c r="CO19" s="101"/>
      <c r="CP19" s="101"/>
      <c r="CQ19" s="101"/>
      <c r="CR19" s="101"/>
      <c r="CS19" s="101"/>
      <c r="CT19" s="101"/>
      <c r="CU19" s="101"/>
      <c r="CV19" s="101"/>
      <c r="CW19" s="101"/>
      <c r="CX19" s="101"/>
      <c r="CY19" s="101"/>
      <c r="CZ19" s="101"/>
      <c r="DA19" s="101"/>
      <c r="DB19" s="101"/>
      <c r="DC19" s="101"/>
      <c r="DD19" s="101"/>
      <c r="DE19" s="101"/>
      <c r="DF19" s="101"/>
      <c r="DG19" s="101"/>
      <c r="DH19" s="101"/>
      <c r="DI19" s="101"/>
      <c r="DJ19" s="101"/>
      <c r="DK19" s="101"/>
      <c r="DL19" s="101"/>
      <c r="DM19" s="101"/>
      <c r="DN19" s="101"/>
      <c r="DO19" s="101"/>
      <c r="DP19" s="101"/>
      <c r="DQ19" s="101"/>
      <c r="DR19" s="101"/>
      <c r="DS19" s="101"/>
      <c r="DT19" s="101"/>
      <c r="DU19" s="101"/>
      <c r="DV19" s="101"/>
      <c r="DW19" s="101"/>
      <c r="DX19" s="101"/>
      <c r="DY19" s="101"/>
      <c r="DZ19" s="101"/>
      <c r="EA19" s="101"/>
      <c r="EB19" s="101"/>
      <c r="EC19" s="101"/>
      <c r="ED19" s="101"/>
      <c r="EE19" s="101"/>
      <c r="EF19" s="101"/>
      <c r="EG19" s="101"/>
      <c r="EH19" s="101"/>
      <c r="EI19" s="101"/>
      <c r="EJ19" s="101"/>
      <c r="EK19" s="101"/>
      <c r="EL19" s="101"/>
      <c r="EM19" s="101"/>
      <c r="EN19" s="101"/>
      <c r="EO19" s="101"/>
      <c r="EP19" s="101"/>
      <c r="EQ19" s="101"/>
      <c r="ER19" s="101"/>
      <c r="ES19" s="101"/>
      <c r="ET19" s="101"/>
      <c r="EU19" s="101"/>
      <c r="EV19" s="101"/>
      <c r="EW19" s="101"/>
      <c r="EX19" s="101"/>
      <c r="EY19" s="101"/>
      <c r="EZ19" s="101"/>
      <c r="FA19" s="101"/>
      <c r="FB19" s="101"/>
      <c r="FC19" s="101"/>
      <c r="FD19" s="101"/>
      <c r="FE19" s="101"/>
      <c r="FF19" s="101"/>
      <c r="FG19" s="101"/>
      <c r="FH19" s="101"/>
      <c r="FI19" s="101"/>
      <c r="FJ19" s="101"/>
      <c r="FK19" s="101"/>
      <c r="FL19" s="101"/>
      <c r="FM19" s="101"/>
      <c r="FN19" s="101"/>
      <c r="FO19" s="101"/>
      <c r="FP19" s="101"/>
      <c r="FQ19" s="101"/>
      <c r="FR19" s="101"/>
      <c r="FS19" s="101"/>
      <c r="FT19" s="101"/>
      <c r="FU19" s="101"/>
      <c r="FV19" s="101"/>
      <c r="FW19" s="101"/>
      <c r="FX19" s="101"/>
      <c r="FY19" s="101"/>
      <c r="FZ19" s="101"/>
      <c r="GA19" s="101"/>
      <c r="GB19" s="101"/>
      <c r="GC19" s="101"/>
      <c r="GD19" s="101"/>
      <c r="GE19" s="101"/>
      <c r="GF19" s="101"/>
      <c r="GG19" s="101"/>
      <c r="GH19" s="101"/>
      <c r="GI19" s="101"/>
      <c r="GJ19" s="101"/>
      <c r="GK19" s="101"/>
      <c r="GL19" s="101"/>
      <c r="GM19" s="101"/>
      <c r="GN19" s="101"/>
      <c r="GO19" s="101"/>
      <c r="GP19" s="101"/>
      <c r="GQ19" s="101"/>
      <c r="GR19" s="101"/>
      <c r="GS19" s="101"/>
      <c r="GT19" s="101"/>
      <c r="GU19" s="101"/>
      <c r="GV19" s="101"/>
      <c r="GW19" s="101"/>
      <c r="GX19" s="101"/>
      <c r="GY19" s="101"/>
      <c r="GZ19" s="101"/>
      <c r="HA19" s="101"/>
      <c r="HB19" s="101"/>
      <c r="HC19" s="101"/>
      <c r="HD19" s="101"/>
      <c r="HE19" s="101"/>
      <c r="HF19" s="101"/>
      <c r="HG19" s="101"/>
      <c r="HH19" s="101"/>
      <c r="HI19" s="101"/>
      <c r="HJ19" s="101"/>
      <c r="HK19" s="101"/>
      <c r="HL19" s="101"/>
      <c r="HM19" s="101"/>
      <c r="HN19" s="101"/>
      <c r="HO19" s="101"/>
      <c r="HP19" s="101"/>
      <c r="HQ19" s="101"/>
      <c r="HR19" s="101"/>
      <c r="HS19" s="101"/>
      <c r="HT19" s="101"/>
      <c r="HU19" s="101"/>
      <c r="HV19" s="101"/>
      <c r="HW19" s="101"/>
      <c r="HX19" s="101"/>
      <c r="HY19" s="101"/>
      <c r="HZ19" s="101"/>
      <c r="IA19" s="101"/>
      <c r="IB19" s="101"/>
      <c r="IC19" s="101"/>
      <c r="ID19" s="101"/>
      <c r="IE19" s="101"/>
      <c r="IF19" s="101"/>
      <c r="IG19" s="101"/>
      <c r="IH19" s="101"/>
      <c r="II19" s="101"/>
      <c r="IJ19" s="101"/>
      <c r="IK19" s="101"/>
      <c r="IL19" s="101"/>
      <c r="IM19" s="101"/>
      <c r="IN19" s="101"/>
      <c r="IO19" s="101"/>
      <c r="IP19" s="101"/>
      <c r="IQ19" s="101"/>
      <c r="IR19" s="101"/>
      <c r="IS19" s="101"/>
      <c r="IT19" s="101"/>
      <c r="IU19" s="101"/>
      <c r="IV19" s="101"/>
      <c r="IW19" s="101"/>
      <c r="IX19" s="101"/>
      <c r="IY19" s="101"/>
      <c r="IZ19" s="101"/>
      <c r="JA19" s="101"/>
      <c r="JB19" s="101"/>
      <c r="JC19" s="101"/>
      <c r="JD19" s="101"/>
      <c r="JE19" s="101"/>
      <c r="JF19" s="101"/>
      <c r="JG19" s="101"/>
      <c r="JH19" s="101"/>
      <c r="JI19" s="101"/>
      <c r="JJ19" s="101"/>
      <c r="JK19" s="101"/>
      <c r="JL19" s="101"/>
      <c r="JM19" s="101"/>
      <c r="JN19" s="101"/>
      <c r="JO19" s="101"/>
      <c r="JP19" s="101"/>
      <c r="JQ19" s="101"/>
      <c r="JR19" s="101"/>
      <c r="JS19" s="101"/>
      <c r="JT19" s="101"/>
      <c r="JU19" s="101"/>
      <c r="JV19" s="101"/>
      <c r="JW19" s="101"/>
      <c r="JX19" s="101"/>
      <c r="JY19" s="101"/>
      <c r="JZ19" s="101"/>
      <c r="KA19" s="101"/>
      <c r="KB19" s="101"/>
      <c r="KC19" s="101"/>
      <c r="KD19" s="101"/>
      <c r="KE19" s="101"/>
      <c r="KF19" s="101"/>
      <c r="KG19" s="101"/>
      <c r="KH19" s="101"/>
      <c r="KI19" s="101"/>
      <c r="KJ19" s="101"/>
      <c r="KK19" s="101"/>
      <c r="KL19" s="101"/>
      <c r="KM19" s="101"/>
      <c r="KN19" s="101"/>
      <c r="KO19" s="101"/>
      <c r="KP19" s="101"/>
      <c r="KQ19" s="101"/>
      <c r="KR19" s="101"/>
      <c r="KS19" s="101"/>
      <c r="KT19" s="101"/>
      <c r="KU19" s="101"/>
      <c r="KV19" s="101"/>
      <c r="KW19" s="101"/>
      <c r="KX19" s="101"/>
      <c r="KY19" s="101"/>
      <c r="KZ19" s="101"/>
      <c r="LA19" s="101"/>
      <c r="LB19" s="101"/>
      <c r="LC19" s="101"/>
      <c r="LD19" s="101"/>
      <c r="LE19" s="101"/>
      <c r="LF19" s="101"/>
      <c r="LG19" s="101"/>
      <c r="LH19" s="101"/>
      <c r="LI19" s="101"/>
      <c r="LJ19" s="101"/>
      <c r="LK19" s="101"/>
      <c r="LL19" s="101"/>
      <c r="LM19" s="101"/>
      <c r="LN19" s="101"/>
      <c r="LO19" s="101"/>
      <c r="LP19" s="101"/>
      <c r="LQ19" s="101"/>
      <c r="LR19" s="101"/>
      <c r="LS19" s="101"/>
      <c r="LT19" s="101"/>
      <c r="LU19" s="101"/>
      <c r="LV19" s="101"/>
      <c r="LW19" s="101"/>
      <c r="LX19" s="101"/>
      <c r="LY19" s="101"/>
      <c r="LZ19" s="101"/>
      <c r="MA19" s="101">
        <v>2</v>
      </c>
      <c r="MB19" s="101">
        <v>8</v>
      </c>
      <c r="MC19" s="101">
        <v>8</v>
      </c>
      <c r="MD19" s="101"/>
      <c r="ME19" s="101">
        <v>8</v>
      </c>
      <c r="MF19" s="101">
        <v>8</v>
      </c>
      <c r="MG19" s="101">
        <v>8</v>
      </c>
      <c r="MH19" s="101">
        <v>8</v>
      </c>
      <c r="MI19" s="101">
        <v>8</v>
      </c>
      <c r="MJ19" s="101">
        <v>8</v>
      </c>
      <c r="MK19" s="101"/>
      <c r="ML19" s="101">
        <v>8</v>
      </c>
      <c r="MM19" s="101">
        <v>8</v>
      </c>
      <c r="MN19" s="101">
        <v>8</v>
      </c>
      <c r="MO19" s="101">
        <v>6</v>
      </c>
      <c r="MP19" s="101"/>
      <c r="MQ19" s="101"/>
      <c r="MR19" s="101"/>
      <c r="MS19" s="101"/>
      <c r="MT19" s="101"/>
      <c r="MU19" s="101"/>
      <c r="MV19" s="101"/>
      <c r="MW19" s="101"/>
      <c r="MX19" s="101"/>
      <c r="MY19" s="101"/>
      <c r="MZ19" s="101"/>
      <c r="NA19" s="101">
        <v>2</v>
      </c>
      <c r="NB19" s="101">
        <v>8</v>
      </c>
      <c r="NC19" s="101">
        <v>8</v>
      </c>
      <c r="ND19" s="101">
        <v>8</v>
      </c>
      <c r="NE19" s="101">
        <v>8</v>
      </c>
      <c r="NF19" s="101"/>
      <c r="NG19" s="101">
        <v>8</v>
      </c>
      <c r="NH19" s="101">
        <v>8</v>
      </c>
      <c r="NI19" s="101">
        <v>8</v>
      </c>
      <c r="NJ19" s="101">
        <v>8</v>
      </c>
      <c r="NK19" s="101">
        <v>10</v>
      </c>
      <c r="NL19" s="101">
        <v>16</v>
      </c>
      <c r="NM19" s="101"/>
      <c r="NN19" s="101">
        <v>16</v>
      </c>
      <c r="NO19" s="101">
        <v>14</v>
      </c>
      <c r="NP19" s="101">
        <v>8</v>
      </c>
      <c r="NQ19" s="101">
        <v>8</v>
      </c>
      <c r="NR19" s="101">
        <v>8</v>
      </c>
      <c r="NS19" s="101">
        <v>8</v>
      </c>
      <c r="NT19" s="101"/>
      <c r="NU19" s="101">
        <v>8</v>
      </c>
      <c r="NV19" s="101">
        <v>8</v>
      </c>
      <c r="NW19" s="101">
        <v>8</v>
      </c>
      <c r="NX19" s="101">
        <v>11</v>
      </c>
      <c r="NY19" s="101">
        <v>22</v>
      </c>
      <c r="NZ19" s="101">
        <v>16</v>
      </c>
      <c r="OA19" s="101"/>
      <c r="OB19" s="101">
        <v>16</v>
      </c>
      <c r="OC19" s="101">
        <v>16</v>
      </c>
      <c r="OD19" s="101">
        <v>16</v>
      </c>
      <c r="OE19" s="101">
        <v>16</v>
      </c>
      <c r="OF19" s="101">
        <v>16</v>
      </c>
      <c r="OG19" s="101">
        <v>16</v>
      </c>
      <c r="OH19" s="101"/>
      <c r="OI19" s="101">
        <v>16</v>
      </c>
      <c r="OJ19" s="101">
        <v>16</v>
      </c>
      <c r="OK19" s="101">
        <v>16</v>
      </c>
      <c r="OL19" s="101">
        <v>16</v>
      </c>
      <c r="OM19" s="101">
        <v>16</v>
      </c>
      <c r="ON19" s="101">
        <v>18</v>
      </c>
      <c r="OO19" s="101"/>
      <c r="OP19" s="101">
        <v>26</v>
      </c>
      <c r="OQ19" s="101">
        <v>26</v>
      </c>
      <c r="OR19" s="101">
        <v>42</v>
      </c>
      <c r="OS19" s="101">
        <v>42</v>
      </c>
      <c r="OT19" s="101">
        <v>52</v>
      </c>
      <c r="OU19" s="101">
        <v>50</v>
      </c>
      <c r="OV19" s="101"/>
      <c r="OW19" s="101">
        <v>40</v>
      </c>
      <c r="OX19" s="101">
        <v>38</v>
      </c>
      <c r="OY19" s="101">
        <v>30</v>
      </c>
      <c r="OZ19" s="101">
        <v>32</v>
      </c>
      <c r="PA19" s="101">
        <v>40</v>
      </c>
      <c r="PB19" s="101">
        <v>40</v>
      </c>
      <c r="PC19" s="101"/>
      <c r="PD19" s="101">
        <v>24</v>
      </c>
      <c r="PE19" s="101">
        <v>24</v>
      </c>
      <c r="PF19" s="101">
        <v>24</v>
      </c>
      <c r="PG19" s="101">
        <v>25</v>
      </c>
      <c r="PH19" s="101">
        <v>38</v>
      </c>
      <c r="PI19" s="101">
        <v>36</v>
      </c>
      <c r="PJ19" s="101"/>
      <c r="PK19" s="101">
        <v>28</v>
      </c>
      <c r="PL19" s="101">
        <v>28</v>
      </c>
      <c r="PM19" s="101">
        <v>27</v>
      </c>
      <c r="PN19" s="101">
        <v>24</v>
      </c>
      <c r="PO19" s="101">
        <v>24</v>
      </c>
      <c r="PP19" s="101">
        <v>24</v>
      </c>
      <c r="PQ19" s="101"/>
      <c r="PR19" s="101">
        <v>4</v>
      </c>
      <c r="PS19" s="101">
        <v>5</v>
      </c>
      <c r="PT19" s="101">
        <v>8</v>
      </c>
      <c r="PU19" s="101">
        <v>8</v>
      </c>
      <c r="PV19" s="101">
        <v>8</v>
      </c>
      <c r="PW19" s="101">
        <v>8</v>
      </c>
      <c r="PX19" s="101"/>
      <c r="PY19" s="101">
        <v>7</v>
      </c>
      <c r="PZ19" s="101">
        <v>4</v>
      </c>
      <c r="QA19" s="101">
        <v>4</v>
      </c>
      <c r="QB19" s="101">
        <v>4</v>
      </c>
      <c r="QC19" s="101">
        <v>4</v>
      </c>
      <c r="QD19" s="101">
        <v>4</v>
      </c>
      <c r="QE19" s="101"/>
      <c r="QF19" s="101">
        <v>4</v>
      </c>
      <c r="QG19" s="101">
        <v>4</v>
      </c>
      <c r="QH19" s="101">
        <v>4</v>
      </c>
      <c r="QI19" s="101">
        <v>4</v>
      </c>
      <c r="QJ19" s="101">
        <v>3</v>
      </c>
      <c r="QK19" s="101"/>
      <c r="QL19" s="101"/>
      <c r="QM19" s="101"/>
      <c r="QN19" s="101"/>
      <c r="QO19" s="101"/>
      <c r="QP19" s="101"/>
      <c r="QQ19" s="101"/>
      <c r="QR19" s="101"/>
      <c r="QS19" s="101"/>
      <c r="QT19" s="101"/>
      <c r="QU19" s="101"/>
      <c r="QV19" s="101"/>
      <c r="QW19" s="101"/>
      <c r="QX19" s="101">
        <v>10</v>
      </c>
      <c r="QY19" s="101">
        <v>12</v>
      </c>
      <c r="QZ19" s="101"/>
      <c r="RA19" s="101">
        <v>12</v>
      </c>
      <c r="RB19" s="101">
        <v>12</v>
      </c>
      <c r="RC19" s="101">
        <v>12</v>
      </c>
      <c r="RD19" s="101">
        <v>12</v>
      </c>
      <c r="RE19" s="101">
        <v>12</v>
      </c>
      <c r="RF19" s="101">
        <v>12</v>
      </c>
      <c r="RG19" s="101"/>
      <c r="RH19" s="101">
        <v>12</v>
      </c>
      <c r="RI19" s="101">
        <v>12</v>
      </c>
      <c r="RJ19" s="101">
        <v>2</v>
      </c>
      <c r="RK19" s="101">
        <v>2</v>
      </c>
      <c r="RL19" s="101">
        <v>4</v>
      </c>
      <c r="RM19" s="101">
        <v>4</v>
      </c>
      <c r="RN19" s="101"/>
      <c r="RO19" s="101">
        <v>4</v>
      </c>
      <c r="RP19" s="101">
        <v>4</v>
      </c>
      <c r="RQ19" s="101">
        <v>4</v>
      </c>
      <c r="RR19" s="101">
        <v>4</v>
      </c>
      <c r="RS19" s="101">
        <v>4</v>
      </c>
      <c r="RT19" s="101">
        <v>4</v>
      </c>
      <c r="RU19" s="101"/>
      <c r="RV19" s="101">
        <v>4</v>
      </c>
      <c r="RW19" s="101">
        <v>4</v>
      </c>
      <c r="RX19" s="101">
        <v>4</v>
      </c>
      <c r="RY19" s="101">
        <v>4</v>
      </c>
      <c r="RZ19" s="101">
        <v>4</v>
      </c>
      <c r="SA19" s="101">
        <v>4</v>
      </c>
      <c r="SB19" s="101"/>
      <c r="SC19" s="101">
        <v>4</v>
      </c>
      <c r="SD19" s="101">
        <v>4</v>
      </c>
      <c r="SE19" s="101">
        <v>4</v>
      </c>
      <c r="SF19" s="101">
        <v>4</v>
      </c>
      <c r="SG19" s="101">
        <v>4</v>
      </c>
      <c r="SH19" s="101">
        <v>2</v>
      </c>
      <c r="SI19" s="101"/>
      <c r="SJ19" s="101"/>
      <c r="SK19" s="101">
        <v>2</v>
      </c>
      <c r="SL19" s="101">
        <v>2</v>
      </c>
      <c r="SM19" s="101">
        <v>2</v>
      </c>
      <c r="SN19" s="101">
        <v>2</v>
      </c>
      <c r="SO19" s="101">
        <v>2</v>
      </c>
      <c r="SP19" s="101"/>
      <c r="SQ19" s="101">
        <v>2</v>
      </c>
      <c r="SR19" s="101">
        <v>2</v>
      </c>
      <c r="SS19" s="101">
        <v>2</v>
      </c>
      <c r="ST19" s="101">
        <v>2</v>
      </c>
      <c r="SU19" s="101">
        <v>2</v>
      </c>
      <c r="SV19" s="101"/>
      <c r="SW19" s="101"/>
      <c r="SX19" s="101"/>
      <c r="SY19" s="101"/>
      <c r="SZ19" s="101"/>
      <c r="TA19" s="101"/>
      <c r="TB19" s="101"/>
      <c r="TC19" s="101"/>
      <c r="TD19" s="101"/>
      <c r="TE19" s="101"/>
      <c r="TF19" s="101"/>
      <c r="TG19" s="101"/>
      <c r="TH19" s="101"/>
      <c r="TI19" s="101"/>
      <c r="TJ19" s="101"/>
      <c r="TK19" s="101"/>
      <c r="TL19" s="101"/>
      <c r="TM19" s="101"/>
      <c r="TN19" s="101"/>
      <c r="TO19" s="101"/>
      <c r="TP19" s="101"/>
      <c r="TQ19" s="101"/>
      <c r="TR19" s="101"/>
      <c r="TS19" s="101"/>
      <c r="TT19" s="101"/>
      <c r="TU19" s="101"/>
      <c r="TV19" s="101"/>
      <c r="TW19" s="101"/>
      <c r="TX19" s="101"/>
      <c r="TY19" s="101"/>
      <c r="TZ19" s="101"/>
      <c r="UA19" s="101"/>
      <c r="UB19" s="101"/>
      <c r="UC19" s="101"/>
      <c r="UD19" s="101"/>
      <c r="UE19" s="101"/>
      <c r="UF19" s="101"/>
      <c r="UG19" s="101"/>
      <c r="UH19" s="101"/>
      <c r="UI19" s="101"/>
      <c r="UJ19" s="101"/>
      <c r="UK19" s="101"/>
      <c r="UL19" s="101"/>
      <c r="UM19" s="101"/>
      <c r="UN19" s="101"/>
      <c r="UO19" s="101"/>
      <c r="UP19" s="101"/>
      <c r="UQ19" s="101"/>
      <c r="UR19" s="101"/>
      <c r="US19" s="101"/>
      <c r="UT19" s="101"/>
      <c r="UU19" s="101"/>
      <c r="UV19" s="101"/>
      <c r="UW19" s="101"/>
      <c r="UX19" s="101"/>
      <c r="UY19" s="101"/>
      <c r="UZ19" s="101"/>
      <c r="VA19" s="101"/>
      <c r="VB19" s="101"/>
      <c r="VC19" s="101"/>
      <c r="VD19" s="101"/>
      <c r="VE19" s="101"/>
      <c r="VF19" s="101"/>
      <c r="VG19" s="101"/>
      <c r="VH19" s="101"/>
      <c r="VI19" s="101"/>
      <c r="VJ19" s="101"/>
      <c r="VK19" s="101"/>
      <c r="VL19" s="101"/>
      <c r="VM19" s="101"/>
      <c r="VN19" s="101"/>
      <c r="VO19" s="101"/>
      <c r="VP19" s="101"/>
      <c r="VQ19" s="101"/>
      <c r="VR19" s="101"/>
      <c r="VS19" s="101"/>
      <c r="VT19" s="101"/>
      <c r="VU19" s="101"/>
      <c r="VV19" s="101"/>
      <c r="VW19" s="101"/>
      <c r="VX19" s="101"/>
      <c r="VY19" s="101"/>
      <c r="VZ19" s="101"/>
      <c r="WA19" s="101"/>
      <c r="WB19" s="101"/>
      <c r="WC19" s="101"/>
      <c r="WD19" s="101"/>
      <c r="WE19" s="101"/>
      <c r="WF19" s="101"/>
      <c r="WG19" s="101"/>
      <c r="WH19" s="101"/>
      <c r="WI19" s="101"/>
      <c r="WJ19" s="101"/>
      <c r="WK19" s="101"/>
      <c r="WL19" s="101"/>
      <c r="WM19" s="101"/>
      <c r="WN19" s="101"/>
      <c r="WO19" s="101"/>
      <c r="WP19" s="101"/>
      <c r="WQ19" s="101"/>
      <c r="WR19" s="101"/>
      <c r="WS19" s="101"/>
      <c r="WT19" s="101"/>
      <c r="WU19" s="101"/>
      <c r="WV19" s="101"/>
      <c r="WW19" s="101"/>
      <c r="WX19" s="101"/>
      <c r="WY19" s="101"/>
      <c r="WZ19" s="101"/>
      <c r="XA19" s="101"/>
      <c r="XB19" s="101"/>
      <c r="XC19" s="101"/>
      <c r="XD19" s="101"/>
      <c r="XE19" s="101"/>
      <c r="XF19" s="101"/>
      <c r="XG19" s="101"/>
      <c r="XH19" s="101"/>
      <c r="XI19" s="101"/>
      <c r="XJ19" s="101"/>
      <c r="XK19" s="101"/>
      <c r="XL19" s="101"/>
      <c r="XM19" s="101"/>
      <c r="XN19" s="101"/>
      <c r="XO19" s="101"/>
      <c r="XP19" s="101"/>
      <c r="XQ19" s="101"/>
      <c r="XR19" s="101"/>
      <c r="XS19" s="101"/>
      <c r="XT19" s="101"/>
      <c r="XU19" s="101"/>
      <c r="XV19" s="101"/>
      <c r="XW19" s="101"/>
      <c r="XX19" s="101"/>
      <c r="XY19" s="101"/>
      <c r="XZ19" s="101"/>
      <c r="YA19" s="101"/>
      <c r="YB19" s="101"/>
      <c r="YC19" s="101"/>
      <c r="YD19" s="101"/>
      <c r="YE19" s="101"/>
      <c r="YF19" s="101"/>
      <c r="YG19" s="101"/>
      <c r="YH19" s="101"/>
      <c r="YI19" s="101"/>
      <c r="YJ19" s="101"/>
      <c r="YK19" s="101"/>
      <c r="YL19" s="101"/>
      <c r="YM19" s="101"/>
      <c r="YN19" s="101"/>
      <c r="YO19" s="101"/>
      <c r="YP19" s="101"/>
      <c r="YQ19" s="101"/>
      <c r="YR19" s="101"/>
      <c r="YS19" s="101"/>
      <c r="YT19" s="101"/>
      <c r="YU19" s="101"/>
      <c r="YV19" s="101"/>
      <c r="YW19" s="101"/>
      <c r="YX19" s="101"/>
      <c r="YY19" s="101"/>
      <c r="YZ19" s="101"/>
      <c r="ZA19" s="101"/>
      <c r="ZB19" s="101"/>
      <c r="ZC19" s="101"/>
      <c r="ZD19" s="101"/>
      <c r="ZE19" s="101"/>
      <c r="ZF19" s="101"/>
      <c r="ZG19" s="101"/>
      <c r="ZH19" s="101"/>
    </row>
    <row r="20" spans="1:684">
      <c r="A20" s="75" t="s">
        <v>58</v>
      </c>
      <c r="B20" s="101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1"/>
      <c r="BF20" s="101"/>
      <c r="BG20" s="101"/>
      <c r="BH20" s="101"/>
      <c r="BI20" s="101"/>
      <c r="BJ20" s="101"/>
      <c r="BK20" s="101"/>
      <c r="BL20" s="101"/>
      <c r="BM20" s="101"/>
      <c r="BN20" s="101"/>
      <c r="BO20" s="101"/>
      <c r="BP20" s="101"/>
      <c r="BQ20" s="101"/>
      <c r="BR20" s="101"/>
      <c r="BS20" s="101"/>
      <c r="BT20" s="101"/>
      <c r="BU20" s="101"/>
      <c r="BV20" s="101"/>
      <c r="BW20" s="101"/>
      <c r="BX20" s="101"/>
      <c r="BY20" s="101"/>
      <c r="BZ20" s="101"/>
      <c r="CA20" s="101"/>
      <c r="CB20" s="101"/>
      <c r="CC20" s="101"/>
      <c r="CD20" s="101"/>
      <c r="CE20" s="101"/>
      <c r="CF20" s="101"/>
      <c r="CG20" s="101"/>
      <c r="CH20" s="101"/>
      <c r="CI20" s="101"/>
      <c r="CJ20" s="101"/>
      <c r="CK20" s="101"/>
      <c r="CL20" s="101"/>
      <c r="CM20" s="101"/>
      <c r="CN20" s="101"/>
      <c r="CO20" s="101"/>
      <c r="CP20" s="101"/>
      <c r="CQ20" s="101"/>
      <c r="CR20" s="101"/>
      <c r="CS20" s="101"/>
      <c r="CT20" s="101"/>
      <c r="CU20" s="101"/>
      <c r="CV20" s="101"/>
      <c r="CW20" s="101"/>
      <c r="CX20" s="101"/>
      <c r="CY20" s="101"/>
      <c r="CZ20" s="101"/>
      <c r="DA20" s="101"/>
      <c r="DB20" s="101"/>
      <c r="DC20" s="101"/>
      <c r="DD20" s="101"/>
      <c r="DE20" s="101"/>
      <c r="DF20" s="101"/>
      <c r="DG20" s="101"/>
      <c r="DH20" s="101"/>
      <c r="DI20" s="101"/>
      <c r="DJ20" s="101"/>
      <c r="DK20" s="101"/>
      <c r="DL20" s="101"/>
      <c r="DM20" s="101"/>
      <c r="DN20" s="101"/>
      <c r="DO20" s="101"/>
      <c r="DP20" s="101"/>
      <c r="DQ20" s="101"/>
      <c r="DR20" s="101"/>
      <c r="DS20" s="101"/>
      <c r="DT20" s="101"/>
      <c r="DU20" s="101"/>
      <c r="DV20" s="101"/>
      <c r="DW20" s="101"/>
      <c r="DX20" s="101"/>
      <c r="DY20" s="101"/>
      <c r="DZ20" s="101"/>
      <c r="EA20" s="101"/>
      <c r="EB20" s="101"/>
      <c r="EC20" s="101"/>
      <c r="ED20" s="101"/>
      <c r="EE20" s="101"/>
      <c r="EF20" s="101"/>
      <c r="EG20" s="101"/>
      <c r="EH20" s="101"/>
      <c r="EI20" s="101"/>
      <c r="EJ20" s="101"/>
      <c r="EK20" s="101"/>
      <c r="EL20" s="101"/>
      <c r="EM20" s="101"/>
      <c r="EN20" s="101"/>
      <c r="EO20" s="101"/>
      <c r="EP20" s="101"/>
      <c r="EQ20" s="101"/>
      <c r="ER20" s="101"/>
      <c r="ES20" s="101"/>
      <c r="ET20" s="101"/>
      <c r="EU20" s="101"/>
      <c r="EV20" s="101"/>
      <c r="EW20" s="101"/>
      <c r="EX20" s="101"/>
      <c r="EY20" s="101"/>
      <c r="EZ20" s="101"/>
      <c r="FA20" s="101"/>
      <c r="FB20" s="101"/>
      <c r="FC20" s="101"/>
      <c r="FD20" s="101"/>
      <c r="FE20" s="101"/>
      <c r="FF20" s="101"/>
      <c r="FG20" s="101"/>
      <c r="FH20" s="101"/>
      <c r="FI20" s="101"/>
      <c r="FJ20" s="101"/>
      <c r="FK20" s="101"/>
      <c r="FL20" s="101"/>
      <c r="FM20" s="101"/>
      <c r="FN20" s="101"/>
      <c r="FO20" s="101"/>
      <c r="FP20" s="101"/>
      <c r="FQ20" s="101"/>
      <c r="FR20" s="101"/>
      <c r="FS20" s="101"/>
      <c r="FT20" s="101"/>
      <c r="FU20" s="101"/>
      <c r="FV20" s="101"/>
      <c r="FW20" s="101"/>
      <c r="FX20" s="101"/>
      <c r="FY20" s="101"/>
      <c r="FZ20" s="101"/>
      <c r="GA20" s="101"/>
      <c r="GB20" s="101"/>
      <c r="GC20" s="101"/>
      <c r="GD20" s="101"/>
      <c r="GE20" s="101"/>
      <c r="GF20" s="101"/>
      <c r="GG20" s="101"/>
      <c r="GH20" s="101"/>
      <c r="GI20" s="101"/>
      <c r="GJ20" s="101"/>
      <c r="GK20" s="101"/>
      <c r="GL20" s="101"/>
      <c r="GM20" s="101"/>
      <c r="GN20" s="101"/>
      <c r="GO20" s="101"/>
      <c r="GP20" s="101"/>
      <c r="GQ20" s="101"/>
      <c r="GR20" s="101"/>
      <c r="GS20" s="101"/>
      <c r="GT20" s="101"/>
      <c r="GU20" s="101"/>
      <c r="GV20" s="101"/>
      <c r="GW20" s="101"/>
      <c r="GX20" s="101"/>
      <c r="GY20" s="101"/>
      <c r="GZ20" s="101"/>
      <c r="HA20" s="101"/>
      <c r="HB20" s="101"/>
      <c r="HC20" s="101"/>
      <c r="HD20" s="101"/>
      <c r="HE20" s="101"/>
      <c r="HF20" s="101"/>
      <c r="HG20" s="101"/>
      <c r="HH20" s="101"/>
      <c r="HI20" s="101"/>
      <c r="HJ20" s="101"/>
      <c r="HK20" s="101"/>
      <c r="HL20" s="101"/>
      <c r="HM20" s="101"/>
      <c r="HN20" s="101"/>
      <c r="HO20" s="101"/>
      <c r="HP20" s="101"/>
      <c r="HQ20" s="101"/>
      <c r="HR20" s="101"/>
      <c r="HS20" s="101"/>
      <c r="HT20" s="101"/>
      <c r="HU20" s="101"/>
      <c r="HV20" s="101"/>
      <c r="HW20" s="101"/>
      <c r="HX20" s="101"/>
      <c r="HY20" s="101"/>
      <c r="HZ20" s="101"/>
      <c r="IA20" s="101"/>
      <c r="IB20" s="101"/>
      <c r="IC20" s="101"/>
      <c r="ID20" s="101"/>
      <c r="IE20" s="101"/>
      <c r="IF20" s="101"/>
      <c r="IG20" s="101"/>
      <c r="IH20" s="101"/>
      <c r="II20" s="101"/>
      <c r="IJ20" s="101"/>
      <c r="IK20" s="101"/>
      <c r="IL20" s="101"/>
      <c r="IM20" s="101"/>
      <c r="IN20" s="101"/>
      <c r="IO20" s="101"/>
      <c r="IP20" s="101"/>
      <c r="IQ20" s="101"/>
      <c r="IR20" s="101"/>
      <c r="IS20" s="101"/>
      <c r="IT20" s="101"/>
      <c r="IU20" s="101"/>
      <c r="IV20" s="101"/>
      <c r="IW20" s="101"/>
      <c r="IX20" s="101"/>
      <c r="IY20" s="101"/>
      <c r="IZ20" s="101"/>
      <c r="JA20" s="101"/>
      <c r="JB20" s="101"/>
      <c r="JC20" s="101"/>
      <c r="JD20" s="101"/>
      <c r="JE20" s="101"/>
      <c r="JF20" s="101"/>
      <c r="JG20" s="101"/>
      <c r="JH20" s="101"/>
      <c r="JI20" s="101"/>
      <c r="JJ20" s="101"/>
      <c r="JK20" s="101"/>
      <c r="JL20" s="101"/>
      <c r="JM20" s="101"/>
      <c r="JN20" s="101"/>
      <c r="JO20" s="101"/>
      <c r="JP20" s="101"/>
      <c r="JQ20" s="101"/>
      <c r="JR20" s="101"/>
      <c r="JS20" s="101"/>
      <c r="JT20" s="101"/>
      <c r="JU20" s="101"/>
      <c r="JV20" s="101"/>
      <c r="JW20" s="101"/>
      <c r="JX20" s="101"/>
      <c r="JY20" s="101"/>
      <c r="JZ20" s="101"/>
      <c r="KA20" s="101"/>
      <c r="KB20" s="101"/>
      <c r="KC20" s="101"/>
      <c r="KD20" s="101"/>
      <c r="KE20" s="101"/>
      <c r="KF20" s="101"/>
      <c r="KG20" s="101"/>
      <c r="KH20" s="101"/>
      <c r="KI20" s="101"/>
      <c r="KJ20" s="101"/>
      <c r="KK20" s="101"/>
      <c r="KL20" s="101"/>
      <c r="KM20" s="101"/>
      <c r="KN20" s="101"/>
      <c r="KO20" s="101"/>
      <c r="KP20" s="101"/>
      <c r="KQ20" s="101"/>
      <c r="KR20" s="101"/>
      <c r="KS20" s="101"/>
      <c r="KT20" s="101"/>
      <c r="KU20" s="101"/>
      <c r="KV20" s="101"/>
      <c r="KW20" s="101"/>
      <c r="KX20" s="101"/>
      <c r="KY20" s="101"/>
      <c r="KZ20" s="101"/>
      <c r="LA20" s="101"/>
      <c r="LB20" s="101"/>
      <c r="LC20" s="101"/>
      <c r="LD20" s="101"/>
      <c r="LE20" s="101"/>
      <c r="LF20" s="101"/>
      <c r="LG20" s="101"/>
      <c r="LH20" s="101"/>
      <c r="LI20" s="101"/>
      <c r="LJ20" s="101"/>
      <c r="LK20" s="101"/>
      <c r="LL20" s="101"/>
      <c r="LM20" s="101"/>
      <c r="LN20" s="101"/>
      <c r="LO20" s="101"/>
      <c r="LP20" s="101"/>
      <c r="LQ20" s="101"/>
      <c r="LR20" s="101"/>
      <c r="LS20" s="101"/>
      <c r="LT20" s="101">
        <v>2</v>
      </c>
      <c r="LU20" s="101">
        <v>8</v>
      </c>
      <c r="LV20" s="101">
        <v>8</v>
      </c>
      <c r="LW20" s="101"/>
      <c r="LX20" s="101">
        <v>8</v>
      </c>
      <c r="LY20" s="101">
        <v>8</v>
      </c>
      <c r="LZ20" s="101">
        <v>8</v>
      </c>
      <c r="MA20" s="101">
        <v>8</v>
      </c>
      <c r="MB20" s="101">
        <v>8</v>
      </c>
      <c r="MC20" s="101">
        <v>8</v>
      </c>
      <c r="MD20" s="101"/>
      <c r="ME20" s="101">
        <v>8</v>
      </c>
      <c r="MF20" s="101">
        <v>6</v>
      </c>
      <c r="MG20" s="101"/>
      <c r="MH20" s="101"/>
      <c r="MI20" s="101"/>
      <c r="MJ20" s="101"/>
      <c r="MK20" s="101"/>
      <c r="ML20" s="101"/>
      <c r="MM20" s="101"/>
      <c r="MN20" s="101"/>
      <c r="MO20" s="101"/>
      <c r="MP20" s="101"/>
      <c r="MQ20" s="101"/>
      <c r="MR20" s="101"/>
      <c r="MS20" s="101"/>
      <c r="MT20" s="101">
        <v>2</v>
      </c>
      <c r="MU20" s="101">
        <v>8</v>
      </c>
      <c r="MV20" s="101">
        <v>8</v>
      </c>
      <c r="MW20" s="101">
        <v>8</v>
      </c>
      <c r="MX20" s="101">
        <v>8</v>
      </c>
      <c r="MY20" s="101"/>
      <c r="MZ20" s="101">
        <v>8</v>
      </c>
      <c r="NA20" s="101">
        <v>8</v>
      </c>
      <c r="NB20" s="101">
        <v>8</v>
      </c>
      <c r="NC20" s="101">
        <v>8</v>
      </c>
      <c r="ND20" s="101">
        <v>10</v>
      </c>
      <c r="NE20" s="101">
        <v>17</v>
      </c>
      <c r="NF20" s="101"/>
      <c r="NG20" s="101">
        <v>20</v>
      </c>
      <c r="NH20" s="101">
        <v>20</v>
      </c>
      <c r="NI20" s="101">
        <v>20</v>
      </c>
      <c r="NJ20" s="101">
        <v>20</v>
      </c>
      <c r="NK20" s="101">
        <v>20</v>
      </c>
      <c r="NL20" s="101">
        <v>20</v>
      </c>
      <c r="NM20" s="101"/>
      <c r="NN20" s="101">
        <v>20</v>
      </c>
      <c r="NO20" s="101">
        <v>20</v>
      </c>
      <c r="NP20" s="101">
        <v>18</v>
      </c>
      <c r="NQ20" s="101">
        <v>12</v>
      </c>
      <c r="NR20" s="101">
        <v>12</v>
      </c>
      <c r="NS20" s="101">
        <v>12</v>
      </c>
      <c r="NT20" s="101"/>
      <c r="NU20" s="101">
        <v>12</v>
      </c>
      <c r="NV20" s="101">
        <v>12</v>
      </c>
      <c r="NW20" s="101">
        <v>12</v>
      </c>
      <c r="NX20" s="101">
        <v>12</v>
      </c>
      <c r="NY20" s="101">
        <v>12</v>
      </c>
      <c r="NZ20" s="101">
        <v>12</v>
      </c>
      <c r="OA20" s="101"/>
      <c r="OB20" s="101">
        <v>12</v>
      </c>
      <c r="OC20" s="101">
        <v>12</v>
      </c>
      <c r="OD20" s="101">
        <v>12</v>
      </c>
      <c r="OE20" s="101">
        <v>12</v>
      </c>
      <c r="OF20" s="101">
        <v>12</v>
      </c>
      <c r="OG20" s="101">
        <v>12</v>
      </c>
      <c r="OH20" s="101"/>
      <c r="OI20" s="101">
        <v>12</v>
      </c>
      <c r="OJ20" s="101">
        <v>12</v>
      </c>
      <c r="OK20" s="101">
        <v>12</v>
      </c>
      <c r="OL20" s="101">
        <v>12</v>
      </c>
      <c r="OM20" s="101">
        <v>12</v>
      </c>
      <c r="ON20" s="101">
        <v>11</v>
      </c>
      <c r="OO20" s="101"/>
      <c r="OP20" s="101">
        <v>16</v>
      </c>
      <c r="OQ20" s="101">
        <v>18</v>
      </c>
      <c r="OR20" s="101">
        <v>18</v>
      </c>
      <c r="OS20" s="101">
        <v>18</v>
      </c>
      <c r="OT20" s="101">
        <v>18</v>
      </c>
      <c r="OU20" s="101">
        <v>18</v>
      </c>
      <c r="OV20" s="101"/>
      <c r="OW20" s="101">
        <v>18</v>
      </c>
      <c r="OX20" s="101">
        <v>18</v>
      </c>
      <c r="OY20" s="101">
        <v>18</v>
      </c>
      <c r="OZ20" s="101">
        <v>18</v>
      </c>
      <c r="PA20" s="101">
        <v>18</v>
      </c>
      <c r="PB20" s="101">
        <v>18</v>
      </c>
      <c r="PC20" s="101"/>
      <c r="PD20" s="101">
        <v>18</v>
      </c>
      <c r="PE20" s="101">
        <v>18</v>
      </c>
      <c r="PF20" s="101">
        <v>18</v>
      </c>
      <c r="PG20" s="101">
        <v>16</v>
      </c>
      <c r="PH20" s="101">
        <v>16</v>
      </c>
      <c r="PI20" s="101">
        <v>16</v>
      </c>
      <c r="PJ20" s="101">
        <v>8</v>
      </c>
      <c r="PK20" s="101">
        <v>16</v>
      </c>
      <c r="PL20" s="101">
        <v>16</v>
      </c>
      <c r="PM20" s="101">
        <v>16</v>
      </c>
      <c r="PN20" s="101">
        <v>16</v>
      </c>
      <c r="PO20" s="101">
        <v>16</v>
      </c>
      <c r="PP20" s="101">
        <v>16</v>
      </c>
      <c r="PQ20" s="101">
        <v>8</v>
      </c>
      <c r="PR20" s="101">
        <v>16</v>
      </c>
      <c r="PS20" s="101">
        <v>16</v>
      </c>
      <c r="PT20" s="101">
        <v>16</v>
      </c>
      <c r="PU20" s="101">
        <v>16</v>
      </c>
      <c r="PV20" s="101">
        <v>10</v>
      </c>
      <c r="PW20" s="101">
        <v>7</v>
      </c>
      <c r="PX20" s="101">
        <v>1</v>
      </c>
      <c r="PY20" s="101">
        <v>1</v>
      </c>
      <c r="PZ20" s="101">
        <v>1</v>
      </c>
      <c r="QA20" s="101">
        <v>1</v>
      </c>
      <c r="QB20" s="101">
        <v>1</v>
      </c>
      <c r="QC20" s="101">
        <v>1</v>
      </c>
      <c r="QD20" s="101">
        <v>1</v>
      </c>
      <c r="QE20" s="101">
        <v>1</v>
      </c>
      <c r="QF20" s="101">
        <v>1</v>
      </c>
      <c r="QG20" s="101">
        <v>1</v>
      </c>
      <c r="QH20" s="101">
        <v>1</v>
      </c>
      <c r="QI20" s="101">
        <v>1</v>
      </c>
      <c r="QJ20" s="101">
        <v>1</v>
      </c>
      <c r="QK20" s="101">
        <v>1</v>
      </c>
      <c r="QL20" s="101">
        <v>1</v>
      </c>
      <c r="QM20" s="101">
        <v>1</v>
      </c>
      <c r="QN20" s="101">
        <v>1</v>
      </c>
      <c r="QO20" s="101">
        <v>1</v>
      </c>
      <c r="QP20" s="101">
        <v>0</v>
      </c>
      <c r="QQ20" s="101">
        <v>2</v>
      </c>
      <c r="QR20" s="101">
        <v>8</v>
      </c>
      <c r="QS20" s="101"/>
      <c r="QT20" s="101">
        <v>8</v>
      </c>
      <c r="QU20" s="101">
        <v>8</v>
      </c>
      <c r="QV20" s="101">
        <v>8</v>
      </c>
      <c r="QW20" s="101">
        <v>8</v>
      </c>
      <c r="QX20" s="101">
        <v>8</v>
      </c>
      <c r="QY20" s="101">
        <v>8</v>
      </c>
      <c r="QZ20" s="101"/>
      <c r="RA20" s="101">
        <v>8</v>
      </c>
      <c r="RB20" s="101">
        <v>8</v>
      </c>
      <c r="RC20" s="101">
        <v>8</v>
      </c>
      <c r="RD20" s="101">
        <v>8</v>
      </c>
      <c r="RE20" s="101">
        <v>8</v>
      </c>
      <c r="RF20" s="101">
        <v>8</v>
      </c>
      <c r="RG20" s="101"/>
      <c r="RH20" s="101">
        <v>8</v>
      </c>
      <c r="RI20" s="101">
        <v>8</v>
      </c>
      <c r="RJ20" s="101">
        <v>8</v>
      </c>
      <c r="RK20" s="101">
        <v>8</v>
      </c>
      <c r="RL20" s="101">
        <v>8</v>
      </c>
      <c r="RM20" s="101">
        <v>8</v>
      </c>
      <c r="RN20" s="101"/>
      <c r="RO20" s="101">
        <v>8</v>
      </c>
      <c r="RP20" s="101">
        <v>8</v>
      </c>
      <c r="RQ20" s="101">
        <v>8</v>
      </c>
      <c r="RR20" s="101">
        <v>8</v>
      </c>
      <c r="RS20" s="101">
        <v>8</v>
      </c>
      <c r="RT20" s="101">
        <v>8</v>
      </c>
      <c r="RU20" s="101"/>
      <c r="RV20" s="101">
        <v>8</v>
      </c>
      <c r="RW20" s="101">
        <v>8</v>
      </c>
      <c r="RX20" s="101">
        <v>8</v>
      </c>
      <c r="RY20" s="101">
        <v>8</v>
      </c>
      <c r="RZ20" s="101">
        <v>6</v>
      </c>
      <c r="SA20" s="101">
        <v>2</v>
      </c>
      <c r="SB20" s="101">
        <v>2</v>
      </c>
      <c r="SC20" s="101"/>
      <c r="SD20" s="101"/>
      <c r="SE20" s="101"/>
      <c r="SF20" s="101"/>
      <c r="SG20" s="101"/>
      <c r="SH20" s="101"/>
      <c r="SI20" s="101"/>
      <c r="SJ20" s="101"/>
      <c r="SK20" s="101"/>
      <c r="SL20" s="101">
        <v>2</v>
      </c>
      <c r="SM20" s="101">
        <v>2</v>
      </c>
      <c r="SN20" s="101"/>
      <c r="SO20" s="101"/>
      <c r="SP20" s="101"/>
      <c r="SQ20" s="101"/>
      <c r="SR20" s="101"/>
      <c r="SS20" s="101"/>
      <c r="ST20" s="101"/>
      <c r="SU20" s="101"/>
      <c r="SV20" s="101"/>
      <c r="SW20" s="101"/>
      <c r="SX20" s="101"/>
      <c r="SY20" s="101">
        <v>2</v>
      </c>
      <c r="SZ20" s="101">
        <v>2</v>
      </c>
      <c r="TA20" s="101"/>
      <c r="TB20" s="101"/>
      <c r="TC20" s="101"/>
      <c r="TD20" s="101"/>
      <c r="TE20" s="101"/>
      <c r="TF20" s="101"/>
      <c r="TG20" s="101"/>
      <c r="TH20" s="101"/>
      <c r="TI20" s="101"/>
      <c r="TJ20" s="101"/>
      <c r="TK20" s="101"/>
      <c r="TL20" s="101"/>
      <c r="TM20" s="101"/>
      <c r="TN20" s="101"/>
      <c r="TO20" s="101"/>
      <c r="TP20" s="101"/>
      <c r="TQ20" s="101"/>
      <c r="TR20" s="101"/>
      <c r="TS20" s="101"/>
      <c r="TT20" s="101"/>
      <c r="TU20" s="101"/>
      <c r="TV20" s="101"/>
      <c r="TW20" s="101"/>
      <c r="TX20" s="101"/>
      <c r="TY20" s="101"/>
      <c r="TZ20" s="101"/>
      <c r="UA20" s="101"/>
      <c r="UB20" s="101"/>
      <c r="UC20" s="101"/>
      <c r="UD20" s="101"/>
      <c r="UE20" s="101"/>
      <c r="UF20" s="101"/>
      <c r="UG20" s="101"/>
      <c r="UH20" s="101"/>
      <c r="UI20" s="101"/>
      <c r="UJ20" s="101"/>
      <c r="UK20" s="101"/>
      <c r="UL20" s="101"/>
      <c r="UM20" s="101"/>
      <c r="UN20" s="101"/>
      <c r="UO20" s="101"/>
      <c r="UP20" s="101"/>
      <c r="UQ20" s="101"/>
      <c r="UR20" s="101"/>
      <c r="US20" s="101"/>
      <c r="UT20" s="101"/>
      <c r="UU20" s="101"/>
      <c r="UV20" s="101"/>
      <c r="UW20" s="101"/>
      <c r="UX20" s="101"/>
      <c r="UY20" s="101"/>
      <c r="UZ20" s="101"/>
      <c r="VA20" s="101"/>
      <c r="VB20" s="101"/>
      <c r="VC20" s="101"/>
      <c r="VD20" s="101">
        <v>6</v>
      </c>
      <c r="VE20" s="101">
        <v>6</v>
      </c>
      <c r="VF20" s="101">
        <v>6</v>
      </c>
      <c r="VG20" s="101">
        <v>6</v>
      </c>
      <c r="VH20" s="101"/>
      <c r="VI20" s="101">
        <v>6</v>
      </c>
      <c r="VJ20" s="101">
        <v>6</v>
      </c>
      <c r="VK20" s="101">
        <v>6</v>
      </c>
      <c r="VL20" s="101">
        <v>6</v>
      </c>
      <c r="VM20" s="101">
        <v>6</v>
      </c>
      <c r="VN20" s="101"/>
      <c r="VO20" s="101"/>
      <c r="VP20" s="101"/>
      <c r="VQ20" s="101"/>
      <c r="VR20" s="101"/>
      <c r="VS20" s="101">
        <v>6</v>
      </c>
      <c r="VT20" s="101"/>
      <c r="VU20" s="101"/>
      <c r="VV20" s="101"/>
      <c r="VW20" s="101"/>
      <c r="VX20" s="101"/>
      <c r="VY20" s="101"/>
      <c r="VZ20" s="101"/>
      <c r="WA20" s="101"/>
      <c r="WB20" s="101"/>
      <c r="WC20" s="101"/>
      <c r="WD20" s="101"/>
      <c r="WE20" s="101"/>
      <c r="WF20" s="101"/>
      <c r="WG20" s="101"/>
      <c r="WH20" s="101"/>
      <c r="WI20" s="101"/>
      <c r="WJ20" s="101"/>
      <c r="WK20" s="101"/>
      <c r="WL20" s="101"/>
      <c r="WM20" s="101"/>
      <c r="WN20" s="101"/>
      <c r="WO20" s="101"/>
      <c r="WP20" s="101"/>
      <c r="WQ20" s="101"/>
      <c r="WR20" s="101"/>
      <c r="WS20" s="101"/>
      <c r="WT20" s="101"/>
      <c r="WU20" s="101"/>
      <c r="WV20" s="101"/>
      <c r="WW20" s="101"/>
      <c r="WX20" s="101"/>
      <c r="WY20" s="101"/>
      <c r="WZ20" s="101"/>
      <c r="XA20" s="101"/>
      <c r="XB20" s="101"/>
      <c r="XC20" s="101"/>
      <c r="XD20" s="101">
        <v>4</v>
      </c>
      <c r="XE20" s="101"/>
      <c r="XF20" s="101">
        <v>4</v>
      </c>
      <c r="XG20" s="101">
        <v>4</v>
      </c>
      <c r="XH20" s="101">
        <v>4</v>
      </c>
      <c r="XI20" s="101">
        <v>4</v>
      </c>
      <c r="XJ20" s="101">
        <v>4</v>
      </c>
      <c r="XK20" s="101">
        <v>4</v>
      </c>
      <c r="XL20" s="101"/>
      <c r="XM20" s="101">
        <v>4</v>
      </c>
      <c r="XN20" s="101">
        <v>4</v>
      </c>
      <c r="XO20" s="101">
        <v>4</v>
      </c>
      <c r="XP20" s="101">
        <v>4</v>
      </c>
      <c r="XQ20" s="101">
        <v>4</v>
      </c>
      <c r="XR20" s="101">
        <v>4</v>
      </c>
      <c r="XS20" s="101"/>
      <c r="XT20" s="101">
        <v>4</v>
      </c>
      <c r="XU20" s="101">
        <v>4</v>
      </c>
      <c r="XV20" s="101"/>
      <c r="XW20" s="101"/>
      <c r="XX20" s="101"/>
      <c r="XY20" s="101"/>
      <c r="XZ20" s="101"/>
      <c r="YA20" s="101"/>
      <c r="YB20" s="101"/>
      <c r="YC20" s="101"/>
      <c r="YD20" s="101"/>
      <c r="YE20" s="101"/>
      <c r="YF20" s="101"/>
      <c r="YG20" s="101"/>
      <c r="YH20" s="101"/>
      <c r="YI20" s="101"/>
      <c r="YJ20" s="101"/>
      <c r="YK20" s="101"/>
      <c r="YL20" s="101"/>
      <c r="YM20" s="101"/>
      <c r="YN20" s="101"/>
      <c r="YO20" s="101"/>
      <c r="YP20" s="101"/>
      <c r="YQ20" s="101"/>
      <c r="YR20" s="101"/>
      <c r="YS20" s="101"/>
      <c r="YT20" s="101"/>
      <c r="YU20" s="101"/>
      <c r="YV20" s="101"/>
      <c r="YW20" s="101"/>
      <c r="YX20" s="101"/>
      <c r="YY20" s="101"/>
      <c r="YZ20" s="101"/>
      <c r="ZA20" s="101"/>
      <c r="ZB20" s="101"/>
      <c r="ZC20" s="101"/>
      <c r="ZD20" s="101"/>
      <c r="ZE20" s="101"/>
      <c r="ZF20" s="101"/>
      <c r="ZG20" s="101"/>
      <c r="ZH20" s="101"/>
    </row>
    <row r="21" spans="1:684">
      <c r="A21" s="75" t="s">
        <v>59</v>
      </c>
      <c r="B21" s="101"/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  <c r="BZ21" s="101"/>
      <c r="CA21" s="101"/>
      <c r="CB21" s="101"/>
      <c r="CC21" s="101"/>
      <c r="CD21" s="101"/>
      <c r="CE21" s="101"/>
      <c r="CF21" s="101"/>
      <c r="CG21" s="101"/>
      <c r="CH21" s="101"/>
      <c r="CI21" s="101"/>
      <c r="CJ21" s="101"/>
      <c r="CK21" s="101"/>
      <c r="CL21" s="101"/>
      <c r="CM21" s="101"/>
      <c r="CN21" s="101"/>
      <c r="CO21" s="101"/>
      <c r="CP21" s="101"/>
      <c r="CQ21" s="101"/>
      <c r="CR21" s="101"/>
      <c r="CS21" s="101"/>
      <c r="CT21" s="101"/>
      <c r="CU21" s="101"/>
      <c r="CV21" s="101"/>
      <c r="CW21" s="101"/>
      <c r="CX21" s="101"/>
      <c r="CY21" s="101"/>
      <c r="CZ21" s="101"/>
      <c r="DA21" s="101"/>
      <c r="DB21" s="101"/>
      <c r="DC21" s="101"/>
      <c r="DD21" s="101"/>
      <c r="DE21" s="101"/>
      <c r="DF21" s="101"/>
      <c r="DG21" s="101"/>
      <c r="DH21" s="101"/>
      <c r="DI21" s="101"/>
      <c r="DJ21" s="101"/>
      <c r="DK21" s="101"/>
      <c r="DL21" s="101"/>
      <c r="DM21" s="101"/>
      <c r="DN21" s="101"/>
      <c r="DO21" s="101"/>
      <c r="DP21" s="101"/>
      <c r="DQ21" s="101"/>
      <c r="DR21" s="101"/>
      <c r="DS21" s="101"/>
      <c r="DT21" s="101"/>
      <c r="DU21" s="101"/>
      <c r="DV21" s="101"/>
      <c r="DW21" s="101"/>
      <c r="DX21" s="101"/>
      <c r="DY21" s="101"/>
      <c r="DZ21" s="101"/>
      <c r="EA21" s="101"/>
      <c r="EB21" s="101"/>
      <c r="EC21" s="101"/>
      <c r="ED21" s="101"/>
      <c r="EE21" s="101"/>
      <c r="EF21" s="101"/>
      <c r="EG21" s="101"/>
      <c r="EH21" s="101"/>
      <c r="EI21" s="101"/>
      <c r="EJ21" s="101"/>
      <c r="EK21" s="101"/>
      <c r="EL21" s="101"/>
      <c r="EM21" s="101"/>
      <c r="EN21" s="101"/>
      <c r="EO21" s="101"/>
      <c r="EP21" s="101"/>
      <c r="EQ21" s="101"/>
      <c r="ER21" s="101"/>
      <c r="ES21" s="101"/>
      <c r="ET21" s="101"/>
      <c r="EU21" s="101"/>
      <c r="EV21" s="101"/>
      <c r="EW21" s="101"/>
      <c r="EX21" s="101"/>
      <c r="EY21" s="101"/>
      <c r="EZ21" s="101"/>
      <c r="FA21" s="101"/>
      <c r="FB21" s="101"/>
      <c r="FC21" s="101"/>
      <c r="FD21" s="101"/>
      <c r="FE21" s="101"/>
      <c r="FF21" s="101"/>
      <c r="FG21" s="101"/>
      <c r="FH21" s="101"/>
      <c r="FI21" s="101"/>
      <c r="FJ21" s="101"/>
      <c r="FK21" s="101"/>
      <c r="FL21" s="101"/>
      <c r="FM21" s="101"/>
      <c r="FN21" s="101"/>
      <c r="FO21" s="101"/>
      <c r="FP21" s="101"/>
      <c r="FQ21" s="101"/>
      <c r="FR21" s="101"/>
      <c r="FS21" s="101"/>
      <c r="FT21" s="101"/>
      <c r="FU21" s="101"/>
      <c r="FV21" s="101"/>
      <c r="FW21" s="101"/>
      <c r="FX21" s="101"/>
      <c r="FY21" s="101"/>
      <c r="FZ21" s="101"/>
      <c r="GA21" s="101"/>
      <c r="GB21" s="101"/>
      <c r="GC21" s="101"/>
      <c r="GD21" s="101"/>
      <c r="GE21" s="101"/>
      <c r="GF21" s="101"/>
      <c r="GG21" s="101"/>
      <c r="GH21" s="101"/>
      <c r="GI21" s="101"/>
      <c r="GJ21" s="101"/>
      <c r="GK21" s="101"/>
      <c r="GL21" s="101"/>
      <c r="GM21" s="101"/>
      <c r="GN21" s="101"/>
      <c r="GO21" s="101"/>
      <c r="GP21" s="101"/>
      <c r="GQ21" s="101"/>
      <c r="GR21" s="101"/>
      <c r="GS21" s="101"/>
      <c r="GT21" s="101"/>
      <c r="GU21" s="101"/>
      <c r="GV21" s="101"/>
      <c r="GW21" s="101"/>
      <c r="GX21" s="101"/>
      <c r="GY21" s="101"/>
      <c r="GZ21" s="101"/>
      <c r="HA21" s="101"/>
      <c r="HB21" s="101"/>
      <c r="HC21" s="101"/>
      <c r="HD21" s="101"/>
      <c r="HE21" s="101"/>
      <c r="HF21" s="101"/>
      <c r="HG21" s="101"/>
      <c r="HH21" s="101"/>
      <c r="HI21" s="101"/>
      <c r="HJ21" s="101"/>
      <c r="HK21" s="101"/>
      <c r="HL21" s="101"/>
      <c r="HM21" s="101"/>
      <c r="HN21" s="101"/>
      <c r="HO21" s="101"/>
      <c r="HP21" s="101"/>
      <c r="HQ21" s="101"/>
      <c r="HR21" s="101"/>
      <c r="HS21" s="101"/>
      <c r="HT21" s="101"/>
      <c r="HU21" s="101"/>
      <c r="HV21" s="101"/>
      <c r="HW21" s="101"/>
      <c r="HX21" s="101"/>
      <c r="HY21" s="101"/>
      <c r="HZ21" s="101"/>
      <c r="IA21" s="101"/>
      <c r="IB21" s="101"/>
      <c r="IC21" s="101"/>
      <c r="ID21" s="101"/>
      <c r="IE21" s="101"/>
      <c r="IF21" s="101"/>
      <c r="IG21" s="101">
        <v>20</v>
      </c>
      <c r="IH21" s="101">
        <v>20</v>
      </c>
      <c r="II21" s="101">
        <v>20</v>
      </c>
      <c r="IJ21" s="101"/>
      <c r="IK21" s="101">
        <v>20</v>
      </c>
      <c r="IL21" s="101">
        <v>20</v>
      </c>
      <c r="IM21" s="101">
        <v>20</v>
      </c>
      <c r="IN21" s="101">
        <v>20</v>
      </c>
      <c r="IO21" s="101">
        <v>20</v>
      </c>
      <c r="IP21" s="101">
        <v>20</v>
      </c>
      <c r="IQ21" s="101"/>
      <c r="IR21" s="101">
        <v>20</v>
      </c>
      <c r="IS21" s="101">
        <v>20</v>
      </c>
      <c r="IT21" s="101">
        <v>20</v>
      </c>
      <c r="IU21" s="101">
        <v>20</v>
      </c>
      <c r="IV21" s="101">
        <v>20</v>
      </c>
      <c r="IW21" s="101">
        <v>20</v>
      </c>
      <c r="IX21" s="101"/>
      <c r="IY21" s="101">
        <v>20</v>
      </c>
      <c r="IZ21" s="101">
        <v>20</v>
      </c>
      <c r="JA21" s="101">
        <v>20</v>
      </c>
      <c r="JB21" s="101">
        <v>20</v>
      </c>
      <c r="JC21" s="101">
        <v>20</v>
      </c>
      <c r="JD21" s="101">
        <v>20</v>
      </c>
      <c r="JE21" s="101"/>
      <c r="JF21" s="101">
        <v>20</v>
      </c>
      <c r="JG21" s="101">
        <v>20</v>
      </c>
      <c r="JH21" s="101">
        <v>20</v>
      </c>
      <c r="JI21" s="101">
        <v>20</v>
      </c>
      <c r="JJ21" s="101">
        <v>20</v>
      </c>
      <c r="JK21" s="101">
        <v>20</v>
      </c>
      <c r="JL21" s="101"/>
      <c r="JM21" s="101">
        <v>20</v>
      </c>
      <c r="JN21" s="101">
        <v>20</v>
      </c>
      <c r="JO21" s="101">
        <v>20</v>
      </c>
      <c r="JP21" s="101">
        <v>20</v>
      </c>
      <c r="JQ21" s="101">
        <v>20</v>
      </c>
      <c r="JR21" s="101">
        <v>20</v>
      </c>
      <c r="JS21" s="101"/>
      <c r="JT21" s="101">
        <v>20</v>
      </c>
      <c r="JU21" s="101">
        <v>20</v>
      </c>
      <c r="JV21" s="101">
        <v>20</v>
      </c>
      <c r="JW21" s="101">
        <v>20</v>
      </c>
      <c r="JX21" s="101">
        <v>20</v>
      </c>
      <c r="JY21" s="101">
        <v>20</v>
      </c>
      <c r="JZ21" s="101"/>
      <c r="KA21" s="101">
        <v>20</v>
      </c>
      <c r="KB21" s="101"/>
      <c r="KC21" s="101"/>
      <c r="KD21" s="101"/>
      <c r="KE21" s="101"/>
      <c r="KF21" s="101"/>
      <c r="KG21" s="101"/>
      <c r="KH21" s="101"/>
      <c r="KI21" s="101"/>
      <c r="KJ21" s="101"/>
      <c r="KK21" s="101"/>
      <c r="KL21" s="101"/>
      <c r="KM21" s="101"/>
      <c r="KN21" s="101"/>
      <c r="KO21" s="101"/>
      <c r="KP21" s="101"/>
      <c r="KQ21" s="101"/>
      <c r="KR21" s="101"/>
      <c r="KS21" s="101"/>
      <c r="KT21" s="101"/>
      <c r="KU21" s="101"/>
      <c r="KV21" s="101"/>
      <c r="KW21" s="101"/>
      <c r="KX21" s="101"/>
      <c r="KY21" s="101"/>
      <c r="KZ21" s="101"/>
      <c r="LA21" s="101"/>
      <c r="LB21" s="101"/>
      <c r="LC21" s="101"/>
      <c r="LD21" s="101"/>
      <c r="LE21" s="101"/>
      <c r="LF21" s="101"/>
      <c r="LG21" s="101"/>
      <c r="LH21" s="101"/>
      <c r="LI21" s="101"/>
      <c r="LJ21" s="101"/>
      <c r="LK21" s="101"/>
      <c r="LL21" s="101"/>
      <c r="LM21" s="101"/>
      <c r="LN21" s="101"/>
      <c r="LO21" s="101"/>
      <c r="LP21" s="101"/>
      <c r="LQ21" s="101"/>
      <c r="LR21" s="101"/>
      <c r="LS21" s="101"/>
      <c r="LT21" s="101"/>
      <c r="LU21" s="101"/>
      <c r="LV21" s="101"/>
      <c r="LW21" s="101"/>
      <c r="LX21" s="101"/>
      <c r="LY21" s="101"/>
      <c r="LZ21" s="101"/>
      <c r="MA21" s="101"/>
      <c r="MB21" s="101"/>
      <c r="MC21" s="101"/>
      <c r="MD21" s="101"/>
      <c r="ME21" s="101"/>
      <c r="MF21" s="101"/>
      <c r="MG21" s="101"/>
      <c r="MH21" s="101"/>
      <c r="MI21" s="101"/>
      <c r="MJ21" s="101"/>
      <c r="MK21" s="101"/>
      <c r="ML21" s="101"/>
      <c r="MM21" s="101"/>
      <c r="MN21" s="101"/>
      <c r="MO21" s="101"/>
      <c r="MP21" s="101"/>
      <c r="MQ21" s="101"/>
      <c r="MR21" s="101"/>
      <c r="MS21" s="101"/>
      <c r="MT21" s="101"/>
      <c r="MU21" s="101"/>
      <c r="MV21" s="101"/>
      <c r="MW21" s="101"/>
      <c r="MX21" s="101"/>
      <c r="MY21" s="101"/>
      <c r="MZ21" s="101"/>
      <c r="NA21" s="101"/>
      <c r="NB21" s="101"/>
      <c r="NC21" s="101"/>
      <c r="ND21" s="101"/>
      <c r="NE21" s="101"/>
      <c r="NF21" s="101"/>
      <c r="NG21" s="101"/>
      <c r="NH21" s="101"/>
      <c r="NI21" s="101"/>
      <c r="NJ21" s="101"/>
      <c r="NK21" s="101"/>
      <c r="NL21" s="101"/>
      <c r="NM21" s="101"/>
      <c r="NN21" s="101"/>
      <c r="NO21" s="101"/>
      <c r="NP21" s="101"/>
      <c r="NQ21" s="101"/>
      <c r="NR21" s="101"/>
      <c r="NS21" s="101"/>
      <c r="NT21" s="101"/>
      <c r="NU21" s="101"/>
      <c r="NV21" s="101"/>
      <c r="NW21" s="101"/>
      <c r="NX21" s="101"/>
      <c r="NY21" s="101"/>
      <c r="NZ21" s="101"/>
      <c r="OA21" s="101"/>
      <c r="OB21" s="101"/>
      <c r="OC21" s="101"/>
      <c r="OD21" s="101"/>
      <c r="OE21" s="101"/>
      <c r="OF21" s="101"/>
      <c r="OG21" s="101"/>
      <c r="OH21" s="101"/>
      <c r="OI21" s="101"/>
      <c r="OJ21" s="101"/>
      <c r="OK21" s="101"/>
      <c r="OL21" s="101"/>
      <c r="OM21" s="101"/>
      <c r="ON21" s="101"/>
      <c r="OO21" s="101"/>
      <c r="OP21" s="101"/>
      <c r="OQ21" s="101"/>
      <c r="OR21" s="101"/>
      <c r="OS21" s="101"/>
      <c r="OT21" s="101"/>
      <c r="OU21" s="101"/>
      <c r="OV21" s="101"/>
      <c r="OW21" s="101"/>
      <c r="OX21" s="101"/>
      <c r="OY21" s="101"/>
      <c r="OZ21" s="101"/>
      <c r="PA21" s="101"/>
      <c r="PB21" s="101"/>
      <c r="PC21" s="101"/>
      <c r="PD21" s="101"/>
      <c r="PE21" s="101"/>
      <c r="PF21" s="101"/>
      <c r="PG21" s="101"/>
      <c r="PH21" s="101"/>
      <c r="PI21" s="101"/>
      <c r="PJ21" s="101"/>
      <c r="PK21" s="101"/>
      <c r="PL21" s="101"/>
      <c r="PM21" s="101"/>
      <c r="PN21" s="101"/>
      <c r="PO21" s="101"/>
      <c r="PP21" s="101"/>
      <c r="PQ21" s="101"/>
      <c r="PR21" s="101"/>
      <c r="PS21" s="101"/>
      <c r="PT21" s="101"/>
      <c r="PU21" s="101"/>
      <c r="PV21" s="101"/>
      <c r="PW21" s="101"/>
      <c r="PX21" s="101"/>
      <c r="PY21" s="101"/>
      <c r="PZ21" s="101"/>
      <c r="QA21" s="101"/>
      <c r="QB21" s="101"/>
      <c r="QC21" s="101"/>
      <c r="QD21" s="101"/>
      <c r="QE21" s="101"/>
      <c r="QF21" s="101"/>
      <c r="QG21" s="101"/>
      <c r="QH21" s="101"/>
      <c r="QI21" s="101"/>
      <c r="QJ21" s="101"/>
      <c r="QK21" s="101"/>
      <c r="QL21" s="101"/>
      <c r="QM21" s="101"/>
      <c r="QN21" s="101"/>
      <c r="QO21" s="101"/>
      <c r="QP21" s="101"/>
      <c r="QQ21" s="101"/>
      <c r="QR21" s="101"/>
      <c r="QS21" s="101"/>
      <c r="QT21" s="101"/>
      <c r="QU21" s="101"/>
      <c r="QV21" s="101"/>
      <c r="QW21" s="101"/>
      <c r="QX21" s="101"/>
      <c r="QY21" s="101"/>
      <c r="QZ21" s="101"/>
      <c r="RA21" s="101"/>
      <c r="RB21" s="101"/>
      <c r="RC21" s="101"/>
      <c r="RD21" s="101"/>
      <c r="RE21" s="101"/>
      <c r="RF21" s="101"/>
      <c r="RG21" s="101"/>
      <c r="RH21" s="101"/>
      <c r="RI21" s="101"/>
      <c r="RJ21" s="101"/>
      <c r="RK21" s="101"/>
      <c r="RL21" s="101"/>
      <c r="RM21" s="101"/>
      <c r="RN21" s="101"/>
      <c r="RO21" s="101"/>
      <c r="RP21" s="101"/>
      <c r="RQ21" s="101"/>
      <c r="RR21" s="101"/>
      <c r="RS21" s="101"/>
      <c r="RT21" s="101"/>
      <c r="RU21" s="101"/>
      <c r="RV21" s="101"/>
      <c r="RW21" s="101"/>
      <c r="RX21" s="101"/>
      <c r="RY21" s="101"/>
      <c r="RZ21" s="101"/>
      <c r="SA21" s="101"/>
      <c r="SB21" s="101"/>
      <c r="SC21" s="101"/>
      <c r="SD21" s="101"/>
      <c r="SE21" s="101"/>
      <c r="SF21" s="101"/>
      <c r="SG21" s="101"/>
      <c r="SH21" s="101"/>
      <c r="SI21" s="101"/>
      <c r="SJ21" s="101"/>
      <c r="SK21" s="101"/>
      <c r="SL21" s="101"/>
      <c r="SM21" s="101"/>
      <c r="SN21" s="101"/>
      <c r="SO21" s="101"/>
      <c r="SP21" s="101"/>
      <c r="SQ21" s="101"/>
      <c r="SR21" s="101"/>
      <c r="SS21" s="101"/>
      <c r="ST21" s="101"/>
      <c r="SU21" s="101"/>
      <c r="SV21" s="101"/>
      <c r="SW21" s="101"/>
      <c r="SX21" s="101"/>
      <c r="SY21" s="101"/>
      <c r="SZ21" s="101"/>
      <c r="TA21" s="101"/>
      <c r="TB21" s="101"/>
      <c r="TC21" s="101"/>
      <c r="TD21" s="101"/>
      <c r="TE21" s="101"/>
      <c r="TF21" s="101"/>
      <c r="TG21" s="101"/>
      <c r="TH21" s="101"/>
      <c r="TI21" s="101"/>
      <c r="TJ21" s="101"/>
      <c r="TK21" s="101"/>
      <c r="TL21" s="101"/>
      <c r="TM21" s="101"/>
      <c r="TN21" s="101"/>
      <c r="TO21" s="101"/>
      <c r="TP21" s="101"/>
      <c r="TQ21" s="101"/>
      <c r="TR21" s="101"/>
      <c r="TS21" s="101"/>
      <c r="TT21" s="101"/>
      <c r="TU21" s="101"/>
      <c r="TV21" s="101"/>
      <c r="TW21" s="101"/>
      <c r="TX21" s="101"/>
      <c r="TY21" s="101"/>
      <c r="TZ21" s="101"/>
      <c r="UA21" s="101"/>
      <c r="UB21" s="101"/>
      <c r="UC21" s="101"/>
      <c r="UD21" s="101"/>
      <c r="UE21" s="101"/>
      <c r="UF21" s="101"/>
      <c r="UG21" s="101"/>
      <c r="UH21" s="101"/>
      <c r="UI21" s="101"/>
      <c r="UJ21" s="101"/>
      <c r="UK21" s="101"/>
      <c r="UL21" s="101"/>
      <c r="UM21" s="101"/>
      <c r="UN21" s="101"/>
      <c r="UO21" s="101"/>
      <c r="UP21" s="101"/>
      <c r="UQ21" s="101"/>
      <c r="UR21" s="101"/>
      <c r="US21" s="101"/>
      <c r="UT21" s="101"/>
      <c r="UU21" s="101"/>
      <c r="UV21" s="101"/>
      <c r="UW21" s="101"/>
      <c r="UX21" s="101"/>
      <c r="UY21" s="101"/>
      <c r="UZ21" s="101"/>
      <c r="VA21" s="101"/>
      <c r="VB21" s="101"/>
      <c r="VC21" s="101"/>
      <c r="VD21" s="101"/>
      <c r="VE21" s="101"/>
      <c r="VF21" s="101"/>
      <c r="VG21" s="101"/>
      <c r="VH21" s="101"/>
      <c r="VI21" s="101"/>
      <c r="VJ21" s="101"/>
      <c r="VK21" s="101"/>
      <c r="VL21" s="101"/>
      <c r="VM21" s="101"/>
      <c r="VN21" s="101"/>
      <c r="VO21" s="101"/>
      <c r="VP21" s="101"/>
      <c r="VQ21" s="101"/>
      <c r="VR21" s="101"/>
      <c r="VS21" s="101"/>
      <c r="VT21" s="101"/>
      <c r="VU21" s="101"/>
      <c r="VV21" s="101"/>
      <c r="VW21" s="101"/>
      <c r="VX21" s="101"/>
      <c r="VY21" s="101"/>
      <c r="VZ21" s="101"/>
      <c r="WA21" s="101"/>
      <c r="WB21" s="101"/>
      <c r="WC21" s="101"/>
      <c r="WD21" s="101"/>
      <c r="WE21" s="101"/>
      <c r="WF21" s="101"/>
      <c r="WG21" s="101"/>
      <c r="WH21" s="101"/>
      <c r="WI21" s="101"/>
      <c r="WJ21" s="101"/>
      <c r="WK21" s="101"/>
      <c r="WL21" s="101"/>
      <c r="WM21" s="101"/>
      <c r="WN21" s="101"/>
      <c r="WO21" s="101"/>
      <c r="WP21" s="101"/>
      <c r="WQ21" s="101"/>
      <c r="WR21" s="101"/>
      <c r="WS21" s="101"/>
      <c r="WT21" s="101"/>
      <c r="WU21" s="101"/>
      <c r="WV21" s="101"/>
      <c r="WW21" s="101"/>
      <c r="WX21" s="101"/>
      <c r="WY21" s="101"/>
      <c r="WZ21" s="101"/>
      <c r="XA21" s="101"/>
      <c r="XB21" s="101"/>
      <c r="XC21" s="101"/>
      <c r="XD21" s="101"/>
      <c r="XE21" s="101"/>
      <c r="XF21" s="101"/>
      <c r="XG21" s="101"/>
      <c r="XH21" s="101"/>
      <c r="XI21" s="101"/>
      <c r="XJ21" s="101"/>
      <c r="XK21" s="101"/>
      <c r="XL21" s="101"/>
      <c r="XM21" s="101"/>
      <c r="XN21" s="101"/>
      <c r="XO21" s="101"/>
      <c r="XP21" s="101"/>
      <c r="XQ21" s="101"/>
      <c r="XR21" s="101"/>
      <c r="XS21" s="101"/>
      <c r="XT21" s="101"/>
      <c r="XU21" s="101"/>
      <c r="XV21" s="101"/>
      <c r="XW21" s="101"/>
      <c r="XX21" s="101"/>
      <c r="XY21" s="101"/>
      <c r="XZ21" s="101"/>
      <c r="YA21" s="101"/>
      <c r="YB21" s="101"/>
      <c r="YC21" s="101"/>
      <c r="YD21" s="101"/>
      <c r="YE21" s="101"/>
      <c r="YF21" s="101"/>
      <c r="YG21" s="101"/>
      <c r="YH21" s="101"/>
      <c r="YI21" s="101"/>
      <c r="YJ21" s="101"/>
      <c r="YK21" s="101"/>
      <c r="YL21" s="101"/>
      <c r="YM21" s="101"/>
      <c r="YN21" s="101"/>
      <c r="YO21" s="101"/>
      <c r="YP21" s="101"/>
      <c r="YQ21" s="101"/>
      <c r="YR21" s="101"/>
      <c r="YS21" s="101"/>
      <c r="YT21" s="101"/>
      <c r="YU21" s="101"/>
      <c r="YV21" s="101"/>
      <c r="YW21" s="101"/>
      <c r="YX21" s="101"/>
      <c r="YY21" s="101"/>
      <c r="YZ21" s="101"/>
      <c r="ZA21" s="101"/>
      <c r="ZB21" s="101"/>
      <c r="ZC21" s="101"/>
      <c r="ZD21" s="101"/>
      <c r="ZE21" s="101"/>
      <c r="ZF21" s="101"/>
      <c r="ZG21" s="101"/>
      <c r="ZH21" s="101"/>
    </row>
    <row r="22" spans="1:684">
      <c r="A22" s="75" t="s">
        <v>60</v>
      </c>
      <c r="B22" s="101"/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  <c r="BR22" s="101"/>
      <c r="BS22" s="101"/>
      <c r="BT22" s="101"/>
      <c r="BU22" s="101"/>
      <c r="BV22" s="101"/>
      <c r="BW22" s="101"/>
      <c r="BX22" s="101"/>
      <c r="BY22" s="101"/>
      <c r="BZ22" s="101"/>
      <c r="CA22" s="101"/>
      <c r="CB22" s="101"/>
      <c r="CC22" s="101"/>
      <c r="CD22" s="101"/>
      <c r="CE22" s="101"/>
      <c r="CF22" s="101"/>
      <c r="CG22" s="101"/>
      <c r="CH22" s="101"/>
      <c r="CI22" s="101"/>
      <c r="CJ22" s="101"/>
      <c r="CK22" s="101"/>
      <c r="CL22" s="101"/>
      <c r="CM22" s="101"/>
      <c r="CN22" s="101"/>
      <c r="CO22" s="101"/>
      <c r="CP22" s="101"/>
      <c r="CQ22" s="101"/>
      <c r="CR22" s="101"/>
      <c r="CS22" s="101"/>
      <c r="CT22" s="101"/>
      <c r="CU22" s="101"/>
      <c r="CV22" s="101"/>
      <c r="CW22" s="101"/>
      <c r="CX22" s="101"/>
      <c r="CY22" s="101"/>
      <c r="CZ22" s="101"/>
      <c r="DA22" s="101"/>
      <c r="DB22" s="101"/>
      <c r="DC22" s="101"/>
      <c r="DD22" s="101"/>
      <c r="DE22" s="101"/>
      <c r="DF22" s="101"/>
      <c r="DG22" s="101"/>
      <c r="DH22" s="101"/>
      <c r="DI22" s="101"/>
      <c r="DJ22" s="101"/>
      <c r="DK22" s="101"/>
      <c r="DL22" s="101"/>
      <c r="DM22" s="101"/>
      <c r="DN22" s="101"/>
      <c r="DO22" s="101"/>
      <c r="DP22" s="101"/>
      <c r="DQ22" s="101"/>
      <c r="DR22" s="101"/>
      <c r="DS22" s="101"/>
      <c r="DT22" s="101"/>
      <c r="DU22" s="101"/>
      <c r="DV22" s="101"/>
      <c r="DW22" s="101"/>
      <c r="DX22" s="101"/>
      <c r="DY22" s="101"/>
      <c r="DZ22" s="101"/>
      <c r="EA22" s="101"/>
      <c r="EB22" s="101"/>
      <c r="EC22" s="101"/>
      <c r="ED22" s="101"/>
      <c r="EE22" s="101"/>
      <c r="EF22" s="101"/>
      <c r="EG22" s="101"/>
      <c r="EH22" s="101"/>
      <c r="EI22" s="101"/>
      <c r="EJ22" s="101"/>
      <c r="EK22" s="101"/>
      <c r="EL22" s="101"/>
      <c r="EM22" s="101"/>
      <c r="EN22" s="101"/>
      <c r="EO22" s="101"/>
      <c r="EP22" s="101"/>
      <c r="EQ22" s="101"/>
      <c r="ER22" s="101"/>
      <c r="ES22" s="101"/>
      <c r="ET22" s="101"/>
      <c r="EU22" s="101"/>
      <c r="EV22" s="101"/>
      <c r="EW22" s="101"/>
      <c r="EX22" s="101"/>
      <c r="EY22" s="101"/>
      <c r="EZ22" s="101"/>
      <c r="FA22" s="101"/>
      <c r="FB22" s="101"/>
      <c r="FC22" s="101"/>
      <c r="FD22" s="101"/>
      <c r="FE22" s="101"/>
      <c r="FF22" s="101"/>
      <c r="FG22" s="101"/>
      <c r="FH22" s="101"/>
      <c r="FI22" s="101"/>
      <c r="FJ22" s="101"/>
      <c r="FK22" s="101"/>
      <c r="FL22" s="101"/>
      <c r="FM22" s="101"/>
      <c r="FN22" s="101"/>
      <c r="FO22" s="101"/>
      <c r="FP22" s="101"/>
      <c r="FQ22" s="101"/>
      <c r="FR22" s="101"/>
      <c r="FS22" s="101"/>
      <c r="FT22" s="101"/>
      <c r="FU22" s="101"/>
      <c r="FV22" s="101"/>
      <c r="FW22" s="101"/>
      <c r="FX22" s="101"/>
      <c r="FY22" s="101"/>
      <c r="FZ22" s="101"/>
      <c r="GA22" s="101"/>
      <c r="GB22" s="101"/>
      <c r="GC22" s="101"/>
      <c r="GD22" s="101"/>
      <c r="GE22" s="101"/>
      <c r="GF22" s="101"/>
      <c r="GG22" s="101"/>
      <c r="GH22" s="101"/>
      <c r="GI22" s="101"/>
      <c r="GJ22" s="101"/>
      <c r="GK22" s="101"/>
      <c r="GL22" s="101"/>
      <c r="GM22" s="101"/>
      <c r="GN22" s="101"/>
      <c r="GO22" s="101"/>
      <c r="GP22" s="101"/>
      <c r="GQ22" s="101"/>
      <c r="GR22" s="101"/>
      <c r="GS22" s="101"/>
      <c r="GT22" s="101"/>
      <c r="GU22" s="101"/>
      <c r="GV22" s="101"/>
      <c r="GW22" s="101"/>
      <c r="GX22" s="101"/>
      <c r="GY22" s="101"/>
      <c r="GZ22" s="101"/>
      <c r="HA22" s="101"/>
      <c r="HB22" s="101"/>
      <c r="HC22" s="101"/>
      <c r="HD22" s="101"/>
      <c r="HE22" s="101"/>
      <c r="HF22" s="101"/>
      <c r="HG22" s="101"/>
      <c r="HH22" s="101"/>
      <c r="HI22" s="101"/>
      <c r="HJ22" s="101"/>
      <c r="HK22" s="101"/>
      <c r="HL22" s="101"/>
      <c r="HM22" s="101"/>
      <c r="HN22" s="101"/>
      <c r="HO22" s="101"/>
      <c r="HP22" s="101"/>
      <c r="HQ22" s="101"/>
      <c r="HR22" s="101"/>
      <c r="HS22" s="101"/>
      <c r="HT22" s="101"/>
      <c r="HU22" s="101"/>
      <c r="HV22" s="101"/>
      <c r="HW22" s="101"/>
      <c r="HX22" s="101"/>
      <c r="HY22" s="101"/>
      <c r="HZ22" s="101"/>
      <c r="IA22" s="101"/>
      <c r="IB22" s="101"/>
      <c r="IC22" s="101"/>
      <c r="ID22" s="101"/>
      <c r="IE22" s="101"/>
      <c r="IF22" s="101"/>
      <c r="IG22" s="101"/>
      <c r="IH22" s="101"/>
      <c r="II22" s="101"/>
      <c r="IJ22" s="101"/>
      <c r="IK22" s="101"/>
      <c r="IL22" s="101"/>
      <c r="IM22" s="101"/>
      <c r="IN22" s="101"/>
      <c r="IO22" s="101"/>
      <c r="IP22" s="101"/>
      <c r="IQ22" s="101"/>
      <c r="IR22" s="101"/>
      <c r="IS22" s="101"/>
      <c r="IT22" s="101"/>
      <c r="IU22" s="101"/>
      <c r="IV22" s="101"/>
      <c r="IW22" s="101"/>
      <c r="IX22" s="101"/>
      <c r="IY22" s="101"/>
      <c r="IZ22" s="101"/>
      <c r="JA22" s="101"/>
      <c r="JB22" s="101"/>
      <c r="JC22" s="101"/>
      <c r="JD22" s="101"/>
      <c r="JE22" s="101"/>
      <c r="JF22" s="101"/>
      <c r="JG22" s="101"/>
      <c r="JH22" s="101"/>
      <c r="JI22" s="101"/>
      <c r="JJ22" s="101"/>
      <c r="JK22" s="101"/>
      <c r="JL22" s="101"/>
      <c r="JM22" s="101"/>
      <c r="JN22" s="101"/>
      <c r="JO22" s="101"/>
      <c r="JP22" s="101"/>
      <c r="JQ22" s="101"/>
      <c r="JR22" s="101"/>
      <c r="JS22" s="101"/>
      <c r="JT22" s="101"/>
      <c r="JU22" s="101"/>
      <c r="JV22" s="101"/>
      <c r="JW22" s="101"/>
      <c r="JX22" s="101"/>
      <c r="JY22" s="101"/>
      <c r="JZ22" s="101"/>
      <c r="KA22" s="101"/>
      <c r="KB22" s="101"/>
      <c r="KC22" s="101"/>
      <c r="KD22" s="101"/>
      <c r="KE22" s="101"/>
      <c r="KF22" s="101"/>
      <c r="KG22" s="101"/>
      <c r="KH22" s="101"/>
      <c r="KI22" s="101"/>
      <c r="KJ22" s="101"/>
      <c r="KK22" s="101"/>
      <c r="KL22" s="101"/>
      <c r="KM22" s="101"/>
      <c r="KN22" s="101"/>
      <c r="KO22" s="101"/>
      <c r="KP22" s="101"/>
      <c r="KQ22" s="101"/>
      <c r="KR22" s="101"/>
      <c r="KS22" s="101"/>
      <c r="KT22" s="101"/>
      <c r="KU22" s="101"/>
      <c r="KV22" s="101"/>
      <c r="KW22" s="101"/>
      <c r="KX22" s="101"/>
      <c r="KY22" s="101"/>
      <c r="KZ22" s="101"/>
      <c r="LA22" s="101"/>
      <c r="LB22" s="101"/>
      <c r="LC22" s="101"/>
      <c r="LD22" s="101"/>
      <c r="LE22" s="101"/>
      <c r="LF22" s="101"/>
      <c r="LG22" s="101"/>
      <c r="LH22" s="101"/>
      <c r="LI22" s="101"/>
      <c r="LJ22" s="101"/>
      <c r="LK22" s="101"/>
      <c r="LL22" s="101"/>
      <c r="LM22" s="101"/>
      <c r="LN22" s="101"/>
      <c r="LO22" s="101"/>
      <c r="LP22" s="101"/>
      <c r="LQ22" s="101"/>
      <c r="LR22" s="101"/>
      <c r="LS22" s="101"/>
      <c r="LT22" s="101"/>
      <c r="LU22" s="101"/>
      <c r="LV22" s="101"/>
      <c r="LW22" s="101"/>
      <c r="LX22" s="101"/>
      <c r="LY22" s="101"/>
      <c r="LZ22" s="101"/>
      <c r="MA22" s="101"/>
      <c r="MB22" s="101"/>
      <c r="MC22" s="101"/>
      <c r="MD22" s="101"/>
      <c r="ME22" s="101"/>
      <c r="MF22" s="101"/>
      <c r="MG22" s="101"/>
      <c r="MH22" s="101"/>
      <c r="MI22" s="101"/>
      <c r="MJ22" s="101"/>
      <c r="MK22" s="101"/>
      <c r="ML22" s="101"/>
      <c r="MM22" s="101"/>
      <c r="MN22" s="101"/>
      <c r="MO22" s="101"/>
      <c r="MP22" s="101"/>
      <c r="MQ22" s="101"/>
      <c r="MR22" s="101"/>
      <c r="MS22" s="101"/>
      <c r="MT22" s="101"/>
      <c r="MU22" s="101"/>
      <c r="MV22" s="101"/>
      <c r="MW22" s="101"/>
      <c r="MX22" s="101"/>
      <c r="MY22" s="101"/>
      <c r="MZ22" s="101"/>
      <c r="NA22" s="101"/>
      <c r="NB22" s="101"/>
      <c r="NC22" s="101"/>
      <c r="ND22" s="101"/>
      <c r="NE22" s="101"/>
      <c r="NF22" s="101"/>
      <c r="NG22" s="101"/>
      <c r="NH22" s="101"/>
      <c r="NI22" s="101"/>
      <c r="NJ22" s="101"/>
      <c r="NK22" s="101"/>
      <c r="NL22" s="101"/>
      <c r="NM22" s="101"/>
      <c r="NN22" s="101"/>
      <c r="NO22" s="101"/>
      <c r="NP22" s="101"/>
      <c r="NQ22" s="101"/>
      <c r="NR22" s="101"/>
      <c r="NS22" s="101"/>
      <c r="NT22" s="101"/>
      <c r="NU22" s="101"/>
      <c r="NV22" s="101"/>
      <c r="NW22" s="101"/>
      <c r="NX22" s="101"/>
      <c r="NY22" s="101"/>
      <c r="NZ22" s="101"/>
      <c r="OA22" s="101"/>
      <c r="OB22" s="101"/>
      <c r="OC22" s="101"/>
      <c r="OD22" s="101"/>
      <c r="OE22" s="101"/>
      <c r="OF22" s="101"/>
      <c r="OG22" s="101"/>
      <c r="OH22" s="101"/>
      <c r="OI22" s="101"/>
      <c r="OJ22" s="101"/>
      <c r="OK22" s="101"/>
      <c r="OL22" s="101"/>
      <c r="OM22" s="101"/>
      <c r="ON22" s="101"/>
      <c r="OO22" s="101"/>
      <c r="OP22" s="101"/>
      <c r="OQ22" s="101"/>
      <c r="OR22" s="101"/>
      <c r="OS22" s="101"/>
      <c r="OT22" s="101"/>
      <c r="OU22" s="101"/>
      <c r="OV22" s="101"/>
      <c r="OW22" s="101"/>
      <c r="OX22" s="101"/>
      <c r="OY22" s="101"/>
      <c r="OZ22" s="101">
        <v>6</v>
      </c>
      <c r="PA22" s="101">
        <v>10</v>
      </c>
      <c r="PB22" s="101">
        <v>10</v>
      </c>
      <c r="PC22" s="101"/>
      <c r="PD22" s="101">
        <v>10</v>
      </c>
      <c r="PE22" s="101">
        <v>10</v>
      </c>
      <c r="PF22" s="101">
        <v>10</v>
      </c>
      <c r="PG22" s="101">
        <v>10</v>
      </c>
      <c r="PH22" s="101">
        <v>10</v>
      </c>
      <c r="PI22" s="101">
        <v>10</v>
      </c>
      <c r="PJ22" s="101"/>
      <c r="PK22" s="101">
        <v>10</v>
      </c>
      <c r="PL22" s="101">
        <v>10</v>
      </c>
      <c r="PM22" s="101">
        <v>10</v>
      </c>
      <c r="PN22" s="101">
        <v>10</v>
      </c>
      <c r="PO22" s="101">
        <v>10</v>
      </c>
      <c r="PP22" s="101">
        <v>10</v>
      </c>
      <c r="PQ22" s="101"/>
      <c r="PR22" s="101">
        <v>10</v>
      </c>
      <c r="PS22" s="101">
        <v>10</v>
      </c>
      <c r="PT22" s="101">
        <v>10</v>
      </c>
      <c r="PU22" s="101">
        <v>4</v>
      </c>
      <c r="PV22" s="101"/>
      <c r="PW22" s="101">
        <v>10</v>
      </c>
      <c r="PX22" s="101"/>
      <c r="PY22" s="101">
        <v>10</v>
      </c>
      <c r="PZ22" s="101">
        <v>10</v>
      </c>
      <c r="QA22" s="101">
        <v>10</v>
      </c>
      <c r="QB22" s="101">
        <v>10</v>
      </c>
      <c r="QC22" s="101">
        <v>10</v>
      </c>
      <c r="QD22" s="101">
        <v>10</v>
      </c>
      <c r="QE22" s="101"/>
      <c r="QF22" s="101">
        <v>10</v>
      </c>
      <c r="QG22" s="101">
        <v>20</v>
      </c>
      <c r="QH22" s="101">
        <v>20</v>
      </c>
      <c r="QI22" s="101">
        <v>20</v>
      </c>
      <c r="QJ22" s="101">
        <v>20</v>
      </c>
      <c r="QK22" s="101">
        <v>20</v>
      </c>
      <c r="QL22" s="101"/>
      <c r="QM22" s="101">
        <v>20</v>
      </c>
      <c r="QN22" s="101">
        <v>20</v>
      </c>
      <c r="QO22" s="101">
        <v>20</v>
      </c>
      <c r="QP22" s="101">
        <v>20</v>
      </c>
      <c r="QQ22" s="101">
        <v>20</v>
      </c>
      <c r="QR22" s="101">
        <v>10</v>
      </c>
      <c r="QS22" s="101"/>
      <c r="QT22" s="101">
        <v>10</v>
      </c>
      <c r="QU22" s="101">
        <v>10</v>
      </c>
      <c r="QV22" s="101">
        <v>10</v>
      </c>
      <c r="QW22" s="101">
        <v>10</v>
      </c>
      <c r="QX22" s="101">
        <v>10</v>
      </c>
      <c r="QY22" s="101">
        <v>10</v>
      </c>
      <c r="QZ22" s="101"/>
      <c r="RA22" s="101">
        <v>10</v>
      </c>
      <c r="RB22" s="101"/>
      <c r="RC22" s="101"/>
      <c r="RD22" s="101"/>
      <c r="RE22" s="101"/>
      <c r="RF22" s="101"/>
      <c r="RG22" s="101"/>
      <c r="RH22" s="101"/>
      <c r="RI22" s="101"/>
      <c r="RJ22" s="101"/>
      <c r="RK22" s="101"/>
      <c r="RL22" s="101"/>
      <c r="RM22" s="101"/>
      <c r="RN22" s="101"/>
      <c r="RO22" s="101"/>
      <c r="RP22" s="101"/>
      <c r="RQ22" s="101"/>
      <c r="RR22" s="101"/>
      <c r="RS22" s="101"/>
      <c r="RT22" s="101"/>
      <c r="RU22" s="101"/>
      <c r="RV22" s="101"/>
      <c r="RW22" s="101"/>
      <c r="RX22" s="101"/>
      <c r="RY22" s="101"/>
      <c r="RZ22" s="101"/>
      <c r="SA22" s="101"/>
      <c r="SB22" s="101"/>
      <c r="SC22" s="101"/>
      <c r="SD22" s="101"/>
      <c r="SE22" s="101"/>
      <c r="SF22" s="101"/>
      <c r="SG22" s="101"/>
      <c r="SH22" s="101"/>
      <c r="SI22" s="101"/>
      <c r="SJ22" s="101"/>
      <c r="SK22" s="101"/>
      <c r="SL22" s="101"/>
      <c r="SM22" s="101"/>
      <c r="SN22" s="101"/>
      <c r="SO22" s="101"/>
      <c r="SP22" s="101"/>
      <c r="SQ22" s="101"/>
      <c r="SR22" s="101"/>
      <c r="SS22" s="101"/>
      <c r="ST22" s="101"/>
      <c r="SU22" s="101"/>
      <c r="SV22" s="101"/>
      <c r="SW22" s="101"/>
      <c r="SX22" s="101"/>
      <c r="SY22" s="101"/>
      <c r="SZ22" s="101"/>
      <c r="TA22" s="101"/>
      <c r="TB22" s="101"/>
      <c r="TC22" s="101"/>
      <c r="TD22" s="101"/>
      <c r="TE22" s="101"/>
      <c r="TF22" s="101"/>
      <c r="TG22" s="101"/>
      <c r="TH22" s="101"/>
      <c r="TI22" s="101"/>
      <c r="TJ22" s="101"/>
      <c r="TK22" s="101"/>
      <c r="TL22" s="101"/>
      <c r="TM22" s="101"/>
      <c r="TN22" s="101"/>
      <c r="TO22" s="101"/>
      <c r="TP22" s="101"/>
      <c r="TQ22" s="101"/>
      <c r="TR22" s="101"/>
      <c r="TS22" s="101"/>
      <c r="TT22" s="101"/>
      <c r="TU22" s="101"/>
      <c r="TV22" s="101"/>
      <c r="TW22" s="101"/>
      <c r="TX22" s="101"/>
      <c r="TY22" s="101"/>
      <c r="TZ22" s="101"/>
      <c r="UA22" s="101"/>
      <c r="UB22" s="101"/>
      <c r="UC22" s="101"/>
      <c r="UD22" s="101"/>
      <c r="UE22" s="101"/>
      <c r="UF22" s="101"/>
      <c r="UG22" s="101"/>
      <c r="UH22" s="101"/>
      <c r="UI22" s="101"/>
      <c r="UJ22" s="101"/>
      <c r="UK22" s="101"/>
      <c r="UL22" s="101"/>
      <c r="UM22" s="101"/>
      <c r="UN22" s="101"/>
      <c r="UO22" s="101"/>
      <c r="UP22" s="101"/>
      <c r="UQ22" s="101"/>
      <c r="UR22" s="101"/>
      <c r="US22" s="101"/>
      <c r="UT22" s="101"/>
      <c r="UU22" s="101"/>
      <c r="UV22" s="101"/>
      <c r="UW22" s="101"/>
      <c r="UX22" s="101"/>
      <c r="UY22" s="101"/>
      <c r="UZ22" s="101"/>
      <c r="VA22" s="101"/>
      <c r="VB22" s="101"/>
      <c r="VC22" s="101"/>
      <c r="VD22" s="101"/>
      <c r="VE22" s="101"/>
      <c r="VF22" s="101"/>
      <c r="VG22" s="101"/>
      <c r="VH22" s="101"/>
      <c r="VI22" s="101"/>
      <c r="VJ22" s="101"/>
      <c r="VK22" s="101"/>
      <c r="VL22" s="101"/>
      <c r="VM22" s="101"/>
      <c r="VN22" s="101"/>
      <c r="VO22" s="101"/>
      <c r="VP22" s="101"/>
      <c r="VQ22" s="101"/>
      <c r="VR22" s="101"/>
      <c r="VS22" s="101"/>
      <c r="VT22" s="101"/>
      <c r="VU22" s="101"/>
      <c r="VV22" s="101"/>
      <c r="VW22" s="101"/>
      <c r="VX22" s="101"/>
      <c r="VY22" s="101"/>
      <c r="VZ22" s="101"/>
      <c r="WA22" s="101"/>
      <c r="WB22" s="101"/>
      <c r="WC22" s="101"/>
      <c r="WD22" s="101"/>
      <c r="WE22" s="101"/>
      <c r="WF22" s="101"/>
      <c r="WG22" s="101"/>
      <c r="WH22" s="101"/>
      <c r="WI22" s="101"/>
      <c r="WJ22" s="101"/>
      <c r="WK22" s="101"/>
      <c r="WL22" s="101"/>
      <c r="WM22" s="101"/>
      <c r="WN22" s="101"/>
      <c r="WO22" s="101"/>
      <c r="WP22" s="101"/>
      <c r="WQ22" s="101"/>
      <c r="WR22" s="101"/>
      <c r="WS22" s="101"/>
      <c r="WT22" s="101"/>
      <c r="WU22" s="101"/>
      <c r="WV22" s="101"/>
      <c r="WW22" s="101"/>
      <c r="WX22" s="101"/>
      <c r="WY22" s="101"/>
      <c r="WZ22" s="101"/>
      <c r="XA22" s="101"/>
      <c r="XB22" s="101"/>
      <c r="XC22" s="101"/>
      <c r="XD22" s="101"/>
      <c r="XE22" s="101"/>
      <c r="XF22" s="101"/>
      <c r="XG22" s="101"/>
      <c r="XH22" s="101"/>
      <c r="XI22" s="101"/>
      <c r="XJ22" s="101"/>
      <c r="XK22" s="101"/>
      <c r="XL22" s="101"/>
      <c r="XM22" s="101"/>
      <c r="XN22" s="101"/>
      <c r="XO22" s="101"/>
      <c r="XP22" s="101"/>
      <c r="XQ22" s="101"/>
      <c r="XR22" s="101"/>
      <c r="XS22" s="101"/>
      <c r="XT22" s="101"/>
      <c r="XU22" s="101"/>
      <c r="XV22" s="101"/>
      <c r="XW22" s="101"/>
      <c r="XX22" s="101"/>
      <c r="XY22" s="101"/>
      <c r="XZ22" s="101"/>
      <c r="YA22" s="101"/>
      <c r="YB22" s="101"/>
      <c r="YC22" s="101"/>
      <c r="YD22" s="101"/>
      <c r="YE22" s="101"/>
      <c r="YF22" s="101"/>
      <c r="YG22" s="101"/>
      <c r="YH22" s="101"/>
      <c r="YI22" s="101"/>
      <c r="YJ22" s="101"/>
      <c r="YK22" s="101"/>
      <c r="YL22" s="101"/>
      <c r="YM22" s="101"/>
      <c r="YN22" s="101"/>
      <c r="YO22" s="101"/>
      <c r="YP22" s="101"/>
      <c r="YQ22" s="101"/>
      <c r="YR22" s="101"/>
      <c r="YS22" s="101"/>
      <c r="YT22" s="101"/>
      <c r="YU22" s="101"/>
      <c r="YV22" s="101"/>
      <c r="YW22" s="101"/>
      <c r="YX22" s="101"/>
      <c r="YY22" s="101"/>
      <c r="YZ22" s="101"/>
      <c r="ZA22" s="101"/>
      <c r="ZB22" s="101"/>
      <c r="ZC22" s="101"/>
      <c r="ZD22" s="101"/>
      <c r="ZE22" s="101"/>
      <c r="ZF22" s="101"/>
      <c r="ZG22" s="101"/>
      <c r="ZH22" s="101"/>
    </row>
    <row r="23" spans="1:684">
      <c r="A23" s="75" t="s">
        <v>61</v>
      </c>
      <c r="B23" s="101"/>
      <c r="C23" s="101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  <c r="BR23" s="101"/>
      <c r="BS23" s="101"/>
      <c r="BT23" s="101"/>
      <c r="BU23" s="101"/>
      <c r="BV23" s="101"/>
      <c r="BW23" s="101"/>
      <c r="BX23" s="101"/>
      <c r="BY23" s="101"/>
      <c r="BZ23" s="101"/>
      <c r="CA23" s="101"/>
      <c r="CB23" s="101"/>
      <c r="CC23" s="101"/>
      <c r="CD23" s="101"/>
      <c r="CE23" s="101"/>
      <c r="CF23" s="101"/>
      <c r="CG23" s="101"/>
      <c r="CH23" s="101"/>
      <c r="CI23" s="101"/>
      <c r="CJ23" s="101"/>
      <c r="CK23" s="101"/>
      <c r="CL23" s="101"/>
      <c r="CM23" s="101"/>
      <c r="CN23" s="101"/>
      <c r="CO23" s="101"/>
      <c r="CP23" s="101"/>
      <c r="CQ23" s="101"/>
      <c r="CR23" s="101"/>
      <c r="CS23" s="101"/>
      <c r="CT23" s="101"/>
      <c r="CU23" s="101"/>
      <c r="CV23" s="101"/>
      <c r="CW23" s="101"/>
      <c r="CX23" s="101"/>
      <c r="CY23" s="101"/>
      <c r="CZ23" s="101"/>
      <c r="DA23" s="101"/>
      <c r="DB23" s="101"/>
      <c r="DC23" s="101"/>
      <c r="DD23" s="101"/>
      <c r="DE23" s="101"/>
      <c r="DF23" s="101"/>
      <c r="DG23" s="101"/>
      <c r="DH23" s="101"/>
      <c r="DI23" s="101"/>
      <c r="DJ23" s="101"/>
      <c r="DK23" s="101"/>
      <c r="DL23" s="101"/>
      <c r="DM23" s="101"/>
      <c r="DN23" s="101"/>
      <c r="DO23" s="101"/>
      <c r="DP23" s="101"/>
      <c r="DQ23" s="101"/>
      <c r="DR23" s="101"/>
      <c r="DS23" s="101"/>
      <c r="DT23" s="101"/>
      <c r="DU23" s="101"/>
      <c r="DV23" s="101"/>
      <c r="DW23" s="101"/>
      <c r="DX23" s="101"/>
      <c r="DY23" s="101"/>
      <c r="DZ23" s="101"/>
      <c r="EA23" s="101"/>
      <c r="EB23" s="101"/>
      <c r="EC23" s="101"/>
      <c r="ED23" s="101"/>
      <c r="EE23" s="101"/>
      <c r="EF23" s="101"/>
      <c r="EG23" s="101"/>
      <c r="EH23" s="101"/>
      <c r="EI23" s="101"/>
      <c r="EJ23" s="101"/>
      <c r="EK23" s="101"/>
      <c r="EL23" s="101"/>
      <c r="EM23" s="101"/>
      <c r="EN23" s="101"/>
      <c r="EO23" s="101"/>
      <c r="EP23" s="101"/>
      <c r="EQ23" s="101"/>
      <c r="ER23" s="101"/>
      <c r="ES23" s="101"/>
      <c r="ET23" s="101"/>
      <c r="EU23" s="101"/>
      <c r="EV23" s="101"/>
      <c r="EW23" s="101"/>
      <c r="EX23" s="101"/>
      <c r="EY23" s="101"/>
      <c r="EZ23" s="101"/>
      <c r="FA23" s="101"/>
      <c r="FB23" s="101"/>
      <c r="FC23" s="101"/>
      <c r="FD23" s="101"/>
      <c r="FE23" s="101"/>
      <c r="FF23" s="101"/>
      <c r="FG23" s="101"/>
      <c r="FH23" s="101"/>
      <c r="FI23" s="101"/>
      <c r="FJ23" s="101"/>
      <c r="FK23" s="101"/>
      <c r="FL23" s="101"/>
      <c r="FM23" s="101"/>
      <c r="FN23" s="101"/>
      <c r="FO23" s="101"/>
      <c r="FP23" s="101"/>
      <c r="FQ23" s="101"/>
      <c r="FR23" s="101"/>
      <c r="FS23" s="101"/>
      <c r="FT23" s="101"/>
      <c r="FU23" s="101"/>
      <c r="FV23" s="101"/>
      <c r="FW23" s="101"/>
      <c r="FX23" s="101"/>
      <c r="FY23" s="101"/>
      <c r="FZ23" s="101"/>
      <c r="GA23" s="101"/>
      <c r="GB23" s="101"/>
      <c r="GC23" s="101"/>
      <c r="GD23" s="101"/>
      <c r="GE23" s="101"/>
      <c r="GF23" s="101"/>
      <c r="GG23" s="101"/>
      <c r="GH23" s="101"/>
      <c r="GI23" s="101"/>
      <c r="GJ23" s="101"/>
      <c r="GK23" s="101"/>
      <c r="GL23" s="101"/>
      <c r="GM23" s="101"/>
      <c r="GN23" s="101"/>
      <c r="GO23" s="101"/>
      <c r="GP23" s="101"/>
      <c r="GQ23" s="101"/>
      <c r="GR23" s="101"/>
      <c r="GS23" s="101"/>
      <c r="GT23" s="101"/>
      <c r="GU23" s="101"/>
      <c r="GV23" s="101"/>
      <c r="GW23" s="101"/>
      <c r="GX23" s="101"/>
      <c r="GY23" s="101"/>
      <c r="GZ23" s="101"/>
      <c r="HA23" s="101"/>
      <c r="HB23" s="101"/>
      <c r="HC23" s="101"/>
      <c r="HD23" s="101"/>
      <c r="HE23" s="101"/>
      <c r="HF23" s="101"/>
      <c r="HG23" s="101"/>
      <c r="HH23" s="101"/>
      <c r="HI23" s="101"/>
      <c r="HJ23" s="101"/>
      <c r="HK23" s="101"/>
      <c r="HL23" s="101"/>
      <c r="HM23" s="101"/>
      <c r="HN23" s="101"/>
      <c r="HO23" s="101"/>
      <c r="HP23" s="101"/>
      <c r="HQ23" s="101"/>
      <c r="HR23" s="101"/>
      <c r="HS23" s="101"/>
      <c r="HT23" s="101"/>
      <c r="HU23" s="101"/>
      <c r="HV23" s="101"/>
      <c r="HW23" s="101"/>
      <c r="HX23" s="101"/>
      <c r="HY23" s="101"/>
      <c r="HZ23" s="101"/>
      <c r="IA23" s="101"/>
      <c r="IB23" s="101"/>
      <c r="IC23" s="101"/>
      <c r="ID23" s="101"/>
      <c r="IE23" s="101"/>
      <c r="IF23" s="101"/>
      <c r="IG23" s="101"/>
      <c r="IH23" s="101"/>
      <c r="II23" s="101"/>
      <c r="IJ23" s="101"/>
      <c r="IK23" s="101"/>
      <c r="IL23" s="101"/>
      <c r="IM23" s="101"/>
      <c r="IN23" s="101"/>
      <c r="IO23" s="101"/>
      <c r="IP23" s="101"/>
      <c r="IQ23" s="101"/>
      <c r="IR23" s="101"/>
      <c r="IS23" s="101"/>
      <c r="IT23" s="101"/>
      <c r="IU23" s="101"/>
      <c r="IV23" s="101"/>
      <c r="IW23" s="101"/>
      <c r="IX23" s="101"/>
      <c r="IY23" s="101"/>
      <c r="IZ23" s="101"/>
      <c r="JA23" s="101"/>
      <c r="JB23" s="101"/>
      <c r="JC23" s="101"/>
      <c r="JD23" s="101"/>
      <c r="JE23" s="101"/>
      <c r="JF23" s="101"/>
      <c r="JG23" s="101"/>
      <c r="JH23" s="101"/>
      <c r="JI23" s="101"/>
      <c r="JJ23" s="101"/>
      <c r="JK23" s="101"/>
      <c r="JL23" s="101"/>
      <c r="JM23" s="101"/>
      <c r="JN23" s="101"/>
      <c r="JO23" s="101"/>
      <c r="JP23" s="101"/>
      <c r="JQ23" s="101"/>
      <c r="JR23" s="101"/>
      <c r="JS23" s="101"/>
      <c r="JT23" s="101"/>
      <c r="JU23" s="101"/>
      <c r="JV23" s="101"/>
      <c r="JW23" s="101"/>
      <c r="JX23" s="101"/>
      <c r="JY23" s="101"/>
      <c r="JZ23" s="101"/>
      <c r="KA23" s="101"/>
      <c r="KB23" s="101"/>
      <c r="KC23" s="101"/>
      <c r="KD23" s="101"/>
      <c r="KE23" s="101"/>
      <c r="KF23" s="101"/>
      <c r="KG23" s="101"/>
      <c r="KH23" s="101"/>
      <c r="KI23" s="101"/>
      <c r="KJ23" s="101"/>
      <c r="KK23" s="101"/>
      <c r="KL23" s="101"/>
      <c r="KM23" s="101"/>
      <c r="KN23" s="101"/>
      <c r="KO23" s="101"/>
      <c r="KP23" s="101"/>
      <c r="KQ23" s="101"/>
      <c r="KR23" s="101"/>
      <c r="KS23" s="101"/>
      <c r="KT23" s="101"/>
      <c r="KU23" s="101"/>
      <c r="KV23" s="101"/>
      <c r="KW23" s="101"/>
      <c r="KX23" s="101"/>
      <c r="KY23" s="101"/>
      <c r="KZ23" s="101"/>
      <c r="LA23" s="101"/>
      <c r="LB23" s="101"/>
      <c r="LC23" s="101"/>
      <c r="LD23" s="101"/>
      <c r="LE23" s="101"/>
      <c r="LF23" s="101"/>
      <c r="LG23" s="101"/>
      <c r="LH23" s="101"/>
      <c r="LI23" s="101"/>
      <c r="LJ23" s="101"/>
      <c r="LK23" s="101"/>
      <c r="LL23" s="101"/>
      <c r="LM23" s="101"/>
      <c r="LN23" s="101"/>
      <c r="LO23" s="101"/>
      <c r="LP23" s="101"/>
      <c r="LQ23" s="101"/>
      <c r="LR23" s="101"/>
      <c r="LS23" s="101"/>
      <c r="LT23" s="101"/>
      <c r="LU23" s="101"/>
      <c r="LV23" s="101"/>
      <c r="LW23" s="101"/>
      <c r="LX23" s="101"/>
      <c r="LY23" s="101"/>
      <c r="LZ23" s="101"/>
      <c r="MA23" s="101"/>
      <c r="MB23" s="101"/>
      <c r="MC23" s="101"/>
      <c r="MD23" s="101"/>
      <c r="ME23" s="101"/>
      <c r="MF23" s="101"/>
      <c r="MG23" s="101"/>
      <c r="MH23" s="101"/>
      <c r="MI23" s="101"/>
      <c r="MJ23" s="101"/>
      <c r="MK23" s="101"/>
      <c r="ML23" s="101"/>
      <c r="MM23" s="101"/>
      <c r="MN23" s="101"/>
      <c r="MO23" s="101"/>
      <c r="MP23" s="101"/>
      <c r="MQ23" s="101"/>
      <c r="MR23" s="101"/>
      <c r="MS23" s="101"/>
      <c r="MT23" s="101"/>
      <c r="MU23" s="101"/>
      <c r="MV23" s="101"/>
      <c r="MW23" s="101"/>
      <c r="MX23" s="101"/>
      <c r="MY23" s="101"/>
      <c r="MZ23" s="101"/>
      <c r="NA23" s="101"/>
      <c r="NB23" s="101"/>
      <c r="NC23" s="101"/>
      <c r="ND23" s="101"/>
      <c r="NE23" s="101"/>
      <c r="NF23" s="101"/>
      <c r="NG23" s="101"/>
      <c r="NH23" s="101"/>
      <c r="NI23" s="101"/>
      <c r="NJ23" s="101"/>
      <c r="NK23" s="101"/>
      <c r="NL23" s="101"/>
      <c r="NM23" s="101"/>
      <c r="NN23" s="101"/>
      <c r="NO23" s="101"/>
      <c r="NP23" s="101"/>
      <c r="NQ23" s="101"/>
      <c r="NR23" s="101"/>
      <c r="NS23" s="101">
        <v>10</v>
      </c>
      <c r="NT23" s="101"/>
      <c r="NU23" s="101">
        <v>10</v>
      </c>
      <c r="NV23" s="101">
        <v>10</v>
      </c>
      <c r="NW23" s="101">
        <v>10</v>
      </c>
      <c r="NX23" s="101">
        <v>10</v>
      </c>
      <c r="NY23" s="101">
        <v>10</v>
      </c>
      <c r="NZ23" s="101">
        <v>10</v>
      </c>
      <c r="OA23" s="101"/>
      <c r="OB23" s="101">
        <v>10</v>
      </c>
      <c r="OC23" s="101">
        <v>10</v>
      </c>
      <c r="OD23" s="101">
        <v>10</v>
      </c>
      <c r="OE23" s="101">
        <v>18</v>
      </c>
      <c r="OF23" s="101">
        <v>18</v>
      </c>
      <c r="OG23" s="101">
        <v>18</v>
      </c>
      <c r="OH23" s="101"/>
      <c r="OI23" s="101">
        <v>18</v>
      </c>
      <c r="OJ23" s="101">
        <v>22</v>
      </c>
      <c r="OK23" s="101">
        <v>12</v>
      </c>
      <c r="OL23" s="101">
        <v>12</v>
      </c>
      <c r="OM23" s="101">
        <v>12</v>
      </c>
      <c r="ON23" s="101">
        <v>12</v>
      </c>
      <c r="OO23" s="101"/>
      <c r="OP23" s="101">
        <v>12</v>
      </c>
      <c r="OQ23" s="101">
        <v>4</v>
      </c>
      <c r="OR23" s="101">
        <v>8</v>
      </c>
      <c r="OS23" s="101">
        <v>18</v>
      </c>
      <c r="OT23" s="101">
        <v>18</v>
      </c>
      <c r="OU23" s="101">
        <v>14</v>
      </c>
      <c r="OV23" s="101"/>
      <c r="OW23" s="101">
        <v>18</v>
      </c>
      <c r="OX23" s="101">
        <v>38</v>
      </c>
      <c r="OY23" s="101">
        <v>38</v>
      </c>
      <c r="OZ23" s="101">
        <v>34</v>
      </c>
      <c r="PA23" s="101">
        <v>34</v>
      </c>
      <c r="PB23" s="101">
        <v>30</v>
      </c>
      <c r="PC23" s="101"/>
      <c r="PD23" s="101">
        <v>30</v>
      </c>
      <c r="PE23" s="101">
        <v>38</v>
      </c>
      <c r="PF23" s="101">
        <v>38</v>
      </c>
      <c r="PG23" s="101">
        <v>38</v>
      </c>
      <c r="PH23" s="101">
        <v>38</v>
      </c>
      <c r="PI23" s="101">
        <v>62</v>
      </c>
      <c r="PJ23" s="101"/>
      <c r="PK23" s="101">
        <v>52</v>
      </c>
      <c r="PL23" s="101">
        <v>52</v>
      </c>
      <c r="PM23" s="101">
        <v>52</v>
      </c>
      <c r="PN23" s="101">
        <v>52</v>
      </c>
      <c r="PO23" s="101">
        <v>52</v>
      </c>
      <c r="PP23" s="101">
        <v>44</v>
      </c>
      <c r="PQ23" s="101"/>
      <c r="PR23" s="101">
        <v>48</v>
      </c>
      <c r="PS23" s="101">
        <v>64</v>
      </c>
      <c r="PT23" s="101">
        <v>64</v>
      </c>
      <c r="PU23" s="101">
        <v>86</v>
      </c>
      <c r="PV23" s="101">
        <v>90</v>
      </c>
      <c r="PW23" s="101">
        <v>90</v>
      </c>
      <c r="PX23" s="101"/>
      <c r="PY23" s="101">
        <v>106</v>
      </c>
      <c r="PZ23" s="101">
        <v>102</v>
      </c>
      <c r="QA23" s="101">
        <v>118</v>
      </c>
      <c r="QB23" s="101">
        <v>114</v>
      </c>
      <c r="QC23" s="101">
        <v>114</v>
      </c>
      <c r="QD23" s="101">
        <v>114</v>
      </c>
      <c r="QE23" s="101"/>
      <c r="QF23" s="101">
        <v>114</v>
      </c>
      <c r="QG23" s="101">
        <v>118</v>
      </c>
      <c r="QH23" s="101">
        <v>134</v>
      </c>
      <c r="QI23" s="101">
        <v>144</v>
      </c>
      <c r="QJ23" s="101">
        <v>144</v>
      </c>
      <c r="QK23" s="101">
        <v>148</v>
      </c>
      <c r="QL23" s="101"/>
      <c r="QM23" s="101">
        <v>138</v>
      </c>
      <c r="QN23" s="101">
        <v>138</v>
      </c>
      <c r="QO23" s="101">
        <v>140</v>
      </c>
      <c r="QP23" s="101">
        <v>140</v>
      </c>
      <c r="QQ23" s="101">
        <v>132</v>
      </c>
      <c r="QR23" s="101">
        <v>104</v>
      </c>
      <c r="QS23" s="101"/>
      <c r="QT23" s="101">
        <v>92</v>
      </c>
      <c r="QU23" s="101">
        <v>92</v>
      </c>
      <c r="QV23" s="101">
        <v>84</v>
      </c>
      <c r="QW23" s="101">
        <v>80</v>
      </c>
      <c r="QX23" s="101">
        <v>60</v>
      </c>
      <c r="QY23" s="101">
        <v>60</v>
      </c>
      <c r="QZ23" s="101"/>
      <c r="RA23" s="101">
        <v>82</v>
      </c>
      <c r="RB23" s="101">
        <v>78</v>
      </c>
      <c r="RC23" s="101">
        <v>70</v>
      </c>
      <c r="RD23" s="101">
        <v>66</v>
      </c>
      <c r="RE23" s="101">
        <v>66</v>
      </c>
      <c r="RF23" s="101">
        <v>69</v>
      </c>
      <c r="RG23" s="101"/>
      <c r="RH23" s="101">
        <v>53</v>
      </c>
      <c r="RI23" s="101">
        <v>73</v>
      </c>
      <c r="RJ23" s="101">
        <v>65</v>
      </c>
      <c r="RK23" s="101">
        <v>65</v>
      </c>
      <c r="RL23" s="101">
        <v>77</v>
      </c>
      <c r="RM23" s="101">
        <v>77</v>
      </c>
      <c r="RN23" s="101"/>
      <c r="RO23" s="101">
        <v>77</v>
      </c>
      <c r="RP23" s="101">
        <v>89</v>
      </c>
      <c r="RQ23" s="101">
        <v>89</v>
      </c>
      <c r="RR23" s="101">
        <v>67</v>
      </c>
      <c r="RS23" s="101">
        <v>67</v>
      </c>
      <c r="RT23" s="101">
        <v>91</v>
      </c>
      <c r="RU23" s="101"/>
      <c r="RV23" s="101">
        <v>91</v>
      </c>
      <c r="RW23" s="101">
        <v>91</v>
      </c>
      <c r="RX23" s="101">
        <v>105</v>
      </c>
      <c r="RY23" s="101">
        <v>105</v>
      </c>
      <c r="RZ23" s="101">
        <v>105</v>
      </c>
      <c r="SA23" s="101">
        <v>107</v>
      </c>
      <c r="SB23" s="101"/>
      <c r="SC23" s="101">
        <v>107</v>
      </c>
      <c r="SD23" s="101">
        <v>88</v>
      </c>
      <c r="SE23" s="101">
        <v>88</v>
      </c>
      <c r="SF23" s="101">
        <v>112</v>
      </c>
      <c r="SG23" s="101">
        <v>112</v>
      </c>
      <c r="SH23" s="101">
        <v>135</v>
      </c>
      <c r="SI23" s="101">
        <v>3</v>
      </c>
      <c r="SJ23" s="101">
        <v>119</v>
      </c>
      <c r="SK23" s="101">
        <v>121</v>
      </c>
      <c r="SL23" s="101">
        <v>121</v>
      </c>
      <c r="SM23" s="101">
        <v>123</v>
      </c>
      <c r="SN23" s="101">
        <v>125</v>
      </c>
      <c r="SO23" s="101">
        <v>103</v>
      </c>
      <c r="SP23" s="101">
        <v>3</v>
      </c>
      <c r="SQ23" s="101">
        <v>103</v>
      </c>
      <c r="SR23" s="101">
        <v>107</v>
      </c>
      <c r="SS23" s="101">
        <v>107</v>
      </c>
      <c r="ST23" s="101">
        <v>104</v>
      </c>
      <c r="SU23" s="101">
        <v>104</v>
      </c>
      <c r="SV23" s="101">
        <v>104</v>
      </c>
      <c r="SW23" s="101"/>
      <c r="SX23" s="101">
        <v>106</v>
      </c>
      <c r="SY23" s="101">
        <v>91</v>
      </c>
      <c r="SZ23" s="101">
        <v>73</v>
      </c>
      <c r="TA23" s="101">
        <v>69</v>
      </c>
      <c r="TB23" s="101">
        <v>72</v>
      </c>
      <c r="TC23" s="101">
        <v>72</v>
      </c>
      <c r="TD23" s="101"/>
      <c r="TE23" s="101">
        <v>68</v>
      </c>
      <c r="TF23" s="101">
        <v>68</v>
      </c>
      <c r="TG23" s="101">
        <v>69</v>
      </c>
      <c r="TH23" s="101">
        <v>69</v>
      </c>
      <c r="TI23" s="101">
        <v>69</v>
      </c>
      <c r="TJ23" s="101">
        <v>68</v>
      </c>
      <c r="TK23" s="101"/>
      <c r="TL23" s="101">
        <v>47</v>
      </c>
      <c r="TM23" s="101">
        <v>47</v>
      </c>
      <c r="TN23" s="101">
        <v>50</v>
      </c>
      <c r="TO23" s="101">
        <v>50</v>
      </c>
      <c r="TP23" s="101">
        <v>47</v>
      </c>
      <c r="TQ23" s="101">
        <v>27</v>
      </c>
      <c r="TR23" s="101"/>
      <c r="TS23" s="101">
        <v>27</v>
      </c>
      <c r="TT23" s="101">
        <v>27</v>
      </c>
      <c r="TU23" s="101">
        <v>27</v>
      </c>
      <c r="TV23" s="101">
        <v>27</v>
      </c>
      <c r="TW23" s="101">
        <v>4</v>
      </c>
      <c r="TX23" s="101">
        <v>4</v>
      </c>
      <c r="TY23" s="101"/>
      <c r="TZ23" s="101">
        <v>7</v>
      </c>
      <c r="UA23" s="101">
        <v>7</v>
      </c>
      <c r="UB23" s="101">
        <v>5</v>
      </c>
      <c r="UC23" s="101">
        <v>5</v>
      </c>
      <c r="UD23" s="101">
        <v>5</v>
      </c>
      <c r="UE23" s="101">
        <v>5</v>
      </c>
      <c r="UF23" s="101"/>
      <c r="UG23" s="101">
        <v>3</v>
      </c>
      <c r="UH23" s="101">
        <v>3</v>
      </c>
      <c r="UI23" s="101"/>
      <c r="UJ23" s="101"/>
      <c r="UK23" s="101"/>
      <c r="UL23" s="101"/>
      <c r="UM23" s="101"/>
      <c r="UN23" s="101"/>
      <c r="UO23" s="101"/>
      <c r="UP23" s="101"/>
      <c r="UQ23" s="101"/>
      <c r="UR23" s="101"/>
      <c r="US23" s="101"/>
      <c r="UT23" s="101"/>
      <c r="UU23" s="101"/>
      <c r="UV23" s="101"/>
      <c r="UW23" s="101"/>
      <c r="UX23" s="101"/>
      <c r="UY23" s="101"/>
      <c r="UZ23" s="101"/>
      <c r="VA23" s="101"/>
      <c r="VB23" s="101"/>
      <c r="VC23" s="101"/>
      <c r="VD23" s="101"/>
      <c r="VE23" s="101"/>
      <c r="VF23" s="101"/>
      <c r="VG23" s="101"/>
      <c r="VH23" s="101"/>
      <c r="VI23" s="101"/>
      <c r="VJ23" s="101"/>
      <c r="VK23" s="101"/>
      <c r="VL23" s="101"/>
      <c r="VM23" s="101"/>
      <c r="VN23" s="101"/>
      <c r="VO23" s="101"/>
      <c r="VP23" s="101"/>
      <c r="VQ23" s="101"/>
      <c r="VR23" s="101"/>
      <c r="VS23" s="101"/>
      <c r="VT23" s="101"/>
      <c r="VU23" s="101"/>
      <c r="VV23" s="101"/>
      <c r="VW23" s="101"/>
      <c r="VX23" s="101"/>
      <c r="VY23" s="101"/>
      <c r="VZ23" s="101"/>
      <c r="WA23" s="101"/>
      <c r="WB23" s="101"/>
      <c r="WC23" s="101"/>
      <c r="WD23" s="101"/>
      <c r="WE23" s="101"/>
      <c r="WF23" s="101"/>
      <c r="WG23" s="101"/>
      <c r="WH23" s="101"/>
      <c r="WI23" s="101"/>
      <c r="WJ23" s="101"/>
      <c r="WK23" s="101"/>
      <c r="WL23" s="101"/>
      <c r="WM23" s="101"/>
      <c r="WN23" s="101"/>
      <c r="WO23" s="101"/>
      <c r="WP23" s="101"/>
      <c r="WQ23" s="101"/>
      <c r="WR23" s="101"/>
      <c r="WS23" s="101"/>
      <c r="WT23" s="101"/>
      <c r="WU23" s="101"/>
      <c r="WV23" s="101"/>
      <c r="WW23" s="101"/>
      <c r="WX23" s="101"/>
      <c r="WY23" s="101"/>
      <c r="WZ23" s="101"/>
      <c r="XA23" s="101"/>
      <c r="XB23" s="101"/>
      <c r="XC23" s="101"/>
      <c r="XD23" s="101"/>
      <c r="XE23" s="101"/>
      <c r="XF23" s="101"/>
      <c r="XG23" s="101"/>
      <c r="XH23" s="101"/>
      <c r="XI23" s="101"/>
      <c r="XJ23" s="101"/>
      <c r="XK23" s="101"/>
      <c r="XL23" s="101"/>
      <c r="XM23" s="101"/>
      <c r="XN23" s="101"/>
      <c r="XO23" s="101"/>
      <c r="XP23" s="101"/>
      <c r="XQ23" s="101"/>
      <c r="XR23" s="101"/>
      <c r="XS23" s="101"/>
      <c r="XT23" s="101"/>
      <c r="XU23" s="101"/>
      <c r="XV23" s="101"/>
      <c r="XW23" s="101"/>
      <c r="XX23" s="101"/>
      <c r="XY23" s="101"/>
      <c r="XZ23" s="101"/>
      <c r="YA23" s="101"/>
      <c r="YB23" s="101"/>
      <c r="YC23" s="101"/>
      <c r="YD23" s="101"/>
      <c r="YE23" s="101"/>
      <c r="YF23" s="101"/>
      <c r="YG23" s="101"/>
      <c r="YH23" s="101"/>
      <c r="YI23" s="101"/>
      <c r="YJ23" s="101"/>
      <c r="YK23" s="101"/>
      <c r="YL23" s="101"/>
      <c r="YM23" s="101"/>
      <c r="YN23" s="101"/>
      <c r="YO23" s="101"/>
      <c r="YP23" s="101"/>
      <c r="YQ23" s="101"/>
      <c r="YR23" s="101"/>
      <c r="YS23" s="101"/>
      <c r="YT23" s="101"/>
      <c r="YU23" s="101"/>
      <c r="YV23" s="101"/>
      <c r="YW23" s="101"/>
      <c r="YX23" s="101"/>
      <c r="YY23" s="101"/>
      <c r="YZ23" s="101"/>
      <c r="ZA23" s="101"/>
      <c r="ZB23" s="101"/>
      <c r="ZC23" s="101"/>
      <c r="ZD23" s="101"/>
      <c r="ZE23" s="101"/>
      <c r="ZF23" s="101"/>
      <c r="ZG23" s="101"/>
      <c r="ZH23" s="101"/>
    </row>
    <row r="24" spans="1:684">
      <c r="A24" s="75" t="s">
        <v>62</v>
      </c>
      <c r="B24" s="101"/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  <c r="BZ24" s="101"/>
      <c r="CA24" s="101"/>
      <c r="CB24" s="101"/>
      <c r="CC24" s="101"/>
      <c r="CD24" s="101"/>
      <c r="CE24" s="101"/>
      <c r="CF24" s="101"/>
      <c r="CG24" s="101"/>
      <c r="CH24" s="101"/>
      <c r="CI24" s="101"/>
      <c r="CJ24" s="101"/>
      <c r="CK24" s="101"/>
      <c r="CL24" s="101"/>
      <c r="CM24" s="101"/>
      <c r="CN24" s="101"/>
      <c r="CO24" s="101"/>
      <c r="CP24" s="101"/>
      <c r="CQ24" s="101"/>
      <c r="CR24" s="101"/>
      <c r="CS24" s="101"/>
      <c r="CT24" s="101"/>
      <c r="CU24" s="101"/>
      <c r="CV24" s="101"/>
      <c r="CW24" s="101"/>
      <c r="CX24" s="101"/>
      <c r="CY24" s="101"/>
      <c r="CZ24" s="101"/>
      <c r="DA24" s="101"/>
      <c r="DB24" s="101"/>
      <c r="DC24" s="101"/>
      <c r="DD24" s="101"/>
      <c r="DE24" s="101"/>
      <c r="DF24" s="101"/>
      <c r="DG24" s="101"/>
      <c r="DH24" s="101"/>
      <c r="DI24" s="101"/>
      <c r="DJ24" s="101"/>
      <c r="DK24" s="101"/>
      <c r="DL24" s="101"/>
      <c r="DM24" s="101"/>
      <c r="DN24" s="101"/>
      <c r="DO24" s="101"/>
      <c r="DP24" s="101"/>
      <c r="DQ24" s="101"/>
      <c r="DR24" s="101"/>
      <c r="DS24" s="101"/>
      <c r="DT24" s="101"/>
      <c r="DU24" s="101"/>
      <c r="DV24" s="101"/>
      <c r="DW24" s="101"/>
      <c r="DX24" s="101"/>
      <c r="DY24" s="101"/>
      <c r="DZ24" s="101"/>
      <c r="EA24" s="101"/>
      <c r="EB24" s="101"/>
      <c r="EC24" s="101"/>
      <c r="ED24" s="101"/>
      <c r="EE24" s="101"/>
      <c r="EF24" s="101"/>
      <c r="EG24" s="101"/>
      <c r="EH24" s="101"/>
      <c r="EI24" s="101"/>
      <c r="EJ24" s="101"/>
      <c r="EK24" s="101"/>
      <c r="EL24" s="101"/>
      <c r="EM24" s="101"/>
      <c r="EN24" s="101"/>
      <c r="EO24" s="101"/>
      <c r="EP24" s="101"/>
      <c r="EQ24" s="101"/>
      <c r="ER24" s="101"/>
      <c r="ES24" s="101"/>
      <c r="ET24" s="101"/>
      <c r="EU24" s="101"/>
      <c r="EV24" s="101"/>
      <c r="EW24" s="101"/>
      <c r="EX24" s="101"/>
      <c r="EY24" s="101"/>
      <c r="EZ24" s="101"/>
      <c r="FA24" s="101"/>
      <c r="FB24" s="101"/>
      <c r="FC24" s="101"/>
      <c r="FD24" s="101"/>
      <c r="FE24" s="101"/>
      <c r="FF24" s="101"/>
      <c r="FG24" s="101"/>
      <c r="FH24" s="101"/>
      <c r="FI24" s="101"/>
      <c r="FJ24" s="101"/>
      <c r="FK24" s="101"/>
      <c r="FL24" s="101"/>
      <c r="FM24" s="101"/>
      <c r="FN24" s="101"/>
      <c r="FO24" s="101"/>
      <c r="FP24" s="101"/>
      <c r="FQ24" s="101"/>
      <c r="FR24" s="101"/>
      <c r="FS24" s="101"/>
      <c r="FT24" s="101"/>
      <c r="FU24" s="101"/>
      <c r="FV24" s="101"/>
      <c r="FW24" s="101"/>
      <c r="FX24" s="101"/>
      <c r="FY24" s="101"/>
      <c r="FZ24" s="101"/>
      <c r="GA24" s="101"/>
      <c r="GB24" s="101"/>
      <c r="GC24" s="101"/>
      <c r="GD24" s="101"/>
      <c r="GE24" s="101"/>
      <c r="GF24" s="101"/>
      <c r="GG24" s="101"/>
      <c r="GH24" s="101"/>
      <c r="GI24" s="101"/>
      <c r="GJ24" s="101"/>
      <c r="GK24" s="101"/>
      <c r="GL24" s="101"/>
      <c r="GM24" s="101"/>
      <c r="GN24" s="101"/>
      <c r="GO24" s="101"/>
      <c r="GP24" s="101"/>
      <c r="GQ24" s="101"/>
      <c r="GR24" s="101"/>
      <c r="GS24" s="101"/>
      <c r="GT24" s="101"/>
      <c r="GU24" s="101"/>
      <c r="GV24" s="101"/>
      <c r="GW24" s="101"/>
      <c r="GX24" s="101"/>
      <c r="GY24" s="101"/>
      <c r="GZ24" s="101"/>
      <c r="HA24" s="101"/>
      <c r="HB24" s="101"/>
      <c r="HC24" s="101"/>
      <c r="HD24" s="101"/>
      <c r="HE24" s="101"/>
      <c r="HF24" s="101"/>
      <c r="HG24" s="101"/>
      <c r="HH24" s="101"/>
      <c r="HI24" s="101"/>
      <c r="HJ24" s="101"/>
      <c r="HK24" s="101"/>
      <c r="HL24" s="101"/>
      <c r="HM24" s="101"/>
      <c r="HN24" s="101"/>
      <c r="HO24" s="101"/>
      <c r="HP24" s="101"/>
      <c r="HQ24" s="101"/>
      <c r="HR24" s="101"/>
      <c r="HS24" s="101"/>
      <c r="HT24" s="101"/>
      <c r="HU24" s="101"/>
      <c r="HV24" s="101"/>
      <c r="HW24" s="101"/>
      <c r="HX24" s="101"/>
      <c r="HY24" s="101"/>
      <c r="HZ24" s="101"/>
      <c r="IA24" s="101"/>
      <c r="IB24" s="101"/>
      <c r="IC24" s="101"/>
      <c r="ID24" s="101"/>
      <c r="IE24" s="101"/>
      <c r="IF24" s="101"/>
      <c r="IG24" s="101"/>
      <c r="IH24" s="101"/>
      <c r="II24" s="101"/>
      <c r="IJ24" s="101"/>
      <c r="IK24" s="101"/>
      <c r="IL24" s="101"/>
      <c r="IM24" s="101"/>
      <c r="IN24" s="101"/>
      <c r="IO24" s="101"/>
      <c r="IP24" s="101"/>
      <c r="IQ24" s="101"/>
      <c r="IR24" s="101"/>
      <c r="IS24" s="101"/>
      <c r="IT24" s="101"/>
      <c r="IU24" s="101"/>
      <c r="IV24" s="101"/>
      <c r="IW24" s="101"/>
      <c r="IX24" s="101"/>
      <c r="IY24" s="101"/>
      <c r="IZ24" s="101"/>
      <c r="JA24" s="101"/>
      <c r="JB24" s="101"/>
      <c r="JC24" s="101"/>
      <c r="JD24" s="101"/>
      <c r="JE24" s="101"/>
      <c r="JF24" s="101"/>
      <c r="JG24" s="101"/>
      <c r="JH24" s="101"/>
      <c r="JI24" s="101"/>
      <c r="JJ24" s="101"/>
      <c r="JK24" s="101"/>
      <c r="JL24" s="101"/>
      <c r="JM24" s="101"/>
      <c r="JN24" s="101"/>
      <c r="JO24" s="101"/>
      <c r="JP24" s="101"/>
      <c r="JQ24" s="101"/>
      <c r="JR24" s="101"/>
      <c r="JS24" s="101"/>
      <c r="JT24" s="101"/>
      <c r="JU24" s="101"/>
      <c r="JV24" s="101"/>
      <c r="JW24" s="101"/>
      <c r="JX24" s="101"/>
      <c r="JY24" s="101"/>
      <c r="JZ24" s="101"/>
      <c r="KA24" s="101"/>
      <c r="KB24" s="101"/>
      <c r="KC24" s="101"/>
      <c r="KD24" s="101"/>
      <c r="KE24" s="101"/>
      <c r="KF24" s="101"/>
      <c r="KG24" s="101"/>
      <c r="KH24" s="101"/>
      <c r="KI24" s="101"/>
      <c r="KJ24" s="101"/>
      <c r="KK24" s="101"/>
      <c r="KL24" s="101"/>
      <c r="KM24" s="101"/>
      <c r="KN24" s="101"/>
      <c r="KO24" s="101"/>
      <c r="KP24" s="101"/>
      <c r="KQ24" s="101"/>
      <c r="KR24" s="101"/>
      <c r="KS24" s="101"/>
      <c r="KT24" s="101"/>
      <c r="KU24" s="101"/>
      <c r="KV24" s="101"/>
      <c r="KW24" s="101"/>
      <c r="KX24" s="101"/>
      <c r="KY24" s="101"/>
      <c r="KZ24" s="101"/>
      <c r="LA24" s="101"/>
      <c r="LB24" s="101"/>
      <c r="LC24" s="101"/>
      <c r="LD24" s="101"/>
      <c r="LE24" s="101"/>
      <c r="LF24" s="101"/>
      <c r="LG24" s="101"/>
      <c r="LH24" s="101"/>
      <c r="LI24" s="101"/>
      <c r="LJ24" s="101"/>
      <c r="LK24" s="101"/>
      <c r="LL24" s="101"/>
      <c r="LM24" s="101"/>
      <c r="LN24" s="101"/>
      <c r="LO24" s="101"/>
      <c r="LP24" s="101"/>
      <c r="LQ24" s="101"/>
      <c r="LR24" s="101"/>
      <c r="LS24" s="101"/>
      <c r="LT24" s="101"/>
      <c r="LU24" s="101"/>
      <c r="LV24" s="101"/>
      <c r="LW24" s="101"/>
      <c r="LX24" s="101"/>
      <c r="LY24" s="101"/>
      <c r="LZ24" s="101"/>
      <c r="MA24" s="101"/>
      <c r="MB24" s="101"/>
      <c r="MC24" s="101"/>
      <c r="MD24" s="101"/>
      <c r="ME24" s="101"/>
      <c r="MF24" s="101"/>
      <c r="MG24" s="101"/>
      <c r="MH24" s="101"/>
      <c r="MI24" s="101"/>
      <c r="MJ24" s="101"/>
      <c r="MK24" s="101"/>
      <c r="ML24" s="101"/>
      <c r="MM24" s="101"/>
      <c r="MN24" s="101"/>
      <c r="MO24" s="101"/>
      <c r="MP24" s="101"/>
      <c r="MQ24" s="101"/>
      <c r="MR24" s="101"/>
      <c r="MS24" s="101"/>
      <c r="MT24" s="101"/>
      <c r="MU24" s="101"/>
      <c r="MV24" s="101"/>
      <c r="MW24" s="101"/>
      <c r="MX24" s="101"/>
      <c r="MY24" s="101"/>
      <c r="MZ24" s="101"/>
      <c r="NA24" s="101"/>
      <c r="NB24" s="101"/>
      <c r="NC24" s="101"/>
      <c r="ND24" s="101"/>
      <c r="NE24" s="101"/>
      <c r="NF24" s="101"/>
      <c r="NG24" s="101"/>
      <c r="NH24" s="101"/>
      <c r="NI24" s="101"/>
      <c r="NJ24" s="101"/>
      <c r="NK24" s="101"/>
      <c r="NL24" s="101"/>
      <c r="NM24" s="101"/>
      <c r="NN24" s="101"/>
      <c r="NO24" s="101"/>
      <c r="NP24" s="101"/>
      <c r="NQ24" s="101"/>
      <c r="NR24" s="101"/>
      <c r="NS24" s="101"/>
      <c r="NT24" s="101"/>
      <c r="NU24" s="101"/>
      <c r="NV24" s="101"/>
      <c r="NW24" s="101"/>
      <c r="NX24" s="101"/>
      <c r="NY24" s="101"/>
      <c r="NZ24" s="101"/>
      <c r="OA24" s="101"/>
      <c r="OB24" s="101"/>
      <c r="OC24" s="101"/>
      <c r="OD24" s="101"/>
      <c r="OE24" s="101"/>
      <c r="OF24" s="101"/>
      <c r="OG24" s="101"/>
      <c r="OH24" s="101"/>
      <c r="OI24" s="101"/>
      <c r="OJ24" s="101"/>
      <c r="OK24" s="101"/>
      <c r="OL24" s="101"/>
      <c r="OM24" s="101"/>
      <c r="ON24" s="101"/>
      <c r="OO24" s="101"/>
      <c r="OP24" s="101"/>
      <c r="OQ24" s="101"/>
      <c r="OR24" s="101"/>
      <c r="OS24" s="101"/>
      <c r="OT24" s="101"/>
      <c r="OU24" s="101"/>
      <c r="OV24" s="101"/>
      <c r="OW24" s="101"/>
      <c r="OX24" s="101"/>
      <c r="OY24" s="101"/>
      <c r="OZ24" s="101"/>
      <c r="PA24" s="101"/>
      <c r="PB24" s="101"/>
      <c r="PC24" s="101"/>
      <c r="PD24" s="101"/>
      <c r="PE24" s="101"/>
      <c r="PF24" s="101"/>
      <c r="PG24" s="101"/>
      <c r="PH24" s="101"/>
      <c r="PI24" s="101"/>
      <c r="PJ24" s="101"/>
      <c r="PK24" s="101"/>
      <c r="PL24" s="101"/>
      <c r="PM24" s="101"/>
      <c r="PN24" s="101"/>
      <c r="PO24" s="101"/>
      <c r="PP24" s="101"/>
      <c r="PQ24" s="101"/>
      <c r="PR24" s="101"/>
      <c r="PS24" s="101"/>
      <c r="PT24" s="101"/>
      <c r="PU24" s="101"/>
      <c r="PV24" s="101">
        <v>20</v>
      </c>
      <c r="PW24" s="101">
        <v>20</v>
      </c>
      <c r="PX24" s="101"/>
      <c r="PY24" s="101">
        <v>20</v>
      </c>
      <c r="PZ24" s="101">
        <v>20</v>
      </c>
      <c r="QA24" s="101">
        <v>20</v>
      </c>
      <c r="QB24" s="101">
        <v>20</v>
      </c>
      <c r="QC24" s="101">
        <v>20</v>
      </c>
      <c r="QD24" s="101">
        <v>20</v>
      </c>
      <c r="QE24" s="101"/>
      <c r="QF24" s="101">
        <v>20</v>
      </c>
      <c r="QG24" s="101">
        <v>20</v>
      </c>
      <c r="QH24" s="101">
        <v>20</v>
      </c>
      <c r="QI24" s="101">
        <v>20</v>
      </c>
      <c r="QJ24" s="101">
        <v>20</v>
      </c>
      <c r="QK24" s="101">
        <v>20</v>
      </c>
      <c r="QL24" s="101"/>
      <c r="QM24" s="101">
        <v>20</v>
      </c>
      <c r="QN24" s="101">
        <v>20</v>
      </c>
      <c r="QO24" s="101">
        <v>20</v>
      </c>
      <c r="QP24" s="101">
        <v>20</v>
      </c>
      <c r="QQ24" s="101">
        <v>20</v>
      </c>
      <c r="QR24" s="101">
        <v>20</v>
      </c>
      <c r="QS24" s="101"/>
      <c r="QT24" s="101">
        <v>20</v>
      </c>
      <c r="QU24" s="101">
        <v>20</v>
      </c>
      <c r="QV24" s="101">
        <v>20</v>
      </c>
      <c r="QW24" s="101">
        <v>20</v>
      </c>
      <c r="QX24" s="101">
        <v>20</v>
      </c>
      <c r="QY24" s="101">
        <v>20</v>
      </c>
      <c r="QZ24" s="101"/>
      <c r="RA24" s="101">
        <v>20</v>
      </c>
      <c r="RB24" s="101">
        <v>20</v>
      </c>
      <c r="RC24" s="101">
        <v>20</v>
      </c>
      <c r="RD24" s="101">
        <v>20</v>
      </c>
      <c r="RE24" s="101">
        <v>13</v>
      </c>
      <c r="RF24" s="101">
        <v>16</v>
      </c>
      <c r="RG24" s="101"/>
      <c r="RH24" s="101">
        <v>27</v>
      </c>
      <c r="RI24" s="101">
        <v>27</v>
      </c>
      <c r="RJ24" s="101">
        <v>27</v>
      </c>
      <c r="RK24" s="101">
        <v>27</v>
      </c>
      <c r="RL24" s="101">
        <v>27</v>
      </c>
      <c r="RM24" s="101">
        <v>27</v>
      </c>
      <c r="RN24" s="101"/>
      <c r="RO24" s="101">
        <v>27</v>
      </c>
      <c r="RP24" s="101">
        <v>27</v>
      </c>
      <c r="RQ24" s="101">
        <v>27</v>
      </c>
      <c r="RR24" s="101">
        <v>27</v>
      </c>
      <c r="RS24" s="101">
        <v>27</v>
      </c>
      <c r="RT24" s="101">
        <v>27</v>
      </c>
      <c r="RU24" s="101"/>
      <c r="RV24" s="101">
        <v>27</v>
      </c>
      <c r="RW24" s="101">
        <v>13</v>
      </c>
      <c r="RX24" s="101">
        <v>19</v>
      </c>
      <c r="RY24" s="101">
        <v>43</v>
      </c>
      <c r="RZ24" s="101">
        <v>43</v>
      </c>
      <c r="SA24" s="101">
        <v>43</v>
      </c>
      <c r="SB24" s="101"/>
      <c r="SC24" s="101">
        <v>43</v>
      </c>
      <c r="SD24" s="101">
        <v>43</v>
      </c>
      <c r="SE24" s="101">
        <v>43</v>
      </c>
      <c r="SF24" s="101">
        <v>43</v>
      </c>
      <c r="SG24" s="101">
        <v>43</v>
      </c>
      <c r="SH24" s="101">
        <v>43</v>
      </c>
      <c r="SI24" s="101"/>
      <c r="SJ24" s="101">
        <v>43</v>
      </c>
      <c r="SK24" s="101">
        <v>43</v>
      </c>
      <c r="SL24" s="101">
        <v>43</v>
      </c>
      <c r="SM24" s="101">
        <v>43</v>
      </c>
      <c r="SN24" s="101">
        <v>43</v>
      </c>
      <c r="SO24" s="101">
        <v>43</v>
      </c>
      <c r="SP24" s="101"/>
      <c r="SQ24" s="101">
        <v>43</v>
      </c>
      <c r="SR24" s="101">
        <v>43</v>
      </c>
      <c r="SS24" s="101">
        <v>43</v>
      </c>
      <c r="ST24" s="101">
        <v>43</v>
      </c>
      <c r="SU24" s="101">
        <v>39</v>
      </c>
      <c r="SV24" s="101">
        <v>23</v>
      </c>
      <c r="SW24" s="101"/>
      <c r="SX24" s="101">
        <v>23</v>
      </c>
      <c r="SY24" s="101">
        <v>23</v>
      </c>
      <c r="SZ24" s="101">
        <v>23</v>
      </c>
      <c r="TA24" s="101">
        <v>23</v>
      </c>
      <c r="TB24" s="101">
        <v>23</v>
      </c>
      <c r="TC24" s="101">
        <v>23</v>
      </c>
      <c r="TD24" s="101"/>
      <c r="TE24" s="101">
        <v>23</v>
      </c>
      <c r="TF24" s="101">
        <v>23</v>
      </c>
      <c r="TG24" s="101">
        <v>25</v>
      </c>
      <c r="TH24" s="101">
        <v>30</v>
      </c>
      <c r="TI24" s="101">
        <v>30</v>
      </c>
      <c r="TJ24" s="101">
        <v>30</v>
      </c>
      <c r="TK24" s="101"/>
      <c r="TL24" s="101">
        <v>30</v>
      </c>
      <c r="TM24" s="101">
        <v>30</v>
      </c>
      <c r="TN24" s="101">
        <v>30</v>
      </c>
      <c r="TO24" s="101">
        <v>30</v>
      </c>
      <c r="TP24" s="101">
        <v>30</v>
      </c>
      <c r="TQ24" s="101">
        <v>30</v>
      </c>
      <c r="TR24" s="101"/>
      <c r="TS24" s="101">
        <v>30</v>
      </c>
      <c r="TT24" s="101">
        <v>30</v>
      </c>
      <c r="TU24" s="101">
        <v>30</v>
      </c>
      <c r="TV24" s="101">
        <v>30</v>
      </c>
      <c r="TW24" s="101">
        <v>30</v>
      </c>
      <c r="TX24" s="101">
        <v>30</v>
      </c>
      <c r="TY24" s="101"/>
      <c r="TZ24" s="101">
        <v>30</v>
      </c>
      <c r="UA24" s="101">
        <v>30</v>
      </c>
      <c r="UB24" s="101">
        <v>30</v>
      </c>
      <c r="UC24" s="101">
        <v>30</v>
      </c>
      <c r="UD24" s="101">
        <v>27</v>
      </c>
      <c r="UE24" s="101">
        <v>14</v>
      </c>
      <c r="UF24" s="101"/>
      <c r="UG24" s="101">
        <v>14</v>
      </c>
      <c r="UH24" s="101">
        <v>14</v>
      </c>
      <c r="UI24" s="101">
        <v>14</v>
      </c>
      <c r="UJ24" s="101">
        <v>14</v>
      </c>
      <c r="UK24" s="101">
        <v>14</v>
      </c>
      <c r="UL24" s="101">
        <v>14</v>
      </c>
      <c r="UM24" s="101"/>
      <c r="UN24" s="101">
        <v>14</v>
      </c>
      <c r="UO24" s="101">
        <v>14</v>
      </c>
      <c r="UP24" s="101">
        <v>14</v>
      </c>
      <c r="UQ24" s="101">
        <v>14</v>
      </c>
      <c r="UR24" s="101">
        <v>14</v>
      </c>
      <c r="US24" s="101">
        <v>14</v>
      </c>
      <c r="UT24" s="101"/>
      <c r="UU24" s="101">
        <v>14</v>
      </c>
      <c r="UV24" s="101">
        <v>15</v>
      </c>
      <c r="UW24" s="101">
        <v>20</v>
      </c>
      <c r="UX24" s="101">
        <v>20</v>
      </c>
      <c r="UY24" s="101">
        <v>20</v>
      </c>
      <c r="UZ24" s="101">
        <v>20</v>
      </c>
      <c r="VA24" s="101"/>
      <c r="VB24" s="101">
        <v>20</v>
      </c>
      <c r="VC24" s="101">
        <v>20</v>
      </c>
      <c r="VD24" s="101">
        <v>20</v>
      </c>
      <c r="VE24" s="101">
        <v>20</v>
      </c>
      <c r="VF24" s="101">
        <v>20</v>
      </c>
      <c r="VG24" s="101">
        <v>20</v>
      </c>
      <c r="VH24" s="101"/>
      <c r="VI24" s="101">
        <v>20</v>
      </c>
      <c r="VJ24" s="101">
        <v>20</v>
      </c>
      <c r="VK24" s="101">
        <v>20</v>
      </c>
      <c r="VL24" s="101">
        <v>20</v>
      </c>
      <c r="VM24" s="101">
        <v>20</v>
      </c>
      <c r="VN24" s="101"/>
      <c r="VO24" s="101"/>
      <c r="VP24" s="101"/>
      <c r="VQ24" s="101"/>
      <c r="VR24" s="101"/>
      <c r="VS24" s="101">
        <v>20</v>
      </c>
      <c r="VT24" s="101">
        <v>20</v>
      </c>
      <c r="VU24" s="101">
        <v>20</v>
      </c>
      <c r="VV24" s="101"/>
      <c r="VW24" s="101">
        <v>20</v>
      </c>
      <c r="VX24" s="101">
        <v>20</v>
      </c>
      <c r="VY24" s="101">
        <v>20</v>
      </c>
      <c r="VZ24" s="101">
        <v>20</v>
      </c>
      <c r="WA24" s="101">
        <v>20</v>
      </c>
      <c r="WB24" s="101">
        <v>20</v>
      </c>
      <c r="WC24" s="101"/>
      <c r="WD24" s="101">
        <v>20</v>
      </c>
      <c r="WE24" s="101">
        <v>20</v>
      </c>
      <c r="WF24" s="101">
        <v>20</v>
      </c>
      <c r="WG24" s="101">
        <v>20</v>
      </c>
      <c r="WH24" s="101">
        <v>20</v>
      </c>
      <c r="WI24" s="101">
        <v>18</v>
      </c>
      <c r="WJ24" s="101"/>
      <c r="WK24" s="101">
        <v>10</v>
      </c>
      <c r="WL24" s="101">
        <v>10</v>
      </c>
      <c r="WM24" s="101">
        <v>10</v>
      </c>
      <c r="WN24" s="101">
        <v>10</v>
      </c>
      <c r="WO24" s="101">
        <v>10</v>
      </c>
      <c r="WP24" s="101">
        <v>10</v>
      </c>
      <c r="WQ24" s="101"/>
      <c r="WR24" s="101">
        <v>10</v>
      </c>
      <c r="WS24" s="101">
        <v>10</v>
      </c>
      <c r="WT24" s="101">
        <v>13</v>
      </c>
      <c r="WU24" s="101">
        <v>23</v>
      </c>
      <c r="WV24" s="101">
        <v>23</v>
      </c>
      <c r="WW24" s="101">
        <v>23</v>
      </c>
      <c r="WX24" s="101"/>
      <c r="WY24" s="101">
        <v>23</v>
      </c>
      <c r="WZ24" s="101">
        <v>23</v>
      </c>
      <c r="XA24" s="101">
        <v>23</v>
      </c>
      <c r="XB24" s="101">
        <v>21</v>
      </c>
      <c r="XC24" s="101">
        <v>21</v>
      </c>
      <c r="XD24" s="101">
        <v>21</v>
      </c>
      <c r="XE24" s="101"/>
      <c r="XF24" s="101">
        <v>21</v>
      </c>
      <c r="XG24" s="101">
        <v>21</v>
      </c>
      <c r="XH24" s="101">
        <v>19</v>
      </c>
      <c r="XI24" s="101">
        <v>8</v>
      </c>
      <c r="XJ24" s="101">
        <v>8</v>
      </c>
      <c r="XK24" s="101">
        <v>8</v>
      </c>
      <c r="XL24" s="101"/>
      <c r="XM24" s="101">
        <v>8</v>
      </c>
      <c r="XN24" s="101">
        <v>6</v>
      </c>
      <c r="XO24" s="101">
        <v>6</v>
      </c>
      <c r="XP24" s="101">
        <v>6</v>
      </c>
      <c r="XQ24" s="101">
        <v>6</v>
      </c>
      <c r="XR24" s="101">
        <v>6</v>
      </c>
      <c r="XS24" s="101"/>
      <c r="XT24" s="101">
        <v>6</v>
      </c>
      <c r="XU24" s="101">
        <v>6</v>
      </c>
      <c r="XV24" s="101">
        <v>6</v>
      </c>
      <c r="XW24" s="101">
        <v>6</v>
      </c>
      <c r="XX24" s="101">
        <v>6</v>
      </c>
      <c r="XY24" s="101"/>
      <c r="XZ24" s="101"/>
      <c r="YA24" s="101"/>
      <c r="YB24" s="101"/>
      <c r="YC24" s="101"/>
      <c r="YD24" s="101">
        <v>6</v>
      </c>
      <c r="YE24" s="101">
        <v>6</v>
      </c>
      <c r="YF24" s="101">
        <v>6</v>
      </c>
      <c r="YG24" s="101"/>
      <c r="YH24" s="101">
        <v>5</v>
      </c>
      <c r="YI24" s="101"/>
      <c r="YJ24" s="101"/>
      <c r="YK24" s="101"/>
      <c r="YL24" s="101"/>
      <c r="YM24" s="101"/>
      <c r="YN24" s="101"/>
      <c r="YO24" s="101"/>
      <c r="YP24" s="101"/>
      <c r="YQ24" s="101"/>
      <c r="YR24" s="101"/>
      <c r="YS24" s="101"/>
      <c r="YT24" s="101"/>
      <c r="YU24" s="101"/>
      <c r="YV24" s="101"/>
      <c r="YW24" s="101"/>
      <c r="YX24" s="101"/>
      <c r="YY24" s="101"/>
      <c r="YZ24" s="101"/>
      <c r="ZA24" s="101"/>
      <c r="ZB24" s="101"/>
      <c r="ZC24" s="101"/>
      <c r="ZD24" s="101"/>
      <c r="ZE24" s="101"/>
      <c r="ZF24" s="101"/>
      <c r="ZG24" s="101"/>
      <c r="ZH24" s="101"/>
    </row>
    <row r="25" spans="1:684">
      <c r="A25" s="75" t="s">
        <v>63</v>
      </c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  <c r="BR25" s="101"/>
      <c r="BS25" s="101"/>
      <c r="BT25" s="101"/>
      <c r="BU25" s="101"/>
      <c r="BV25" s="101"/>
      <c r="BW25" s="101"/>
      <c r="BX25" s="101"/>
      <c r="BY25" s="101"/>
      <c r="BZ25" s="101"/>
      <c r="CA25" s="101"/>
      <c r="CB25" s="101"/>
      <c r="CC25" s="101"/>
      <c r="CD25" s="101"/>
      <c r="CE25" s="101"/>
      <c r="CF25" s="101"/>
      <c r="CG25" s="101"/>
      <c r="CH25" s="101"/>
      <c r="CI25" s="101"/>
      <c r="CJ25" s="101"/>
      <c r="CK25" s="101"/>
      <c r="CL25" s="101"/>
      <c r="CM25" s="101"/>
      <c r="CN25" s="101"/>
      <c r="CO25" s="101"/>
      <c r="CP25" s="101"/>
      <c r="CQ25" s="101"/>
      <c r="CR25" s="101"/>
      <c r="CS25" s="101"/>
      <c r="CT25" s="101"/>
      <c r="CU25" s="101"/>
      <c r="CV25" s="101"/>
      <c r="CW25" s="101"/>
      <c r="CX25" s="101"/>
      <c r="CY25" s="101"/>
      <c r="CZ25" s="101"/>
      <c r="DA25" s="101"/>
      <c r="DB25" s="101"/>
      <c r="DC25" s="101"/>
      <c r="DD25" s="101"/>
      <c r="DE25" s="101"/>
      <c r="DF25" s="101"/>
      <c r="DG25" s="101"/>
      <c r="DH25" s="101"/>
      <c r="DI25" s="101"/>
      <c r="DJ25" s="101"/>
      <c r="DK25" s="101"/>
      <c r="DL25" s="101"/>
      <c r="DM25" s="101"/>
      <c r="DN25" s="101"/>
      <c r="DO25" s="101"/>
      <c r="DP25" s="101"/>
      <c r="DQ25" s="101"/>
      <c r="DR25" s="101"/>
      <c r="DS25" s="101"/>
      <c r="DT25" s="101"/>
      <c r="DU25" s="101"/>
      <c r="DV25" s="101"/>
      <c r="DW25" s="101"/>
      <c r="DX25" s="101"/>
      <c r="DY25" s="101"/>
      <c r="DZ25" s="101"/>
      <c r="EA25" s="101"/>
      <c r="EB25" s="101"/>
      <c r="EC25" s="101"/>
      <c r="ED25" s="101"/>
      <c r="EE25" s="101"/>
      <c r="EF25" s="101"/>
      <c r="EG25" s="101"/>
      <c r="EH25" s="101"/>
      <c r="EI25" s="101"/>
      <c r="EJ25" s="101"/>
      <c r="EK25" s="101"/>
      <c r="EL25" s="101"/>
      <c r="EM25" s="101"/>
      <c r="EN25" s="101"/>
      <c r="EO25" s="101"/>
      <c r="EP25" s="101"/>
      <c r="EQ25" s="101"/>
      <c r="ER25" s="101"/>
      <c r="ES25" s="101"/>
      <c r="ET25" s="101"/>
      <c r="EU25" s="101"/>
      <c r="EV25" s="101"/>
      <c r="EW25" s="101"/>
      <c r="EX25" s="101"/>
      <c r="EY25" s="101"/>
      <c r="EZ25" s="101"/>
      <c r="FA25" s="101"/>
      <c r="FB25" s="101"/>
      <c r="FC25" s="101"/>
      <c r="FD25" s="101"/>
      <c r="FE25" s="101"/>
      <c r="FF25" s="101"/>
      <c r="FG25" s="101"/>
      <c r="FH25" s="101"/>
      <c r="FI25" s="101"/>
      <c r="FJ25" s="101"/>
      <c r="FK25" s="101"/>
      <c r="FL25" s="101"/>
      <c r="FM25" s="101"/>
      <c r="FN25" s="101"/>
      <c r="FO25" s="101"/>
      <c r="FP25" s="101"/>
      <c r="FQ25" s="101"/>
      <c r="FR25" s="101"/>
      <c r="FS25" s="101"/>
      <c r="FT25" s="101"/>
      <c r="FU25" s="101"/>
      <c r="FV25" s="101"/>
      <c r="FW25" s="101"/>
      <c r="FX25" s="101"/>
      <c r="FY25" s="101"/>
      <c r="FZ25" s="101"/>
      <c r="GA25" s="101"/>
      <c r="GB25" s="101"/>
      <c r="GC25" s="101"/>
      <c r="GD25" s="101"/>
      <c r="GE25" s="101"/>
      <c r="GF25" s="101"/>
      <c r="GG25" s="101"/>
      <c r="GH25" s="101"/>
      <c r="GI25" s="101"/>
      <c r="GJ25" s="101"/>
      <c r="GK25" s="101"/>
      <c r="GL25" s="101"/>
      <c r="GM25" s="101"/>
      <c r="GN25" s="101"/>
      <c r="GO25" s="101"/>
      <c r="GP25" s="101"/>
      <c r="GQ25" s="101"/>
      <c r="GR25" s="101"/>
      <c r="GS25" s="101"/>
      <c r="GT25" s="101"/>
      <c r="GU25" s="101"/>
      <c r="GV25" s="101"/>
      <c r="GW25" s="101"/>
      <c r="GX25" s="101"/>
      <c r="GY25" s="101"/>
      <c r="GZ25" s="101"/>
      <c r="HA25" s="101"/>
      <c r="HB25" s="101"/>
      <c r="HC25" s="101"/>
      <c r="HD25" s="101"/>
      <c r="HE25" s="101"/>
      <c r="HF25" s="101"/>
      <c r="HG25" s="101"/>
      <c r="HH25" s="101"/>
      <c r="HI25" s="101"/>
      <c r="HJ25" s="101"/>
      <c r="HK25" s="101"/>
      <c r="HL25" s="101"/>
      <c r="HM25" s="101"/>
      <c r="HN25" s="101"/>
      <c r="HO25" s="101"/>
      <c r="HP25" s="101"/>
      <c r="HQ25" s="101"/>
      <c r="HR25" s="101"/>
      <c r="HS25" s="101"/>
      <c r="HT25" s="101"/>
      <c r="HU25" s="101"/>
      <c r="HV25" s="101"/>
      <c r="HW25" s="101"/>
      <c r="HX25" s="101"/>
      <c r="HY25" s="101"/>
      <c r="HZ25" s="101"/>
      <c r="IA25" s="101"/>
      <c r="IB25" s="101"/>
      <c r="IC25" s="101"/>
      <c r="ID25" s="101"/>
      <c r="IE25" s="101"/>
      <c r="IF25" s="101"/>
      <c r="IG25" s="101"/>
      <c r="IH25" s="101"/>
      <c r="II25" s="101"/>
      <c r="IJ25" s="101"/>
      <c r="IK25" s="101"/>
      <c r="IL25" s="101"/>
      <c r="IM25" s="101"/>
      <c r="IN25" s="101"/>
      <c r="IO25" s="101"/>
      <c r="IP25" s="101"/>
      <c r="IQ25" s="101"/>
      <c r="IR25" s="101"/>
      <c r="IS25" s="101"/>
      <c r="IT25" s="101"/>
      <c r="IU25" s="101"/>
      <c r="IV25" s="101"/>
      <c r="IW25" s="101"/>
      <c r="IX25" s="101"/>
      <c r="IY25" s="101"/>
      <c r="IZ25" s="101"/>
      <c r="JA25" s="101"/>
      <c r="JB25" s="101"/>
      <c r="JC25" s="101"/>
      <c r="JD25" s="101"/>
      <c r="JE25" s="101"/>
      <c r="JF25" s="101"/>
      <c r="JG25" s="101"/>
      <c r="JH25" s="101"/>
      <c r="JI25" s="101"/>
      <c r="JJ25" s="101"/>
      <c r="JK25" s="101"/>
      <c r="JL25" s="101"/>
      <c r="JM25" s="101"/>
      <c r="JN25" s="101"/>
      <c r="JO25" s="101"/>
      <c r="JP25" s="101"/>
      <c r="JQ25" s="101"/>
      <c r="JR25" s="101"/>
      <c r="JS25" s="101"/>
      <c r="JT25" s="101"/>
      <c r="JU25" s="101"/>
      <c r="JV25" s="101"/>
      <c r="JW25" s="101"/>
      <c r="JX25" s="101"/>
      <c r="JY25" s="101"/>
      <c r="JZ25" s="101"/>
      <c r="KA25" s="101"/>
      <c r="KB25" s="101"/>
      <c r="KC25" s="101"/>
      <c r="KD25" s="101"/>
      <c r="KE25" s="101"/>
      <c r="KF25" s="101"/>
      <c r="KG25" s="101"/>
      <c r="KH25" s="101"/>
      <c r="KI25" s="101"/>
      <c r="KJ25" s="101"/>
      <c r="KK25" s="101"/>
      <c r="KL25" s="101"/>
      <c r="KM25" s="101"/>
      <c r="KN25" s="101"/>
      <c r="KO25" s="101"/>
      <c r="KP25" s="101"/>
      <c r="KQ25" s="101"/>
      <c r="KR25" s="101"/>
      <c r="KS25" s="101"/>
      <c r="KT25" s="101"/>
      <c r="KU25" s="101"/>
      <c r="KV25" s="101"/>
      <c r="KW25" s="101"/>
      <c r="KX25" s="101"/>
      <c r="KY25" s="101"/>
      <c r="KZ25" s="101"/>
      <c r="LA25" s="101"/>
      <c r="LB25" s="101"/>
      <c r="LC25" s="101"/>
      <c r="LD25" s="101"/>
      <c r="LE25" s="101"/>
      <c r="LF25" s="101"/>
      <c r="LG25" s="101"/>
      <c r="LH25" s="101"/>
      <c r="LI25" s="101"/>
      <c r="LJ25" s="101"/>
      <c r="LK25" s="101"/>
      <c r="LL25" s="101"/>
      <c r="LM25" s="101"/>
      <c r="LN25" s="101"/>
      <c r="LO25" s="101"/>
      <c r="LP25" s="101"/>
      <c r="LQ25" s="101"/>
      <c r="LR25" s="101"/>
      <c r="LS25" s="101"/>
      <c r="LT25" s="101"/>
      <c r="LU25" s="101"/>
      <c r="LV25" s="101"/>
      <c r="LW25" s="101"/>
      <c r="LX25" s="101"/>
      <c r="LY25" s="101"/>
      <c r="LZ25" s="101"/>
      <c r="MA25" s="101"/>
      <c r="MB25" s="101"/>
      <c r="MC25" s="101"/>
      <c r="MD25" s="101"/>
      <c r="ME25" s="101"/>
      <c r="MF25" s="101"/>
      <c r="MG25" s="101"/>
      <c r="MH25" s="101"/>
      <c r="MI25" s="101"/>
      <c r="MJ25" s="101"/>
      <c r="MK25" s="101"/>
      <c r="ML25" s="101"/>
      <c r="MM25" s="101"/>
      <c r="MN25" s="101"/>
      <c r="MO25" s="101"/>
      <c r="MP25" s="101"/>
      <c r="MQ25" s="101"/>
      <c r="MR25" s="101"/>
      <c r="MS25" s="101"/>
      <c r="MT25" s="101"/>
      <c r="MU25" s="101"/>
      <c r="MV25" s="101"/>
      <c r="MW25" s="101"/>
      <c r="MX25" s="101"/>
      <c r="MY25" s="101"/>
      <c r="MZ25" s="101"/>
      <c r="NA25" s="101"/>
      <c r="NB25" s="101"/>
      <c r="NC25" s="101"/>
      <c r="ND25" s="101"/>
      <c r="NE25" s="101"/>
      <c r="NF25" s="101"/>
      <c r="NG25" s="101"/>
      <c r="NH25" s="101"/>
      <c r="NI25" s="101"/>
      <c r="NJ25" s="101"/>
      <c r="NK25" s="101"/>
      <c r="NL25" s="101"/>
      <c r="NM25" s="101"/>
      <c r="NN25" s="101"/>
      <c r="NO25" s="101"/>
      <c r="NP25" s="101"/>
      <c r="NQ25" s="101"/>
      <c r="NR25" s="101"/>
      <c r="NS25" s="101"/>
      <c r="NT25" s="101"/>
      <c r="NU25" s="101"/>
      <c r="NV25" s="101"/>
      <c r="NW25" s="101"/>
      <c r="NX25" s="101"/>
      <c r="NY25" s="101"/>
      <c r="NZ25" s="101"/>
      <c r="OA25" s="101"/>
      <c r="OB25" s="101"/>
      <c r="OC25" s="101"/>
      <c r="OD25" s="101"/>
      <c r="OE25" s="101"/>
      <c r="OF25" s="101"/>
      <c r="OG25" s="101"/>
      <c r="OH25" s="101"/>
      <c r="OI25" s="101"/>
      <c r="OJ25" s="101"/>
      <c r="OK25" s="101"/>
      <c r="OL25" s="101"/>
      <c r="OM25" s="101"/>
      <c r="ON25" s="101"/>
      <c r="OO25" s="101"/>
      <c r="OP25" s="101"/>
      <c r="OQ25" s="101"/>
      <c r="OR25" s="101"/>
      <c r="OS25" s="101"/>
      <c r="OT25" s="101"/>
      <c r="OU25" s="101"/>
      <c r="OV25" s="101"/>
      <c r="OW25" s="101"/>
      <c r="OX25" s="101"/>
      <c r="OY25" s="101"/>
      <c r="OZ25" s="101"/>
      <c r="PA25" s="101"/>
      <c r="PB25" s="101"/>
      <c r="PC25" s="101"/>
      <c r="PD25" s="101"/>
      <c r="PE25" s="101"/>
      <c r="PF25" s="101"/>
      <c r="PG25" s="101"/>
      <c r="PH25" s="101"/>
      <c r="PI25" s="101"/>
      <c r="PJ25" s="101"/>
      <c r="PK25" s="101"/>
      <c r="PL25" s="101"/>
      <c r="PM25" s="101"/>
      <c r="PN25" s="101"/>
      <c r="PO25" s="101"/>
      <c r="PP25" s="101"/>
      <c r="PQ25" s="101"/>
      <c r="PR25" s="101"/>
      <c r="PS25" s="101"/>
      <c r="PT25" s="101"/>
      <c r="PU25" s="101"/>
      <c r="PV25" s="101"/>
      <c r="PW25" s="101"/>
      <c r="PX25" s="101"/>
      <c r="PY25" s="101"/>
      <c r="PZ25" s="101"/>
      <c r="QA25" s="101"/>
      <c r="QB25" s="101"/>
      <c r="QC25" s="101"/>
      <c r="QD25" s="101"/>
      <c r="QE25" s="101"/>
      <c r="QF25" s="101"/>
      <c r="QG25" s="101">
        <v>4</v>
      </c>
      <c r="QH25" s="101">
        <v>6</v>
      </c>
      <c r="QI25" s="101">
        <v>6</v>
      </c>
      <c r="QJ25" s="101">
        <v>6</v>
      </c>
      <c r="QK25" s="101">
        <v>6</v>
      </c>
      <c r="QL25" s="101"/>
      <c r="QM25" s="101">
        <v>6</v>
      </c>
      <c r="QN25" s="101">
        <v>6</v>
      </c>
      <c r="QO25" s="101">
        <v>6</v>
      </c>
      <c r="QP25" s="101">
        <v>6</v>
      </c>
      <c r="QQ25" s="101">
        <v>6</v>
      </c>
      <c r="QR25" s="101">
        <v>8</v>
      </c>
      <c r="QS25" s="101"/>
      <c r="QT25" s="101">
        <v>6</v>
      </c>
      <c r="QU25" s="101">
        <v>6</v>
      </c>
      <c r="QV25" s="101">
        <v>6</v>
      </c>
      <c r="QW25" s="101">
        <v>6</v>
      </c>
      <c r="QX25" s="101">
        <v>6</v>
      </c>
      <c r="QY25" s="101">
        <v>6</v>
      </c>
      <c r="QZ25" s="101"/>
      <c r="RA25" s="101">
        <v>6</v>
      </c>
      <c r="RB25" s="101">
        <v>6</v>
      </c>
      <c r="RC25" s="101">
        <v>6</v>
      </c>
      <c r="RD25" s="101"/>
      <c r="RE25" s="101"/>
      <c r="RF25" s="101"/>
      <c r="RG25" s="101"/>
      <c r="RH25" s="101"/>
      <c r="RI25" s="101"/>
      <c r="RJ25" s="101"/>
      <c r="RK25" s="101"/>
      <c r="RL25" s="101"/>
      <c r="RM25" s="101"/>
      <c r="RN25" s="101"/>
      <c r="RO25" s="101"/>
      <c r="RP25" s="101"/>
      <c r="RQ25" s="101"/>
      <c r="RR25" s="101"/>
      <c r="RS25" s="101"/>
      <c r="RT25" s="101"/>
      <c r="RU25" s="101"/>
      <c r="RV25" s="101"/>
      <c r="RW25" s="101"/>
      <c r="RX25" s="101"/>
      <c r="RY25" s="101"/>
      <c r="RZ25" s="101"/>
      <c r="SA25" s="101"/>
      <c r="SB25" s="101"/>
      <c r="SC25" s="101"/>
      <c r="SD25" s="101"/>
      <c r="SE25" s="101"/>
      <c r="SF25" s="101"/>
      <c r="SG25" s="101"/>
      <c r="SH25" s="101"/>
      <c r="SI25" s="101"/>
      <c r="SJ25" s="101"/>
      <c r="SK25" s="101"/>
      <c r="SL25" s="101"/>
      <c r="SM25" s="101"/>
      <c r="SN25" s="101"/>
      <c r="SO25" s="101"/>
      <c r="SP25" s="101"/>
      <c r="SQ25" s="101"/>
      <c r="SR25" s="101"/>
      <c r="SS25" s="101"/>
      <c r="ST25" s="101"/>
      <c r="SU25" s="101"/>
      <c r="SV25" s="101"/>
      <c r="SW25" s="101"/>
      <c r="SX25" s="101"/>
      <c r="SY25" s="101"/>
      <c r="SZ25" s="101"/>
      <c r="TA25" s="101"/>
      <c r="TB25" s="101"/>
      <c r="TC25" s="101"/>
      <c r="TD25" s="101"/>
      <c r="TE25" s="101"/>
      <c r="TF25" s="101"/>
      <c r="TG25" s="101"/>
      <c r="TH25" s="101"/>
      <c r="TI25" s="101"/>
      <c r="TJ25" s="101"/>
      <c r="TK25" s="101"/>
      <c r="TL25" s="101"/>
      <c r="TM25" s="101"/>
      <c r="TN25" s="101"/>
      <c r="TO25" s="101"/>
      <c r="TP25" s="101"/>
      <c r="TQ25" s="101"/>
      <c r="TR25" s="101"/>
      <c r="TS25" s="101"/>
      <c r="TT25" s="101"/>
      <c r="TU25" s="101"/>
      <c r="TV25" s="101"/>
      <c r="TW25" s="101"/>
      <c r="TX25" s="101"/>
      <c r="TY25" s="101"/>
      <c r="TZ25" s="101"/>
      <c r="UA25" s="101"/>
      <c r="UB25" s="101"/>
      <c r="UC25" s="101"/>
      <c r="UD25" s="101"/>
      <c r="UE25" s="101"/>
      <c r="UF25" s="101"/>
      <c r="UG25" s="101"/>
      <c r="UH25" s="101"/>
      <c r="UI25" s="101"/>
      <c r="UJ25" s="101"/>
      <c r="UK25" s="101"/>
      <c r="UL25" s="101"/>
      <c r="UM25" s="101"/>
      <c r="UN25" s="101"/>
      <c r="UO25" s="101"/>
      <c r="UP25" s="101"/>
      <c r="UQ25" s="101"/>
      <c r="UR25" s="101"/>
      <c r="US25" s="101"/>
      <c r="UT25" s="101"/>
      <c r="UU25" s="101"/>
      <c r="UV25" s="101"/>
      <c r="UW25" s="101"/>
      <c r="UX25" s="101"/>
      <c r="UY25" s="101"/>
      <c r="UZ25" s="101"/>
      <c r="VA25" s="101"/>
      <c r="VB25" s="101"/>
      <c r="VC25" s="101"/>
      <c r="VD25" s="101"/>
      <c r="VE25" s="101"/>
      <c r="VF25" s="101"/>
      <c r="VG25" s="101"/>
      <c r="VH25" s="101"/>
      <c r="VI25" s="101"/>
      <c r="VJ25" s="101"/>
      <c r="VK25" s="101"/>
      <c r="VL25" s="101"/>
      <c r="VM25" s="101"/>
      <c r="VN25" s="101"/>
      <c r="VO25" s="101"/>
      <c r="VP25" s="101"/>
      <c r="VQ25" s="101"/>
      <c r="VR25" s="101"/>
      <c r="VS25" s="101"/>
      <c r="VT25" s="101"/>
      <c r="VU25" s="101"/>
      <c r="VV25" s="101"/>
      <c r="VW25" s="101"/>
      <c r="VX25" s="101"/>
      <c r="VY25" s="101"/>
      <c r="VZ25" s="101"/>
      <c r="WA25" s="101"/>
      <c r="WB25" s="101"/>
      <c r="WC25" s="101"/>
      <c r="WD25" s="101"/>
      <c r="WE25" s="101"/>
      <c r="WF25" s="101"/>
      <c r="WG25" s="101"/>
      <c r="WH25" s="101"/>
      <c r="WI25" s="101"/>
      <c r="WJ25" s="101"/>
      <c r="WK25" s="101"/>
      <c r="WL25" s="101"/>
      <c r="WM25" s="101"/>
      <c r="WN25" s="101"/>
      <c r="WO25" s="101"/>
      <c r="WP25" s="101"/>
      <c r="WQ25" s="101"/>
      <c r="WR25" s="101"/>
      <c r="WS25" s="101"/>
      <c r="WT25" s="101"/>
      <c r="WU25" s="101"/>
      <c r="WV25" s="101"/>
      <c r="WW25" s="101"/>
      <c r="WX25" s="101"/>
      <c r="WY25" s="101"/>
      <c r="WZ25" s="101"/>
      <c r="XA25" s="101"/>
      <c r="XB25" s="101"/>
      <c r="XC25" s="101"/>
      <c r="XD25" s="101"/>
      <c r="XE25" s="101"/>
      <c r="XF25" s="101"/>
      <c r="XG25" s="101"/>
      <c r="XH25" s="101"/>
      <c r="XI25" s="101"/>
      <c r="XJ25" s="101"/>
      <c r="XK25" s="101"/>
      <c r="XL25" s="101"/>
      <c r="XM25" s="101"/>
      <c r="XN25" s="101"/>
      <c r="XO25" s="101"/>
      <c r="XP25" s="101"/>
      <c r="XQ25" s="101"/>
      <c r="XR25" s="101"/>
      <c r="XS25" s="101"/>
      <c r="XT25" s="101"/>
      <c r="XU25" s="101"/>
      <c r="XV25" s="101"/>
      <c r="XW25" s="101"/>
      <c r="XX25" s="101"/>
      <c r="XY25" s="101"/>
      <c r="XZ25" s="101"/>
      <c r="YA25" s="101"/>
      <c r="YB25" s="101"/>
      <c r="YC25" s="101"/>
      <c r="YD25" s="101"/>
      <c r="YE25" s="101"/>
      <c r="YF25" s="101"/>
      <c r="YG25" s="101"/>
      <c r="YH25" s="101"/>
      <c r="YI25" s="101"/>
      <c r="YJ25" s="101"/>
      <c r="YK25" s="101"/>
      <c r="YL25" s="101"/>
      <c r="YM25" s="101"/>
      <c r="YN25" s="101"/>
      <c r="YO25" s="101"/>
      <c r="YP25" s="101"/>
      <c r="YQ25" s="101"/>
      <c r="YR25" s="101"/>
      <c r="YS25" s="101"/>
      <c r="YT25" s="101"/>
      <c r="YU25" s="101"/>
      <c r="YV25" s="101"/>
      <c r="YW25" s="101"/>
      <c r="YX25" s="101"/>
      <c r="YY25" s="101"/>
      <c r="YZ25" s="101"/>
      <c r="ZA25" s="101"/>
      <c r="ZB25" s="101"/>
      <c r="ZC25" s="101"/>
      <c r="ZD25" s="101"/>
      <c r="ZE25" s="101"/>
      <c r="ZF25" s="101"/>
      <c r="ZG25" s="101"/>
      <c r="ZH25" s="101"/>
    </row>
    <row r="26" spans="1:684">
      <c r="A26" s="75" t="s">
        <v>64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  <c r="BZ26" s="101"/>
      <c r="CA26" s="101"/>
      <c r="CB26" s="101"/>
      <c r="CC26" s="101"/>
      <c r="CD26" s="101"/>
      <c r="CE26" s="101"/>
      <c r="CF26" s="101"/>
      <c r="CG26" s="101"/>
      <c r="CH26" s="101"/>
      <c r="CI26" s="101"/>
      <c r="CJ26" s="101"/>
      <c r="CK26" s="101"/>
      <c r="CL26" s="101"/>
      <c r="CM26" s="101"/>
      <c r="CN26" s="101"/>
      <c r="CO26" s="101"/>
      <c r="CP26" s="101"/>
      <c r="CQ26" s="101"/>
      <c r="CR26" s="101"/>
      <c r="CS26" s="101"/>
      <c r="CT26" s="101"/>
      <c r="CU26" s="101"/>
      <c r="CV26" s="101"/>
      <c r="CW26" s="101"/>
      <c r="CX26" s="101"/>
      <c r="CY26" s="101"/>
      <c r="CZ26" s="101"/>
      <c r="DA26" s="101"/>
      <c r="DB26" s="101"/>
      <c r="DC26" s="101"/>
      <c r="DD26" s="101"/>
      <c r="DE26" s="101"/>
      <c r="DF26" s="101"/>
      <c r="DG26" s="101"/>
      <c r="DH26" s="101"/>
      <c r="DI26" s="101"/>
      <c r="DJ26" s="101"/>
      <c r="DK26" s="101"/>
      <c r="DL26" s="101"/>
      <c r="DM26" s="101"/>
      <c r="DN26" s="101"/>
      <c r="DO26" s="101"/>
      <c r="DP26" s="101"/>
      <c r="DQ26" s="101"/>
      <c r="DR26" s="101"/>
      <c r="DS26" s="101"/>
      <c r="DT26" s="101"/>
      <c r="DU26" s="101"/>
      <c r="DV26" s="101"/>
      <c r="DW26" s="101"/>
      <c r="DX26" s="101"/>
      <c r="DY26" s="101"/>
      <c r="DZ26" s="101"/>
      <c r="EA26" s="101"/>
      <c r="EB26" s="101"/>
      <c r="EC26" s="101"/>
      <c r="ED26" s="101"/>
      <c r="EE26" s="101"/>
      <c r="EF26" s="101"/>
      <c r="EG26" s="101"/>
      <c r="EH26" s="101"/>
      <c r="EI26" s="101"/>
      <c r="EJ26" s="101"/>
      <c r="EK26" s="101"/>
      <c r="EL26" s="101"/>
      <c r="EM26" s="101"/>
      <c r="EN26" s="101"/>
      <c r="EO26" s="101"/>
      <c r="EP26" s="101"/>
      <c r="EQ26" s="101">
        <v>20</v>
      </c>
      <c r="ER26" s="101">
        <v>20</v>
      </c>
      <c r="ES26" s="101">
        <v>20</v>
      </c>
      <c r="ET26" s="101">
        <v>20</v>
      </c>
      <c r="EU26" s="101">
        <v>20</v>
      </c>
      <c r="EV26" s="101">
        <v>20</v>
      </c>
      <c r="EW26" s="101"/>
      <c r="EX26" s="101">
        <v>20</v>
      </c>
      <c r="EY26" s="101"/>
      <c r="EZ26" s="101">
        <v>20</v>
      </c>
      <c r="FA26" s="101">
        <v>20</v>
      </c>
      <c r="FB26" s="101">
        <v>20</v>
      </c>
      <c r="FC26" s="101">
        <v>20</v>
      </c>
      <c r="FD26" s="101"/>
      <c r="FE26" s="101"/>
      <c r="FF26" s="101"/>
      <c r="FG26" s="101"/>
      <c r="FH26" s="101"/>
      <c r="FI26" s="101"/>
      <c r="FJ26" s="101"/>
      <c r="FK26" s="101"/>
      <c r="FL26" s="101"/>
      <c r="FM26" s="101"/>
      <c r="FN26" s="101">
        <v>20</v>
      </c>
      <c r="FO26" s="101">
        <v>20</v>
      </c>
      <c r="FP26" s="101">
        <v>20</v>
      </c>
      <c r="FQ26" s="101">
        <v>20</v>
      </c>
      <c r="FR26" s="101"/>
      <c r="FS26" s="101">
        <v>20</v>
      </c>
      <c r="FT26" s="101">
        <v>20</v>
      </c>
      <c r="FU26" s="101">
        <v>20</v>
      </c>
      <c r="FV26" s="101"/>
      <c r="FW26" s="101">
        <v>20</v>
      </c>
      <c r="FX26" s="101">
        <v>20</v>
      </c>
      <c r="FY26" s="101"/>
      <c r="FZ26" s="101">
        <v>20</v>
      </c>
      <c r="GA26" s="101">
        <v>20</v>
      </c>
      <c r="GB26" s="101"/>
      <c r="GC26" s="101"/>
      <c r="GD26" s="101"/>
      <c r="GE26" s="101"/>
      <c r="GF26" s="101"/>
      <c r="GG26" s="101">
        <v>12</v>
      </c>
      <c r="GH26" s="101">
        <v>40</v>
      </c>
      <c r="GI26" s="101">
        <v>40</v>
      </c>
      <c r="GJ26" s="101">
        <v>40</v>
      </c>
      <c r="GK26" s="101">
        <v>60</v>
      </c>
      <c r="GL26" s="101">
        <v>60</v>
      </c>
      <c r="GM26" s="101"/>
      <c r="GN26" s="101">
        <v>60</v>
      </c>
      <c r="GO26" s="101">
        <v>60</v>
      </c>
      <c r="GP26" s="101">
        <v>40</v>
      </c>
      <c r="GQ26" s="101">
        <v>40</v>
      </c>
      <c r="GR26" s="101">
        <v>40</v>
      </c>
      <c r="GS26" s="101">
        <v>20</v>
      </c>
      <c r="GT26" s="101"/>
      <c r="GU26" s="101">
        <v>40</v>
      </c>
      <c r="GV26" s="101">
        <v>28</v>
      </c>
      <c r="GW26" s="101">
        <v>20</v>
      </c>
      <c r="GX26" s="101">
        <v>20</v>
      </c>
      <c r="GY26" s="101"/>
      <c r="GZ26" s="101"/>
      <c r="HA26" s="101"/>
      <c r="HB26" s="101"/>
      <c r="HC26" s="101"/>
      <c r="HD26" s="101"/>
      <c r="HE26" s="101">
        <v>20</v>
      </c>
      <c r="HF26" s="101">
        <v>20</v>
      </c>
      <c r="HG26" s="101">
        <v>20</v>
      </c>
      <c r="HH26" s="101"/>
      <c r="HI26" s="101">
        <v>20</v>
      </c>
      <c r="HJ26" s="101">
        <v>40</v>
      </c>
      <c r="HK26" s="101">
        <v>40</v>
      </c>
      <c r="HL26" s="101">
        <v>40</v>
      </c>
      <c r="HM26" s="101">
        <v>20</v>
      </c>
      <c r="HN26" s="101">
        <v>20</v>
      </c>
      <c r="HO26" s="101"/>
      <c r="HP26" s="101">
        <v>40</v>
      </c>
      <c r="HQ26" s="101">
        <v>40</v>
      </c>
      <c r="HR26" s="101">
        <v>20</v>
      </c>
      <c r="HS26" s="101">
        <v>40</v>
      </c>
      <c r="HT26" s="101">
        <v>40</v>
      </c>
      <c r="HU26" s="101">
        <v>40</v>
      </c>
      <c r="HV26" s="101"/>
      <c r="HW26" s="101"/>
      <c r="HX26" s="101"/>
      <c r="HY26" s="101"/>
      <c r="HZ26" s="101"/>
      <c r="IA26" s="101">
        <v>40</v>
      </c>
      <c r="IB26" s="101">
        <v>20</v>
      </c>
      <c r="IC26" s="101"/>
      <c r="ID26" s="101">
        <v>20</v>
      </c>
      <c r="IE26" s="101">
        <v>20</v>
      </c>
      <c r="IF26" s="101">
        <v>28</v>
      </c>
      <c r="IG26" s="101">
        <v>48</v>
      </c>
      <c r="IH26" s="101">
        <v>48</v>
      </c>
      <c r="II26" s="101">
        <v>48</v>
      </c>
      <c r="IJ26" s="101"/>
      <c r="IK26" s="101">
        <v>48</v>
      </c>
      <c r="IL26" s="101">
        <v>28</v>
      </c>
      <c r="IM26" s="101">
        <v>46</v>
      </c>
      <c r="IN26" s="101">
        <v>58</v>
      </c>
      <c r="IO26" s="101">
        <v>38</v>
      </c>
      <c r="IP26" s="101">
        <v>38</v>
      </c>
      <c r="IQ26" s="101"/>
      <c r="IR26" s="101">
        <v>30</v>
      </c>
      <c r="IS26" s="101">
        <v>30</v>
      </c>
      <c r="IT26" s="101">
        <v>50</v>
      </c>
      <c r="IU26" s="101">
        <v>50</v>
      </c>
      <c r="IV26" s="101">
        <v>62</v>
      </c>
      <c r="IW26" s="101">
        <v>70</v>
      </c>
      <c r="IX26" s="101"/>
      <c r="IY26" s="101">
        <v>70</v>
      </c>
      <c r="IZ26" s="101">
        <v>70</v>
      </c>
      <c r="JA26" s="101">
        <v>70</v>
      </c>
      <c r="JB26" s="101">
        <v>70</v>
      </c>
      <c r="JC26" s="101">
        <v>70</v>
      </c>
      <c r="JD26" s="101">
        <v>110</v>
      </c>
      <c r="JE26" s="101"/>
      <c r="JF26" s="101">
        <v>120</v>
      </c>
      <c r="JG26" s="101">
        <v>108</v>
      </c>
      <c r="JH26" s="101">
        <v>108</v>
      </c>
      <c r="JI26" s="101">
        <v>108</v>
      </c>
      <c r="JJ26" s="101">
        <v>108</v>
      </c>
      <c r="JK26" s="101">
        <v>88</v>
      </c>
      <c r="JL26" s="101"/>
      <c r="JM26" s="101">
        <v>68</v>
      </c>
      <c r="JN26" s="101">
        <v>68</v>
      </c>
      <c r="JO26" s="101">
        <v>56</v>
      </c>
      <c r="JP26" s="101">
        <v>56</v>
      </c>
      <c r="JQ26" s="101">
        <v>78</v>
      </c>
      <c r="JR26" s="101">
        <v>78</v>
      </c>
      <c r="JS26" s="101"/>
      <c r="JT26" s="101">
        <v>78</v>
      </c>
      <c r="JU26" s="101">
        <v>126</v>
      </c>
      <c r="JV26" s="101">
        <v>106</v>
      </c>
      <c r="JW26" s="101">
        <v>86</v>
      </c>
      <c r="JX26" s="101">
        <v>91</v>
      </c>
      <c r="JY26" s="101">
        <v>98</v>
      </c>
      <c r="JZ26" s="101"/>
      <c r="KA26" s="101">
        <v>98</v>
      </c>
      <c r="KB26" s="101">
        <v>98</v>
      </c>
      <c r="KC26" s="101">
        <v>130</v>
      </c>
      <c r="KD26" s="101">
        <v>130</v>
      </c>
      <c r="KE26" s="101">
        <v>130</v>
      </c>
      <c r="KF26" s="101">
        <v>122</v>
      </c>
      <c r="KG26" s="101"/>
      <c r="KH26" s="101">
        <v>122</v>
      </c>
      <c r="KI26" s="101">
        <v>102</v>
      </c>
      <c r="KJ26" s="101">
        <v>82</v>
      </c>
      <c r="KK26" s="101">
        <v>85</v>
      </c>
      <c r="KL26" s="101"/>
      <c r="KM26" s="101"/>
      <c r="KN26" s="101"/>
      <c r="KO26" s="101"/>
      <c r="KP26" s="101"/>
      <c r="KQ26" s="101"/>
      <c r="KR26" s="101">
        <v>85</v>
      </c>
      <c r="KS26" s="101">
        <v>78</v>
      </c>
      <c r="KT26" s="101">
        <v>98</v>
      </c>
      <c r="KU26" s="101"/>
      <c r="KV26" s="101">
        <v>92</v>
      </c>
      <c r="KW26" s="101">
        <v>82</v>
      </c>
      <c r="KX26" s="101">
        <v>74</v>
      </c>
      <c r="KY26" s="101">
        <v>82</v>
      </c>
      <c r="KZ26" s="101">
        <v>90</v>
      </c>
      <c r="LA26" s="101">
        <v>90</v>
      </c>
      <c r="LB26" s="101"/>
      <c r="LC26" s="101">
        <v>107</v>
      </c>
      <c r="LD26" s="101">
        <v>107</v>
      </c>
      <c r="LE26" s="101">
        <v>149</v>
      </c>
      <c r="LF26" s="101">
        <v>191</v>
      </c>
      <c r="LG26" s="101">
        <v>199</v>
      </c>
      <c r="LH26" s="101">
        <v>211</v>
      </c>
      <c r="LI26" s="101"/>
      <c r="LJ26" s="101">
        <v>211</v>
      </c>
      <c r="LK26" s="101">
        <v>221</v>
      </c>
      <c r="LL26" s="101">
        <v>245</v>
      </c>
      <c r="LM26" s="101">
        <v>245</v>
      </c>
      <c r="LN26" s="101">
        <v>249</v>
      </c>
      <c r="LO26" s="101">
        <v>251</v>
      </c>
      <c r="LP26" s="101"/>
      <c r="LQ26" s="101">
        <v>257</v>
      </c>
      <c r="LR26" s="101">
        <v>289</v>
      </c>
      <c r="LS26" s="101">
        <v>293</v>
      </c>
      <c r="LT26" s="101">
        <v>293</v>
      </c>
      <c r="LU26" s="101">
        <v>287</v>
      </c>
      <c r="LV26" s="101">
        <v>241</v>
      </c>
      <c r="LW26" s="101"/>
      <c r="LX26" s="101">
        <v>235</v>
      </c>
      <c r="LY26" s="101">
        <v>241</v>
      </c>
      <c r="LZ26" s="101">
        <v>237</v>
      </c>
      <c r="MA26" s="101">
        <v>250</v>
      </c>
      <c r="MB26" s="101">
        <v>262</v>
      </c>
      <c r="MC26" s="101">
        <v>263</v>
      </c>
      <c r="MD26" s="101"/>
      <c r="ME26" s="101">
        <v>292</v>
      </c>
      <c r="MF26" s="101">
        <v>343</v>
      </c>
      <c r="MG26" s="101">
        <v>327</v>
      </c>
      <c r="MH26" s="101">
        <v>319</v>
      </c>
      <c r="MI26" s="101">
        <v>275</v>
      </c>
      <c r="MJ26" s="101">
        <v>275</v>
      </c>
      <c r="MK26" s="101"/>
      <c r="ML26" s="101">
        <v>275</v>
      </c>
      <c r="MM26" s="101">
        <v>278</v>
      </c>
      <c r="MN26" s="101">
        <v>263</v>
      </c>
      <c r="MO26" s="101">
        <v>270</v>
      </c>
      <c r="MP26" s="101">
        <v>268</v>
      </c>
      <c r="MQ26" s="101">
        <v>280</v>
      </c>
      <c r="MR26" s="101"/>
      <c r="MS26" s="101">
        <v>274</v>
      </c>
      <c r="MT26" s="101">
        <v>265</v>
      </c>
      <c r="MU26" s="101">
        <v>237</v>
      </c>
      <c r="MV26" s="101">
        <v>255</v>
      </c>
      <c r="MW26" s="101">
        <v>222</v>
      </c>
      <c r="MX26" s="101">
        <v>233</v>
      </c>
      <c r="MY26" s="101"/>
      <c r="MZ26" s="101">
        <v>244</v>
      </c>
      <c r="NA26" s="101">
        <v>261</v>
      </c>
      <c r="NB26" s="101">
        <v>267</v>
      </c>
      <c r="NC26" s="101">
        <v>267</v>
      </c>
      <c r="ND26" s="101">
        <v>284</v>
      </c>
      <c r="NE26" s="101">
        <v>309</v>
      </c>
      <c r="NF26" s="101"/>
      <c r="NG26" s="101">
        <v>302</v>
      </c>
      <c r="NH26" s="101">
        <v>310</v>
      </c>
      <c r="NI26" s="101">
        <v>313</v>
      </c>
      <c r="NJ26" s="101">
        <v>317</v>
      </c>
      <c r="NK26" s="101">
        <v>327</v>
      </c>
      <c r="NL26" s="101">
        <v>358</v>
      </c>
      <c r="NM26" s="101">
        <v>10</v>
      </c>
      <c r="NN26" s="101">
        <v>349</v>
      </c>
      <c r="NO26" s="101">
        <v>343</v>
      </c>
      <c r="NP26" s="101">
        <v>353</v>
      </c>
      <c r="NQ26" s="101">
        <v>357</v>
      </c>
      <c r="NR26" s="101">
        <v>415</v>
      </c>
      <c r="NS26" s="101">
        <v>397</v>
      </c>
      <c r="NT26" s="101"/>
      <c r="NU26" s="101">
        <v>403</v>
      </c>
      <c r="NV26" s="101">
        <v>395</v>
      </c>
      <c r="NW26" s="101">
        <v>382</v>
      </c>
      <c r="NX26" s="101">
        <v>379</v>
      </c>
      <c r="NY26" s="101">
        <v>372</v>
      </c>
      <c r="NZ26" s="101">
        <v>354</v>
      </c>
      <c r="OA26" s="101"/>
      <c r="OB26" s="101">
        <v>374</v>
      </c>
      <c r="OC26" s="101">
        <v>419</v>
      </c>
      <c r="OD26" s="101">
        <v>443</v>
      </c>
      <c r="OE26" s="101">
        <v>481</v>
      </c>
      <c r="OF26" s="101">
        <v>483</v>
      </c>
      <c r="OG26" s="101">
        <v>479</v>
      </c>
      <c r="OH26" s="101"/>
      <c r="OI26" s="101">
        <v>515</v>
      </c>
      <c r="OJ26" s="101">
        <v>472</v>
      </c>
      <c r="OK26" s="101">
        <v>446</v>
      </c>
      <c r="OL26" s="101">
        <v>459</v>
      </c>
      <c r="OM26" s="101">
        <v>471</v>
      </c>
      <c r="ON26" s="101">
        <v>489</v>
      </c>
      <c r="OO26" s="101">
        <v>24</v>
      </c>
      <c r="OP26" s="101">
        <v>524</v>
      </c>
      <c r="OQ26" s="101">
        <v>532</v>
      </c>
      <c r="OR26" s="101">
        <v>530</v>
      </c>
      <c r="OS26" s="101">
        <v>502</v>
      </c>
      <c r="OT26" s="101">
        <v>481</v>
      </c>
      <c r="OU26" s="101">
        <v>436</v>
      </c>
      <c r="OV26" s="101">
        <v>26</v>
      </c>
      <c r="OW26" s="101">
        <v>447</v>
      </c>
      <c r="OX26" s="101">
        <v>466</v>
      </c>
      <c r="OY26" s="101">
        <v>493</v>
      </c>
      <c r="OZ26" s="101">
        <v>440</v>
      </c>
      <c r="PA26" s="101">
        <v>481</v>
      </c>
      <c r="PB26" s="101">
        <v>537</v>
      </c>
      <c r="PC26" s="101"/>
      <c r="PD26" s="101">
        <v>523</v>
      </c>
      <c r="PE26" s="101">
        <v>517</v>
      </c>
      <c r="PF26" s="101">
        <v>507</v>
      </c>
      <c r="PG26" s="101">
        <v>489</v>
      </c>
      <c r="PH26" s="101">
        <v>525</v>
      </c>
      <c r="PI26" s="101">
        <v>553</v>
      </c>
      <c r="PJ26" s="101">
        <v>34</v>
      </c>
      <c r="PK26" s="101">
        <v>576</v>
      </c>
      <c r="PL26" s="101">
        <v>573</v>
      </c>
      <c r="PM26" s="101">
        <v>528</v>
      </c>
      <c r="PN26" s="101">
        <v>542</v>
      </c>
      <c r="PO26" s="101">
        <v>494</v>
      </c>
      <c r="PP26" s="101">
        <v>488</v>
      </c>
      <c r="PQ26" s="101">
        <v>26</v>
      </c>
      <c r="PR26" s="101">
        <v>501</v>
      </c>
      <c r="PS26" s="101">
        <v>488</v>
      </c>
      <c r="PT26" s="101">
        <v>490</v>
      </c>
      <c r="PU26" s="101">
        <v>496</v>
      </c>
      <c r="PV26" s="101">
        <v>540</v>
      </c>
      <c r="PW26" s="101">
        <v>518</v>
      </c>
      <c r="PX26" s="101"/>
      <c r="PY26" s="101">
        <v>490</v>
      </c>
      <c r="PZ26" s="101">
        <v>410</v>
      </c>
      <c r="QA26" s="101">
        <v>406</v>
      </c>
      <c r="QB26" s="101">
        <v>414</v>
      </c>
      <c r="QC26" s="101">
        <v>429</v>
      </c>
      <c r="QD26" s="101">
        <v>503</v>
      </c>
      <c r="QE26" s="101">
        <v>20</v>
      </c>
      <c r="QF26" s="101">
        <v>493</v>
      </c>
      <c r="QG26" s="101">
        <v>473</v>
      </c>
      <c r="QH26" s="101">
        <v>472</v>
      </c>
      <c r="QI26" s="101">
        <v>500</v>
      </c>
      <c r="QJ26" s="101">
        <v>562</v>
      </c>
      <c r="QK26" s="101">
        <v>575</v>
      </c>
      <c r="QL26" s="101">
        <v>45</v>
      </c>
      <c r="QM26" s="101">
        <v>569</v>
      </c>
      <c r="QN26" s="101">
        <v>562</v>
      </c>
      <c r="QO26" s="101">
        <v>563</v>
      </c>
      <c r="QP26" s="101">
        <v>602</v>
      </c>
      <c r="QQ26" s="101">
        <v>604</v>
      </c>
      <c r="QR26" s="101">
        <v>612</v>
      </c>
      <c r="QS26" s="101">
        <v>35</v>
      </c>
      <c r="QT26" s="101">
        <v>565</v>
      </c>
      <c r="QU26" s="101">
        <v>559</v>
      </c>
      <c r="QV26" s="101">
        <v>516</v>
      </c>
      <c r="QW26" s="101">
        <v>493</v>
      </c>
      <c r="QX26" s="101">
        <v>501</v>
      </c>
      <c r="QY26" s="101">
        <v>485</v>
      </c>
      <c r="QZ26" s="101">
        <v>11</v>
      </c>
      <c r="RA26" s="101">
        <v>440</v>
      </c>
      <c r="RB26" s="101">
        <v>378</v>
      </c>
      <c r="RC26" s="101">
        <v>375</v>
      </c>
      <c r="RD26" s="101">
        <v>371</v>
      </c>
      <c r="RE26" s="101">
        <v>325</v>
      </c>
      <c r="RF26" s="101">
        <v>344</v>
      </c>
      <c r="RG26" s="101"/>
      <c r="RH26" s="101">
        <v>305</v>
      </c>
      <c r="RI26" s="101">
        <v>260</v>
      </c>
      <c r="RJ26" s="101">
        <v>280</v>
      </c>
      <c r="RK26" s="101">
        <v>297</v>
      </c>
      <c r="RL26" s="101">
        <v>280</v>
      </c>
      <c r="RM26" s="101">
        <v>260</v>
      </c>
      <c r="RN26" s="101">
        <v>11</v>
      </c>
      <c r="RO26" s="101">
        <v>248</v>
      </c>
      <c r="RP26" s="101">
        <v>244</v>
      </c>
      <c r="RQ26" s="101">
        <v>258</v>
      </c>
      <c r="RR26" s="101">
        <v>282</v>
      </c>
      <c r="RS26" s="101">
        <v>245</v>
      </c>
      <c r="RT26" s="101">
        <v>210</v>
      </c>
      <c r="RU26" s="101">
        <v>10</v>
      </c>
      <c r="RV26" s="101">
        <v>218</v>
      </c>
      <c r="RW26" s="101">
        <v>258</v>
      </c>
      <c r="RX26" s="101">
        <v>271</v>
      </c>
      <c r="RY26" s="101">
        <v>260</v>
      </c>
      <c r="RZ26" s="101">
        <v>260</v>
      </c>
      <c r="SA26" s="101">
        <v>230</v>
      </c>
      <c r="SB26" s="101">
        <v>10</v>
      </c>
      <c r="SC26" s="101">
        <v>230</v>
      </c>
      <c r="SD26" s="101">
        <v>270</v>
      </c>
      <c r="SE26" s="101">
        <v>270</v>
      </c>
      <c r="SF26" s="101">
        <v>310</v>
      </c>
      <c r="SG26" s="101">
        <v>330</v>
      </c>
      <c r="SH26" s="101">
        <v>330</v>
      </c>
      <c r="SI26" s="101">
        <v>20</v>
      </c>
      <c r="SJ26" s="101">
        <v>314</v>
      </c>
      <c r="SK26" s="101">
        <v>320</v>
      </c>
      <c r="SL26" s="101">
        <v>340</v>
      </c>
      <c r="SM26" s="101">
        <v>310</v>
      </c>
      <c r="SN26" s="101">
        <v>260</v>
      </c>
      <c r="SO26" s="101">
        <v>256</v>
      </c>
      <c r="SP26" s="101">
        <v>10</v>
      </c>
      <c r="SQ26" s="101">
        <v>260</v>
      </c>
      <c r="SR26" s="101">
        <v>292</v>
      </c>
      <c r="SS26" s="101">
        <v>312</v>
      </c>
      <c r="ST26" s="101">
        <v>292</v>
      </c>
      <c r="SU26" s="101">
        <v>258</v>
      </c>
      <c r="SV26" s="101">
        <v>292</v>
      </c>
      <c r="SW26" s="101">
        <v>20</v>
      </c>
      <c r="SX26" s="101">
        <v>312</v>
      </c>
      <c r="SY26" s="101">
        <v>282</v>
      </c>
      <c r="SZ26" s="101">
        <v>282</v>
      </c>
      <c r="TA26" s="101">
        <v>282</v>
      </c>
      <c r="TB26" s="101">
        <v>282</v>
      </c>
      <c r="TC26" s="101">
        <v>304</v>
      </c>
      <c r="TD26" s="101">
        <v>40</v>
      </c>
      <c r="TE26" s="101">
        <v>340</v>
      </c>
      <c r="TF26" s="101">
        <v>320</v>
      </c>
      <c r="TG26" s="101">
        <v>300</v>
      </c>
      <c r="TH26" s="101">
        <v>260</v>
      </c>
      <c r="TI26" s="101">
        <v>318</v>
      </c>
      <c r="TJ26" s="101">
        <v>348</v>
      </c>
      <c r="TK26" s="101">
        <v>20</v>
      </c>
      <c r="TL26" s="101">
        <v>348</v>
      </c>
      <c r="TM26" s="101">
        <v>346</v>
      </c>
      <c r="TN26" s="101">
        <v>338</v>
      </c>
      <c r="TO26" s="101">
        <v>406</v>
      </c>
      <c r="TP26" s="101">
        <v>450</v>
      </c>
      <c r="TQ26" s="101">
        <v>456</v>
      </c>
      <c r="TR26" s="101">
        <v>20</v>
      </c>
      <c r="TS26" s="101">
        <v>436</v>
      </c>
      <c r="TT26" s="101">
        <v>436</v>
      </c>
      <c r="TU26" s="101">
        <v>378</v>
      </c>
      <c r="TV26" s="101">
        <v>378</v>
      </c>
      <c r="TW26" s="101">
        <v>378</v>
      </c>
      <c r="TX26" s="101">
        <v>378</v>
      </c>
      <c r="TY26" s="101">
        <v>20</v>
      </c>
      <c r="TZ26" s="101">
        <v>378</v>
      </c>
      <c r="UA26" s="101">
        <v>298</v>
      </c>
      <c r="UB26" s="101">
        <v>228</v>
      </c>
      <c r="UC26" s="101">
        <v>228</v>
      </c>
      <c r="UD26" s="101">
        <v>206</v>
      </c>
      <c r="UE26" s="101">
        <v>198</v>
      </c>
      <c r="UF26" s="101"/>
      <c r="UG26" s="101">
        <v>160</v>
      </c>
      <c r="UH26" s="101">
        <v>136</v>
      </c>
      <c r="UI26" s="101">
        <v>130</v>
      </c>
      <c r="UJ26" s="101">
        <v>128</v>
      </c>
      <c r="UK26" s="101">
        <v>120</v>
      </c>
      <c r="UL26" s="101">
        <v>120</v>
      </c>
      <c r="UM26" s="101"/>
      <c r="UN26" s="101">
        <v>100</v>
      </c>
      <c r="UO26" s="101">
        <v>100</v>
      </c>
      <c r="UP26" s="101">
        <v>100</v>
      </c>
      <c r="UQ26" s="101">
        <v>100</v>
      </c>
      <c r="UR26" s="101">
        <v>76</v>
      </c>
      <c r="US26" s="101">
        <v>60</v>
      </c>
      <c r="UT26" s="101"/>
      <c r="UU26" s="101">
        <v>60</v>
      </c>
      <c r="UV26" s="101">
        <v>60</v>
      </c>
      <c r="UW26" s="101">
        <v>60</v>
      </c>
      <c r="UX26" s="101">
        <v>60</v>
      </c>
      <c r="UY26" s="101">
        <v>56</v>
      </c>
      <c r="UZ26" s="101">
        <v>40</v>
      </c>
      <c r="VA26" s="101"/>
      <c r="VB26" s="101">
        <v>40</v>
      </c>
      <c r="VC26" s="101">
        <v>40</v>
      </c>
      <c r="VD26" s="101">
        <v>40</v>
      </c>
      <c r="VE26" s="101">
        <v>40</v>
      </c>
      <c r="VF26" s="101">
        <v>40</v>
      </c>
      <c r="VG26" s="101">
        <v>36</v>
      </c>
      <c r="VH26" s="101"/>
      <c r="VI26" s="101">
        <v>20</v>
      </c>
      <c r="VJ26" s="101">
        <v>20</v>
      </c>
      <c r="VK26" s="101">
        <v>20</v>
      </c>
      <c r="VL26" s="101">
        <v>20</v>
      </c>
      <c r="VM26" s="101">
        <v>20</v>
      </c>
      <c r="VN26" s="101"/>
      <c r="VO26" s="101"/>
      <c r="VP26" s="101"/>
      <c r="VQ26" s="101"/>
      <c r="VR26" s="101"/>
      <c r="VS26" s="101">
        <v>20</v>
      </c>
      <c r="VT26" s="101">
        <v>20</v>
      </c>
      <c r="VU26" s="101">
        <v>20</v>
      </c>
      <c r="VV26" s="101"/>
      <c r="VW26" s="101">
        <v>20</v>
      </c>
      <c r="VX26" s="101">
        <v>16</v>
      </c>
      <c r="VY26" s="101"/>
      <c r="VZ26" s="101"/>
      <c r="WA26" s="101"/>
      <c r="WB26" s="101"/>
      <c r="WC26" s="101"/>
      <c r="WD26" s="101"/>
      <c r="WE26" s="101"/>
      <c r="WF26" s="101"/>
      <c r="WG26" s="101"/>
      <c r="WH26" s="101"/>
      <c r="WI26" s="101"/>
      <c r="WJ26" s="101"/>
      <c r="WK26" s="101"/>
      <c r="WL26" s="101"/>
      <c r="WM26" s="101"/>
      <c r="WN26" s="101"/>
      <c r="WO26" s="101"/>
      <c r="WP26" s="101"/>
      <c r="WQ26" s="101"/>
      <c r="WR26" s="101"/>
      <c r="WS26" s="101"/>
      <c r="WT26" s="101"/>
      <c r="WU26" s="101"/>
      <c r="WV26" s="101"/>
      <c r="WW26" s="101"/>
      <c r="WX26" s="101"/>
      <c r="WY26" s="101"/>
      <c r="WZ26" s="101"/>
      <c r="XA26" s="101"/>
      <c r="XB26" s="101"/>
      <c r="XC26" s="101"/>
      <c r="XD26" s="101"/>
      <c r="XE26" s="101"/>
      <c r="XF26" s="101"/>
      <c r="XG26" s="101"/>
      <c r="XH26" s="101"/>
      <c r="XI26" s="101"/>
      <c r="XJ26" s="101"/>
      <c r="XK26" s="101"/>
      <c r="XL26" s="101"/>
      <c r="XM26" s="101"/>
      <c r="XN26" s="101"/>
      <c r="XO26" s="101"/>
      <c r="XP26" s="101"/>
      <c r="XQ26" s="101"/>
      <c r="XR26" s="101"/>
      <c r="XS26" s="101"/>
      <c r="XT26" s="101"/>
      <c r="XU26" s="101"/>
      <c r="XV26" s="101"/>
      <c r="XW26" s="101"/>
      <c r="XX26" s="101"/>
      <c r="XY26" s="101"/>
      <c r="XZ26" s="101"/>
      <c r="YA26" s="101"/>
      <c r="YB26" s="101"/>
      <c r="YC26" s="101"/>
      <c r="YD26" s="101"/>
      <c r="YE26" s="101"/>
      <c r="YF26" s="101"/>
      <c r="YG26" s="101"/>
      <c r="YH26" s="101"/>
      <c r="YI26" s="101"/>
      <c r="YJ26" s="101"/>
      <c r="YK26" s="101"/>
      <c r="YL26" s="101"/>
      <c r="YM26" s="101"/>
      <c r="YN26" s="101"/>
      <c r="YO26" s="101"/>
      <c r="YP26" s="101"/>
      <c r="YQ26" s="101"/>
      <c r="YR26" s="101"/>
      <c r="YS26" s="101"/>
      <c r="YT26" s="101"/>
      <c r="YU26" s="101"/>
      <c r="YV26" s="101"/>
      <c r="YW26" s="101"/>
      <c r="YX26" s="101"/>
      <c r="YY26" s="101"/>
      <c r="YZ26" s="101"/>
      <c r="ZA26" s="101"/>
      <c r="ZB26" s="101"/>
      <c r="ZC26" s="101"/>
      <c r="ZD26" s="101"/>
      <c r="ZE26" s="101"/>
      <c r="ZF26" s="101"/>
      <c r="ZG26" s="101"/>
      <c r="ZH26" s="101"/>
    </row>
    <row r="27" spans="1:684">
      <c r="A27" s="75" t="s">
        <v>65</v>
      </c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  <c r="BR27" s="101"/>
      <c r="BS27" s="101"/>
      <c r="BT27" s="101"/>
      <c r="BU27" s="101"/>
      <c r="BV27" s="101"/>
      <c r="BW27" s="101"/>
      <c r="BX27" s="101"/>
      <c r="BY27" s="101"/>
      <c r="BZ27" s="101"/>
      <c r="CA27" s="101"/>
      <c r="CB27" s="101"/>
      <c r="CC27" s="101"/>
      <c r="CD27" s="101"/>
      <c r="CE27" s="101"/>
      <c r="CF27" s="101"/>
      <c r="CG27" s="101"/>
      <c r="CH27" s="101"/>
      <c r="CI27" s="101"/>
      <c r="CJ27" s="101"/>
      <c r="CK27" s="101"/>
      <c r="CL27" s="101"/>
      <c r="CM27" s="101"/>
      <c r="CN27" s="101"/>
      <c r="CO27" s="101"/>
      <c r="CP27" s="101"/>
      <c r="CQ27" s="101">
        <v>2</v>
      </c>
      <c r="CR27" s="101">
        <v>2</v>
      </c>
      <c r="CS27" s="101"/>
      <c r="CT27" s="101">
        <v>2</v>
      </c>
      <c r="CU27" s="101">
        <v>2</v>
      </c>
      <c r="CV27" s="101">
        <v>2</v>
      </c>
      <c r="CW27" s="101">
        <v>4</v>
      </c>
      <c r="CX27" s="101">
        <v>4</v>
      </c>
      <c r="CY27" s="101">
        <v>4</v>
      </c>
      <c r="CZ27" s="101"/>
      <c r="DA27" s="101">
        <v>4</v>
      </c>
      <c r="DB27" s="101">
        <v>4</v>
      </c>
      <c r="DC27" s="101">
        <v>4</v>
      </c>
      <c r="DD27" s="101">
        <v>4</v>
      </c>
      <c r="DE27" s="101">
        <v>4</v>
      </c>
      <c r="DF27" s="101">
        <v>4</v>
      </c>
      <c r="DG27" s="101"/>
      <c r="DH27" s="101">
        <v>4</v>
      </c>
      <c r="DI27" s="101"/>
      <c r="DJ27" s="101"/>
      <c r="DK27" s="101"/>
      <c r="DL27" s="101"/>
      <c r="DM27" s="101"/>
      <c r="DN27" s="101"/>
      <c r="DO27" s="101"/>
      <c r="DP27" s="101"/>
      <c r="DQ27" s="101"/>
      <c r="DR27" s="101"/>
      <c r="DS27" s="101"/>
      <c r="DT27" s="101"/>
      <c r="DU27" s="101"/>
      <c r="DV27" s="101"/>
      <c r="DW27" s="101"/>
      <c r="DX27" s="101"/>
      <c r="DY27" s="101"/>
      <c r="DZ27" s="101"/>
      <c r="EA27" s="101"/>
      <c r="EB27" s="101"/>
      <c r="EC27" s="101"/>
      <c r="ED27" s="101">
        <v>10</v>
      </c>
      <c r="EE27" s="101">
        <v>10</v>
      </c>
      <c r="EF27" s="101">
        <v>12</v>
      </c>
      <c r="EG27" s="101">
        <v>12</v>
      </c>
      <c r="EH27" s="101">
        <v>12</v>
      </c>
      <c r="EI27" s="101"/>
      <c r="EJ27" s="101">
        <v>12</v>
      </c>
      <c r="EK27" s="101">
        <v>12</v>
      </c>
      <c r="EL27" s="101">
        <v>12</v>
      </c>
      <c r="EM27" s="101">
        <v>12</v>
      </c>
      <c r="EN27" s="101">
        <v>12</v>
      </c>
      <c r="EO27" s="101">
        <v>12</v>
      </c>
      <c r="EP27" s="101"/>
      <c r="EQ27" s="101">
        <v>12</v>
      </c>
      <c r="ER27" s="101">
        <v>12</v>
      </c>
      <c r="ES27" s="101">
        <v>12</v>
      </c>
      <c r="ET27" s="101">
        <v>12</v>
      </c>
      <c r="EU27" s="101">
        <v>2</v>
      </c>
      <c r="EV27" s="101">
        <v>2</v>
      </c>
      <c r="EW27" s="101"/>
      <c r="EX27" s="101"/>
      <c r="EY27" s="101"/>
      <c r="EZ27" s="101"/>
      <c r="FA27" s="101"/>
      <c r="FB27" s="101"/>
      <c r="FC27" s="101"/>
      <c r="FD27" s="101"/>
      <c r="FE27" s="101"/>
      <c r="FF27" s="101"/>
      <c r="FG27" s="101"/>
      <c r="FH27" s="101"/>
      <c r="FI27" s="101"/>
      <c r="FJ27" s="101"/>
      <c r="FK27" s="101"/>
      <c r="FL27" s="101"/>
      <c r="FM27" s="101"/>
      <c r="FN27" s="101"/>
      <c r="FO27" s="101"/>
      <c r="FP27" s="101"/>
      <c r="FQ27" s="101"/>
      <c r="FR27" s="101"/>
      <c r="FS27" s="101"/>
      <c r="FT27" s="101"/>
      <c r="FU27" s="101"/>
      <c r="FV27" s="101"/>
      <c r="FW27" s="101"/>
      <c r="FX27" s="101"/>
      <c r="FY27" s="101"/>
      <c r="FZ27" s="101"/>
      <c r="GA27" s="101"/>
      <c r="GB27" s="101"/>
      <c r="GC27" s="101"/>
      <c r="GD27" s="101"/>
      <c r="GE27" s="101"/>
      <c r="GF27" s="101"/>
      <c r="GG27" s="101"/>
      <c r="GH27" s="101"/>
      <c r="GI27" s="101"/>
      <c r="GJ27" s="101"/>
      <c r="GK27" s="101"/>
      <c r="GL27" s="101"/>
      <c r="GM27" s="101"/>
      <c r="GN27" s="101"/>
      <c r="GO27" s="101"/>
      <c r="GP27" s="101"/>
      <c r="GQ27" s="101"/>
      <c r="GR27" s="101"/>
      <c r="GS27" s="101"/>
      <c r="GT27" s="101"/>
      <c r="GU27" s="101"/>
      <c r="GV27" s="101"/>
      <c r="GW27" s="101"/>
      <c r="GX27" s="101"/>
      <c r="GY27" s="101"/>
      <c r="GZ27" s="101"/>
      <c r="HA27" s="101"/>
      <c r="HB27" s="101"/>
      <c r="HC27" s="101"/>
      <c r="HD27" s="101"/>
      <c r="HE27" s="101"/>
      <c r="HF27" s="101"/>
      <c r="HG27" s="101"/>
      <c r="HH27" s="101"/>
      <c r="HI27" s="101"/>
      <c r="HJ27" s="101"/>
      <c r="HK27" s="101"/>
      <c r="HL27" s="101"/>
      <c r="HM27" s="101"/>
      <c r="HN27" s="101"/>
      <c r="HO27" s="101"/>
      <c r="HP27" s="101">
        <v>10</v>
      </c>
      <c r="HQ27" s="101">
        <v>10</v>
      </c>
      <c r="HR27" s="101">
        <v>10</v>
      </c>
      <c r="HS27" s="101">
        <v>10</v>
      </c>
      <c r="HT27" s="101">
        <v>10</v>
      </c>
      <c r="HU27" s="101">
        <v>20</v>
      </c>
      <c r="HV27" s="101"/>
      <c r="HW27" s="101"/>
      <c r="HX27" s="101"/>
      <c r="HY27" s="101"/>
      <c r="HZ27" s="101"/>
      <c r="IA27" s="101">
        <v>20</v>
      </c>
      <c r="IB27" s="101">
        <v>20</v>
      </c>
      <c r="IC27" s="101"/>
      <c r="ID27" s="101">
        <v>20</v>
      </c>
      <c r="IE27" s="101">
        <v>26</v>
      </c>
      <c r="IF27" s="101">
        <v>30</v>
      </c>
      <c r="IG27" s="101">
        <v>30</v>
      </c>
      <c r="IH27" s="101">
        <v>30</v>
      </c>
      <c r="II27" s="101">
        <v>30</v>
      </c>
      <c r="IJ27" s="101"/>
      <c r="IK27" s="101">
        <v>46</v>
      </c>
      <c r="IL27" s="101">
        <v>40</v>
      </c>
      <c r="IM27" s="101">
        <v>40</v>
      </c>
      <c r="IN27" s="101">
        <v>40</v>
      </c>
      <c r="IO27" s="101">
        <v>40</v>
      </c>
      <c r="IP27" s="101">
        <v>50</v>
      </c>
      <c r="IQ27" s="101"/>
      <c r="IR27" s="101">
        <v>40</v>
      </c>
      <c r="IS27" s="101">
        <v>40</v>
      </c>
      <c r="IT27" s="101">
        <v>50</v>
      </c>
      <c r="IU27" s="101">
        <v>50</v>
      </c>
      <c r="IV27" s="101">
        <v>50</v>
      </c>
      <c r="IW27" s="101">
        <v>50</v>
      </c>
      <c r="IX27" s="101"/>
      <c r="IY27" s="101">
        <v>50</v>
      </c>
      <c r="IZ27" s="101">
        <v>60</v>
      </c>
      <c r="JA27" s="101">
        <v>60</v>
      </c>
      <c r="JB27" s="101">
        <v>50</v>
      </c>
      <c r="JC27" s="101">
        <v>50</v>
      </c>
      <c r="JD27" s="101">
        <v>50</v>
      </c>
      <c r="JE27" s="101"/>
      <c r="JF27" s="101">
        <v>63</v>
      </c>
      <c r="JG27" s="101">
        <v>63</v>
      </c>
      <c r="JH27" s="101">
        <v>53</v>
      </c>
      <c r="JI27" s="101">
        <v>53</v>
      </c>
      <c r="JJ27" s="101">
        <v>53</v>
      </c>
      <c r="JK27" s="101">
        <v>63</v>
      </c>
      <c r="JL27" s="101"/>
      <c r="JM27" s="101">
        <v>63</v>
      </c>
      <c r="JN27" s="101">
        <v>57</v>
      </c>
      <c r="JO27" s="101">
        <v>53</v>
      </c>
      <c r="JP27" s="101">
        <v>53</v>
      </c>
      <c r="JQ27" s="101">
        <v>57</v>
      </c>
      <c r="JR27" s="101">
        <v>57</v>
      </c>
      <c r="JS27" s="101"/>
      <c r="JT27" s="101">
        <v>51</v>
      </c>
      <c r="JU27" s="101">
        <v>47</v>
      </c>
      <c r="JV27" s="101">
        <v>47</v>
      </c>
      <c r="JW27" s="101">
        <v>53</v>
      </c>
      <c r="JX27" s="101">
        <v>53</v>
      </c>
      <c r="JY27" s="101">
        <v>53</v>
      </c>
      <c r="JZ27" s="101"/>
      <c r="KA27" s="101">
        <v>53</v>
      </c>
      <c r="KB27" s="101">
        <v>53</v>
      </c>
      <c r="KC27" s="101">
        <v>47</v>
      </c>
      <c r="KD27" s="101">
        <v>47</v>
      </c>
      <c r="KE27" s="101">
        <v>47</v>
      </c>
      <c r="KF27" s="101">
        <v>47</v>
      </c>
      <c r="KG27" s="101"/>
      <c r="KH27" s="101">
        <v>47</v>
      </c>
      <c r="KI27" s="101">
        <v>53</v>
      </c>
      <c r="KJ27" s="101">
        <v>53</v>
      </c>
      <c r="KK27" s="101">
        <v>53</v>
      </c>
      <c r="KL27" s="101"/>
      <c r="KM27" s="101"/>
      <c r="KN27" s="101"/>
      <c r="KO27" s="101"/>
      <c r="KP27" s="101"/>
      <c r="KQ27" s="101"/>
      <c r="KR27" s="101">
        <v>53</v>
      </c>
      <c r="KS27" s="101">
        <v>53</v>
      </c>
      <c r="KT27" s="101">
        <v>53</v>
      </c>
      <c r="KU27" s="101"/>
      <c r="KV27" s="101">
        <v>72</v>
      </c>
      <c r="KW27" s="101">
        <v>72</v>
      </c>
      <c r="KX27" s="101">
        <v>72</v>
      </c>
      <c r="KY27" s="101">
        <v>72</v>
      </c>
      <c r="KZ27" s="101">
        <v>87</v>
      </c>
      <c r="LA27" s="101">
        <v>87</v>
      </c>
      <c r="LB27" s="101"/>
      <c r="LC27" s="101">
        <v>87</v>
      </c>
      <c r="LD27" s="101">
        <v>87</v>
      </c>
      <c r="LE27" s="101">
        <v>87</v>
      </c>
      <c r="LF27" s="101">
        <v>87</v>
      </c>
      <c r="LG27" s="101">
        <v>91</v>
      </c>
      <c r="LH27" s="101">
        <v>97</v>
      </c>
      <c r="LI27" s="101"/>
      <c r="LJ27" s="101">
        <v>101</v>
      </c>
      <c r="LK27" s="101">
        <v>123</v>
      </c>
      <c r="LL27" s="101">
        <v>115</v>
      </c>
      <c r="LM27" s="101">
        <v>115</v>
      </c>
      <c r="LN27" s="101">
        <v>115</v>
      </c>
      <c r="LO27" s="101">
        <v>115</v>
      </c>
      <c r="LP27" s="101"/>
      <c r="LQ27" s="101">
        <v>96</v>
      </c>
      <c r="LR27" s="101">
        <v>116</v>
      </c>
      <c r="LS27" s="101">
        <v>112</v>
      </c>
      <c r="LT27" s="101">
        <v>115</v>
      </c>
      <c r="LU27" s="101">
        <v>132</v>
      </c>
      <c r="LV27" s="101">
        <v>128</v>
      </c>
      <c r="LW27" s="101">
        <v>4</v>
      </c>
      <c r="LX27" s="101">
        <v>148</v>
      </c>
      <c r="LY27" s="101">
        <v>148</v>
      </c>
      <c r="LZ27" s="101">
        <v>162</v>
      </c>
      <c r="MA27" s="101">
        <v>166</v>
      </c>
      <c r="MB27" s="101">
        <v>166</v>
      </c>
      <c r="MC27" s="101">
        <v>157</v>
      </c>
      <c r="MD27" s="101">
        <v>4</v>
      </c>
      <c r="ME27" s="101">
        <v>155</v>
      </c>
      <c r="MF27" s="101">
        <v>190</v>
      </c>
      <c r="MG27" s="101">
        <v>208</v>
      </c>
      <c r="MH27" s="101">
        <v>208</v>
      </c>
      <c r="MI27" s="101">
        <v>192</v>
      </c>
      <c r="MJ27" s="101">
        <v>222</v>
      </c>
      <c r="MK27" s="101"/>
      <c r="ML27" s="101">
        <v>214</v>
      </c>
      <c r="MM27" s="101">
        <v>232</v>
      </c>
      <c r="MN27" s="101">
        <v>232</v>
      </c>
      <c r="MO27" s="101">
        <v>212</v>
      </c>
      <c r="MP27" s="101">
        <v>193</v>
      </c>
      <c r="MQ27" s="101">
        <v>209</v>
      </c>
      <c r="MR27" s="101"/>
      <c r="MS27" s="101">
        <v>221</v>
      </c>
      <c r="MT27" s="101">
        <v>206</v>
      </c>
      <c r="MU27" s="101">
        <v>234</v>
      </c>
      <c r="MV27" s="101">
        <v>234</v>
      </c>
      <c r="MW27" s="101">
        <v>228</v>
      </c>
      <c r="MX27" s="101">
        <v>234</v>
      </c>
      <c r="MY27" s="101">
        <v>4</v>
      </c>
      <c r="MZ27" s="101">
        <v>234</v>
      </c>
      <c r="NA27" s="101">
        <v>218</v>
      </c>
      <c r="NB27" s="101">
        <v>219</v>
      </c>
      <c r="NC27" s="101">
        <v>218</v>
      </c>
      <c r="ND27" s="101">
        <v>222</v>
      </c>
      <c r="NE27" s="101">
        <v>226</v>
      </c>
      <c r="NF27" s="101">
        <v>8</v>
      </c>
      <c r="NG27" s="101">
        <v>234</v>
      </c>
      <c r="NH27" s="101">
        <v>228</v>
      </c>
      <c r="NI27" s="101">
        <v>228</v>
      </c>
      <c r="NJ27" s="101">
        <v>228</v>
      </c>
      <c r="NK27" s="101">
        <v>228</v>
      </c>
      <c r="NL27" s="101">
        <v>202</v>
      </c>
      <c r="NM27" s="101">
        <v>18</v>
      </c>
      <c r="NN27" s="101">
        <v>202</v>
      </c>
      <c r="NO27" s="101">
        <v>200</v>
      </c>
      <c r="NP27" s="101">
        <v>212</v>
      </c>
      <c r="NQ27" s="101">
        <v>212</v>
      </c>
      <c r="NR27" s="101">
        <v>252</v>
      </c>
      <c r="NS27" s="101">
        <v>242</v>
      </c>
      <c r="NT27" s="101"/>
      <c r="NU27" s="101">
        <v>242</v>
      </c>
      <c r="NV27" s="101">
        <v>243</v>
      </c>
      <c r="NW27" s="101">
        <v>243</v>
      </c>
      <c r="NX27" s="101">
        <v>259</v>
      </c>
      <c r="NY27" s="101">
        <v>263</v>
      </c>
      <c r="NZ27" s="101">
        <v>263</v>
      </c>
      <c r="OA27" s="101">
        <v>20</v>
      </c>
      <c r="OB27" s="101">
        <v>253</v>
      </c>
      <c r="OC27" s="101">
        <v>263</v>
      </c>
      <c r="OD27" s="101">
        <v>311</v>
      </c>
      <c r="OE27" s="101">
        <v>290</v>
      </c>
      <c r="OF27" s="101">
        <v>290</v>
      </c>
      <c r="OG27" s="101">
        <v>285</v>
      </c>
      <c r="OH27" s="101">
        <v>20</v>
      </c>
      <c r="OI27" s="101">
        <v>285</v>
      </c>
      <c r="OJ27" s="101">
        <v>277</v>
      </c>
      <c r="OK27" s="101">
        <v>277</v>
      </c>
      <c r="OL27" s="101">
        <v>277</v>
      </c>
      <c r="OM27" s="101">
        <v>271</v>
      </c>
      <c r="ON27" s="101">
        <v>257</v>
      </c>
      <c r="OO27" s="101">
        <v>20</v>
      </c>
      <c r="OP27" s="101">
        <v>293</v>
      </c>
      <c r="OQ27" s="101">
        <v>293</v>
      </c>
      <c r="OR27" s="101">
        <v>282</v>
      </c>
      <c r="OS27" s="101">
        <v>251</v>
      </c>
      <c r="OT27" s="101">
        <v>241</v>
      </c>
      <c r="OU27" s="101">
        <v>225</v>
      </c>
      <c r="OV27" s="101"/>
      <c r="OW27" s="101">
        <v>245</v>
      </c>
      <c r="OX27" s="101">
        <v>256</v>
      </c>
      <c r="OY27" s="101">
        <v>248</v>
      </c>
      <c r="OZ27" s="101">
        <v>248</v>
      </c>
      <c r="PA27" s="101">
        <v>234</v>
      </c>
      <c r="PB27" s="101">
        <v>234</v>
      </c>
      <c r="PC27" s="101"/>
      <c r="PD27" s="101">
        <v>242</v>
      </c>
      <c r="PE27" s="101">
        <v>198</v>
      </c>
      <c r="PF27" s="101">
        <v>188</v>
      </c>
      <c r="PG27" s="101">
        <v>202</v>
      </c>
      <c r="PH27" s="101">
        <v>230</v>
      </c>
      <c r="PI27" s="101">
        <v>239</v>
      </c>
      <c r="PJ27" s="101"/>
      <c r="PK27" s="101">
        <v>272</v>
      </c>
      <c r="PL27" s="101">
        <v>304</v>
      </c>
      <c r="PM27" s="101">
        <v>302</v>
      </c>
      <c r="PN27" s="101">
        <v>291</v>
      </c>
      <c r="PO27" s="101">
        <v>290</v>
      </c>
      <c r="PP27" s="101">
        <v>262</v>
      </c>
      <c r="PQ27" s="101"/>
      <c r="PR27" s="101">
        <v>244</v>
      </c>
      <c r="PS27" s="101">
        <v>284</v>
      </c>
      <c r="PT27" s="101">
        <v>312</v>
      </c>
      <c r="PU27" s="101">
        <v>302</v>
      </c>
      <c r="PV27" s="101">
        <v>346</v>
      </c>
      <c r="PW27" s="101">
        <v>366</v>
      </c>
      <c r="PX27" s="101"/>
      <c r="PY27" s="101">
        <v>356</v>
      </c>
      <c r="PZ27" s="101">
        <v>336</v>
      </c>
      <c r="QA27" s="101">
        <v>351</v>
      </c>
      <c r="QB27" s="101">
        <v>317</v>
      </c>
      <c r="QC27" s="101">
        <v>289</v>
      </c>
      <c r="QD27" s="101">
        <v>319</v>
      </c>
      <c r="QE27" s="101"/>
      <c r="QF27" s="101">
        <v>327</v>
      </c>
      <c r="QG27" s="101">
        <v>295</v>
      </c>
      <c r="QH27" s="101">
        <v>329</v>
      </c>
      <c r="QI27" s="101">
        <v>349</v>
      </c>
      <c r="QJ27" s="101">
        <v>339</v>
      </c>
      <c r="QK27" s="101">
        <v>319</v>
      </c>
      <c r="QL27" s="101"/>
      <c r="QM27" s="101">
        <v>311</v>
      </c>
      <c r="QN27" s="101">
        <v>301</v>
      </c>
      <c r="QO27" s="101">
        <v>273</v>
      </c>
      <c r="QP27" s="101">
        <v>283</v>
      </c>
      <c r="QQ27" s="101">
        <v>283</v>
      </c>
      <c r="QR27" s="101">
        <v>275</v>
      </c>
      <c r="QS27" s="101">
        <v>20</v>
      </c>
      <c r="QT27" s="101">
        <v>323</v>
      </c>
      <c r="QU27" s="101">
        <v>323</v>
      </c>
      <c r="QV27" s="101">
        <v>323</v>
      </c>
      <c r="QW27" s="101">
        <v>303</v>
      </c>
      <c r="QX27" s="101">
        <v>323</v>
      </c>
      <c r="QY27" s="101">
        <v>278</v>
      </c>
      <c r="QZ27" s="101">
        <v>20</v>
      </c>
      <c r="RA27" s="101">
        <v>259</v>
      </c>
      <c r="RB27" s="101">
        <v>262</v>
      </c>
      <c r="RC27" s="101">
        <v>272</v>
      </c>
      <c r="RD27" s="101">
        <v>265</v>
      </c>
      <c r="RE27" s="101">
        <v>264</v>
      </c>
      <c r="RF27" s="101">
        <v>264</v>
      </c>
      <c r="RG27" s="101">
        <v>20</v>
      </c>
      <c r="RH27" s="101">
        <v>204</v>
      </c>
      <c r="RI27" s="101">
        <v>204</v>
      </c>
      <c r="RJ27" s="101">
        <v>189</v>
      </c>
      <c r="RK27" s="101">
        <v>159</v>
      </c>
      <c r="RL27" s="101">
        <v>161</v>
      </c>
      <c r="RM27" s="101">
        <v>157</v>
      </c>
      <c r="RN27" s="101"/>
      <c r="RO27" s="101">
        <v>157</v>
      </c>
      <c r="RP27" s="101">
        <v>127</v>
      </c>
      <c r="RQ27" s="101">
        <v>147</v>
      </c>
      <c r="RR27" s="101">
        <v>147</v>
      </c>
      <c r="RS27" s="101">
        <v>127</v>
      </c>
      <c r="RT27" s="101">
        <v>117</v>
      </c>
      <c r="RU27" s="101">
        <v>60</v>
      </c>
      <c r="RV27" s="101">
        <v>137</v>
      </c>
      <c r="RW27" s="101">
        <v>107</v>
      </c>
      <c r="RX27" s="101">
        <v>108</v>
      </c>
      <c r="RY27" s="101">
        <v>111</v>
      </c>
      <c r="RZ27" s="101">
        <v>111</v>
      </c>
      <c r="SA27" s="101">
        <v>116</v>
      </c>
      <c r="SB27" s="101">
        <v>80</v>
      </c>
      <c r="SC27" s="101">
        <v>131</v>
      </c>
      <c r="SD27" s="101">
        <v>129</v>
      </c>
      <c r="SE27" s="101">
        <v>103</v>
      </c>
      <c r="SF27" s="101">
        <v>133</v>
      </c>
      <c r="SG27" s="101">
        <v>133</v>
      </c>
      <c r="SH27" s="101">
        <v>113</v>
      </c>
      <c r="SI27" s="101">
        <v>60</v>
      </c>
      <c r="SJ27" s="101">
        <v>95</v>
      </c>
      <c r="SK27" s="101">
        <v>101</v>
      </c>
      <c r="SL27" s="101">
        <v>101</v>
      </c>
      <c r="SM27" s="101">
        <v>101</v>
      </c>
      <c r="SN27" s="101">
        <v>106</v>
      </c>
      <c r="SO27" s="101">
        <v>104</v>
      </c>
      <c r="SP27" s="101">
        <v>40</v>
      </c>
      <c r="SQ27" s="101">
        <v>78</v>
      </c>
      <c r="SR27" s="101">
        <v>78</v>
      </c>
      <c r="SS27" s="101">
        <v>98</v>
      </c>
      <c r="ST27" s="101">
        <v>98</v>
      </c>
      <c r="SU27" s="101">
        <v>80</v>
      </c>
      <c r="SV27" s="101">
        <v>88</v>
      </c>
      <c r="SW27" s="101">
        <v>40</v>
      </c>
      <c r="SX27" s="101">
        <v>78</v>
      </c>
      <c r="SY27" s="101">
        <v>78</v>
      </c>
      <c r="SZ27" s="101">
        <v>78</v>
      </c>
      <c r="TA27" s="101">
        <v>78</v>
      </c>
      <c r="TB27" s="101">
        <v>80</v>
      </c>
      <c r="TC27" s="101">
        <v>40</v>
      </c>
      <c r="TD27" s="101">
        <v>20</v>
      </c>
      <c r="TE27" s="101">
        <v>40</v>
      </c>
      <c r="TF27" s="101">
        <v>40</v>
      </c>
      <c r="TG27" s="101">
        <v>40</v>
      </c>
      <c r="TH27" s="101">
        <v>20</v>
      </c>
      <c r="TI27" s="101">
        <v>20</v>
      </c>
      <c r="TJ27" s="101">
        <v>20</v>
      </c>
      <c r="TK27" s="101"/>
      <c r="TL27" s="101">
        <v>20</v>
      </c>
      <c r="TM27" s="101">
        <v>20</v>
      </c>
      <c r="TN27" s="101">
        <v>20</v>
      </c>
      <c r="TO27" s="101">
        <v>20</v>
      </c>
      <c r="TP27" s="101">
        <v>20</v>
      </c>
      <c r="TQ27" s="101">
        <v>20</v>
      </c>
      <c r="TR27" s="101"/>
      <c r="TS27" s="101">
        <v>20</v>
      </c>
      <c r="TT27" s="101">
        <v>20</v>
      </c>
      <c r="TU27" s="101">
        <v>20</v>
      </c>
      <c r="TV27" s="101">
        <v>20</v>
      </c>
      <c r="TW27" s="101">
        <v>20</v>
      </c>
      <c r="TX27" s="101">
        <v>20</v>
      </c>
      <c r="TY27" s="101"/>
      <c r="TZ27" s="101">
        <v>20</v>
      </c>
      <c r="UA27" s="101">
        <v>20</v>
      </c>
      <c r="UB27" s="101">
        <v>20</v>
      </c>
      <c r="UC27" s="101">
        <v>20</v>
      </c>
      <c r="UD27" s="101">
        <v>18</v>
      </c>
      <c r="UE27" s="101">
        <v>10</v>
      </c>
      <c r="UF27" s="101"/>
      <c r="UG27" s="101">
        <v>10</v>
      </c>
      <c r="UH27" s="101">
        <v>10</v>
      </c>
      <c r="UI27" s="101">
        <v>10</v>
      </c>
      <c r="UJ27" s="101">
        <v>8</v>
      </c>
      <c r="UK27" s="101"/>
      <c r="UL27" s="101"/>
      <c r="UM27" s="101"/>
      <c r="UN27" s="101"/>
      <c r="UO27" s="101"/>
      <c r="UP27" s="101"/>
      <c r="UQ27" s="101"/>
      <c r="UR27" s="101"/>
      <c r="US27" s="101"/>
      <c r="UT27" s="101"/>
      <c r="UU27" s="101"/>
      <c r="UV27" s="101"/>
      <c r="UW27" s="101"/>
      <c r="UX27" s="101"/>
      <c r="UY27" s="101"/>
      <c r="UZ27" s="101"/>
      <c r="VA27" s="101"/>
      <c r="VB27" s="101"/>
      <c r="VC27" s="101">
        <v>10</v>
      </c>
      <c r="VD27" s="101">
        <v>10</v>
      </c>
      <c r="VE27" s="101">
        <v>10</v>
      </c>
      <c r="VF27" s="101">
        <v>10</v>
      </c>
      <c r="VG27" s="101">
        <v>10</v>
      </c>
      <c r="VH27" s="101">
        <v>10</v>
      </c>
      <c r="VI27" s="101">
        <v>10</v>
      </c>
      <c r="VJ27" s="101">
        <v>10</v>
      </c>
      <c r="VK27" s="101">
        <v>14</v>
      </c>
      <c r="VL27" s="101">
        <v>14</v>
      </c>
      <c r="VM27" s="101">
        <v>14</v>
      </c>
      <c r="VN27" s="101">
        <v>14</v>
      </c>
      <c r="VO27" s="101">
        <v>14</v>
      </c>
      <c r="VP27" s="101">
        <v>14</v>
      </c>
      <c r="VQ27" s="101">
        <v>14</v>
      </c>
      <c r="VR27" s="101">
        <v>4</v>
      </c>
      <c r="VS27" s="101">
        <v>4</v>
      </c>
      <c r="VT27" s="101">
        <v>4</v>
      </c>
      <c r="VU27" s="101">
        <v>4</v>
      </c>
      <c r="VV27" s="101">
        <v>4</v>
      </c>
      <c r="VW27" s="101">
        <v>4</v>
      </c>
      <c r="VX27" s="101">
        <v>4</v>
      </c>
      <c r="VY27" s="101"/>
      <c r="VZ27" s="101"/>
      <c r="WA27" s="101"/>
      <c r="WB27" s="101"/>
      <c r="WC27" s="101"/>
      <c r="WD27" s="101"/>
      <c r="WE27" s="101"/>
      <c r="WF27" s="101"/>
      <c r="WG27" s="101"/>
      <c r="WH27" s="101"/>
      <c r="WI27" s="101"/>
      <c r="WJ27" s="101"/>
      <c r="WK27" s="101"/>
      <c r="WL27" s="101"/>
      <c r="WM27" s="101"/>
      <c r="WN27" s="101"/>
      <c r="WO27" s="101"/>
      <c r="WP27" s="101"/>
      <c r="WQ27" s="101"/>
      <c r="WR27" s="101"/>
      <c r="WS27" s="101"/>
      <c r="WT27" s="101"/>
      <c r="WU27" s="101"/>
      <c r="WV27" s="101"/>
      <c r="WW27" s="101"/>
      <c r="WX27" s="101"/>
      <c r="WY27" s="101"/>
      <c r="WZ27" s="101"/>
      <c r="XA27" s="101"/>
      <c r="XB27" s="101"/>
      <c r="XC27" s="101"/>
      <c r="XD27" s="101"/>
      <c r="XE27" s="101"/>
      <c r="XF27" s="101"/>
      <c r="XG27" s="101"/>
      <c r="XH27" s="101"/>
      <c r="XI27" s="101"/>
      <c r="XJ27" s="101"/>
      <c r="XK27" s="101"/>
      <c r="XL27" s="101"/>
      <c r="XM27" s="101"/>
      <c r="XN27" s="101"/>
      <c r="XO27" s="101"/>
      <c r="XP27" s="101"/>
      <c r="XQ27" s="101"/>
      <c r="XR27" s="101"/>
      <c r="XS27" s="101"/>
      <c r="XT27" s="101"/>
      <c r="XU27" s="101"/>
      <c r="XV27" s="101"/>
      <c r="XW27" s="101"/>
      <c r="XX27" s="101"/>
      <c r="XY27" s="101"/>
      <c r="XZ27" s="101"/>
      <c r="YA27" s="101"/>
      <c r="YB27" s="101"/>
      <c r="YC27" s="101"/>
      <c r="YD27" s="101"/>
      <c r="YE27" s="101"/>
      <c r="YF27" s="101"/>
      <c r="YG27" s="101"/>
      <c r="YH27" s="101"/>
      <c r="YI27" s="101"/>
      <c r="YJ27" s="101"/>
      <c r="YK27" s="101"/>
      <c r="YL27" s="101"/>
      <c r="YM27" s="101"/>
      <c r="YN27" s="101"/>
      <c r="YO27" s="101"/>
      <c r="YP27" s="101"/>
      <c r="YQ27" s="101"/>
      <c r="YR27" s="101"/>
      <c r="YS27" s="101"/>
      <c r="YT27" s="101"/>
      <c r="YU27" s="101"/>
      <c r="YV27" s="101"/>
      <c r="YW27" s="101"/>
      <c r="YX27" s="101"/>
      <c r="YY27" s="101"/>
      <c r="YZ27" s="101"/>
      <c r="ZA27" s="101"/>
      <c r="ZB27" s="101"/>
      <c r="ZC27" s="101"/>
      <c r="ZD27" s="101"/>
      <c r="ZE27" s="101"/>
      <c r="ZF27" s="101"/>
      <c r="ZG27" s="101"/>
      <c r="ZH27" s="101"/>
    </row>
    <row r="28" spans="1:684">
      <c r="A28" s="75" t="s">
        <v>66</v>
      </c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  <c r="BZ28" s="101"/>
      <c r="CA28" s="101"/>
      <c r="CB28" s="101"/>
      <c r="CC28" s="101"/>
      <c r="CD28" s="101"/>
      <c r="CE28" s="101"/>
      <c r="CF28" s="101"/>
      <c r="CG28" s="101"/>
      <c r="CH28" s="101"/>
      <c r="CI28" s="101"/>
      <c r="CJ28" s="101"/>
      <c r="CK28" s="101"/>
      <c r="CL28" s="101"/>
      <c r="CM28" s="101"/>
      <c r="CN28" s="101"/>
      <c r="CO28" s="101"/>
      <c r="CP28" s="101"/>
      <c r="CQ28" s="101"/>
      <c r="CR28" s="101"/>
      <c r="CS28" s="101"/>
      <c r="CT28" s="101"/>
      <c r="CU28" s="101"/>
      <c r="CV28" s="101"/>
      <c r="CW28" s="101"/>
      <c r="CX28" s="101"/>
      <c r="CY28" s="101"/>
      <c r="CZ28" s="101"/>
      <c r="DA28" s="101"/>
      <c r="DB28" s="101"/>
      <c r="DC28" s="101"/>
      <c r="DD28" s="101"/>
      <c r="DE28" s="101"/>
      <c r="DF28" s="101"/>
      <c r="DG28" s="101"/>
      <c r="DH28" s="101"/>
      <c r="DI28" s="101"/>
      <c r="DJ28" s="101"/>
      <c r="DK28" s="101"/>
      <c r="DL28" s="101"/>
      <c r="DM28" s="101"/>
      <c r="DN28" s="101"/>
      <c r="DO28" s="101"/>
      <c r="DP28" s="101"/>
      <c r="DQ28" s="101"/>
      <c r="DR28" s="101"/>
      <c r="DS28" s="101"/>
      <c r="DT28" s="101"/>
      <c r="DU28" s="101"/>
      <c r="DV28" s="101"/>
      <c r="DW28" s="101"/>
      <c r="DX28" s="101"/>
      <c r="DY28" s="101"/>
      <c r="DZ28" s="101"/>
      <c r="EA28" s="101"/>
      <c r="EB28" s="101"/>
      <c r="EC28" s="101"/>
      <c r="ED28" s="101"/>
      <c r="EE28" s="101"/>
      <c r="EF28" s="101"/>
      <c r="EG28" s="101"/>
      <c r="EH28" s="101"/>
      <c r="EI28" s="101"/>
      <c r="EJ28" s="101"/>
      <c r="EK28" s="101"/>
      <c r="EL28" s="101"/>
      <c r="EM28" s="101"/>
      <c r="EN28" s="101"/>
      <c r="EO28" s="101"/>
      <c r="EP28" s="101"/>
      <c r="EQ28" s="101"/>
      <c r="ER28" s="101"/>
      <c r="ES28" s="101"/>
      <c r="ET28" s="101"/>
      <c r="EU28" s="101"/>
      <c r="EV28" s="101"/>
      <c r="EW28" s="101"/>
      <c r="EX28" s="101"/>
      <c r="EY28" s="101"/>
      <c r="EZ28" s="101"/>
      <c r="FA28" s="101"/>
      <c r="FB28" s="101"/>
      <c r="FC28" s="101"/>
      <c r="FD28" s="101"/>
      <c r="FE28" s="101"/>
      <c r="FF28" s="101"/>
      <c r="FG28" s="101"/>
      <c r="FH28" s="101"/>
      <c r="FI28" s="101"/>
      <c r="FJ28" s="101"/>
      <c r="FK28" s="101"/>
      <c r="FL28" s="101"/>
      <c r="FM28" s="101"/>
      <c r="FN28" s="101"/>
      <c r="FO28" s="101"/>
      <c r="FP28" s="101"/>
      <c r="FQ28" s="101"/>
      <c r="FR28" s="101"/>
      <c r="FS28" s="101"/>
      <c r="FT28" s="101"/>
      <c r="FU28" s="101"/>
      <c r="FV28" s="101"/>
      <c r="FW28" s="101"/>
      <c r="FX28" s="101"/>
      <c r="FY28" s="101"/>
      <c r="FZ28" s="101"/>
      <c r="GA28" s="101"/>
      <c r="GB28" s="101"/>
      <c r="GC28" s="101"/>
      <c r="GD28" s="101"/>
      <c r="GE28" s="101"/>
      <c r="GF28" s="101"/>
      <c r="GG28" s="101"/>
      <c r="GH28" s="101"/>
      <c r="GI28" s="101"/>
      <c r="GJ28" s="101"/>
      <c r="GK28" s="101"/>
      <c r="GL28" s="101"/>
      <c r="GM28" s="101"/>
      <c r="GN28" s="101"/>
      <c r="GO28" s="101"/>
      <c r="GP28" s="101"/>
      <c r="GQ28" s="101"/>
      <c r="GR28" s="101"/>
      <c r="GS28" s="101"/>
      <c r="GT28" s="101"/>
      <c r="GU28" s="101"/>
      <c r="GV28" s="101"/>
      <c r="GW28" s="101"/>
      <c r="GX28" s="101"/>
      <c r="GY28" s="101"/>
      <c r="GZ28" s="101"/>
      <c r="HA28" s="101"/>
      <c r="HB28" s="101"/>
      <c r="HC28" s="101"/>
      <c r="HD28" s="101"/>
      <c r="HE28" s="101"/>
      <c r="HF28" s="101"/>
      <c r="HG28" s="101"/>
      <c r="HH28" s="101"/>
      <c r="HI28" s="101"/>
      <c r="HJ28" s="101"/>
      <c r="HK28" s="101"/>
      <c r="HL28" s="101"/>
      <c r="HM28" s="101"/>
      <c r="HN28" s="101"/>
      <c r="HO28" s="101"/>
      <c r="HP28" s="101"/>
      <c r="HQ28" s="101"/>
      <c r="HR28" s="101"/>
      <c r="HS28" s="101"/>
      <c r="HT28" s="101"/>
      <c r="HU28" s="101"/>
      <c r="HV28" s="101"/>
      <c r="HW28" s="101"/>
      <c r="HX28" s="101"/>
      <c r="HY28" s="101"/>
      <c r="HZ28" s="101"/>
      <c r="IA28" s="101"/>
      <c r="IB28" s="101"/>
      <c r="IC28" s="101"/>
      <c r="ID28" s="101"/>
      <c r="IE28" s="101"/>
      <c r="IF28" s="101"/>
      <c r="IG28" s="101"/>
      <c r="IH28" s="101"/>
      <c r="II28" s="101"/>
      <c r="IJ28" s="101"/>
      <c r="IK28" s="101"/>
      <c r="IL28" s="101"/>
      <c r="IM28" s="101"/>
      <c r="IN28" s="101"/>
      <c r="IO28" s="101"/>
      <c r="IP28" s="101"/>
      <c r="IQ28" s="101"/>
      <c r="IR28" s="101"/>
      <c r="IS28" s="101"/>
      <c r="IT28" s="101"/>
      <c r="IU28" s="101"/>
      <c r="IV28" s="101"/>
      <c r="IW28" s="101"/>
      <c r="IX28" s="101"/>
      <c r="IY28" s="101"/>
      <c r="IZ28" s="101"/>
      <c r="JA28" s="101"/>
      <c r="JB28" s="101"/>
      <c r="JC28" s="101"/>
      <c r="JD28" s="101"/>
      <c r="JE28" s="101"/>
      <c r="JF28" s="101"/>
      <c r="JG28" s="101"/>
      <c r="JH28" s="101"/>
      <c r="JI28" s="101"/>
      <c r="JJ28" s="101"/>
      <c r="JK28" s="101"/>
      <c r="JL28" s="101"/>
      <c r="JM28" s="101"/>
      <c r="JN28" s="101"/>
      <c r="JO28" s="101"/>
      <c r="JP28" s="101"/>
      <c r="JQ28" s="101"/>
      <c r="JR28" s="101"/>
      <c r="JS28" s="101"/>
      <c r="JT28" s="101"/>
      <c r="JU28" s="101"/>
      <c r="JV28" s="101"/>
      <c r="JW28" s="101"/>
      <c r="JX28" s="101"/>
      <c r="JY28" s="101"/>
      <c r="JZ28" s="101"/>
      <c r="KA28" s="101"/>
      <c r="KB28" s="101"/>
      <c r="KC28" s="101"/>
      <c r="KD28" s="101">
        <v>10</v>
      </c>
      <c r="KE28" s="101">
        <v>10</v>
      </c>
      <c r="KF28" s="101">
        <v>10</v>
      </c>
      <c r="KG28" s="101"/>
      <c r="KH28" s="101">
        <v>10</v>
      </c>
      <c r="KI28" s="101">
        <v>10</v>
      </c>
      <c r="KJ28" s="101">
        <v>10</v>
      </c>
      <c r="KK28" s="101">
        <v>10</v>
      </c>
      <c r="KL28" s="101"/>
      <c r="KM28" s="101"/>
      <c r="KN28" s="101"/>
      <c r="KO28" s="101"/>
      <c r="KP28" s="101"/>
      <c r="KQ28" s="101"/>
      <c r="KR28" s="101">
        <v>10</v>
      </c>
      <c r="KS28" s="101">
        <v>10</v>
      </c>
      <c r="KT28" s="101">
        <v>10</v>
      </c>
      <c r="KU28" s="101"/>
      <c r="KV28" s="101">
        <v>30</v>
      </c>
      <c r="KW28" s="101">
        <v>30</v>
      </c>
      <c r="KX28" s="101">
        <v>30</v>
      </c>
      <c r="KY28" s="101">
        <v>30</v>
      </c>
      <c r="KZ28" s="101">
        <v>30</v>
      </c>
      <c r="LA28" s="101">
        <v>32</v>
      </c>
      <c r="LB28" s="101"/>
      <c r="LC28" s="101">
        <v>32</v>
      </c>
      <c r="LD28" s="101">
        <v>32</v>
      </c>
      <c r="LE28" s="101">
        <v>32</v>
      </c>
      <c r="LF28" s="101">
        <v>32</v>
      </c>
      <c r="LG28" s="101">
        <v>64</v>
      </c>
      <c r="LH28" s="101">
        <v>64</v>
      </c>
      <c r="LI28" s="101"/>
      <c r="LJ28" s="101">
        <v>74</v>
      </c>
      <c r="LK28" s="101">
        <v>74</v>
      </c>
      <c r="LL28" s="101">
        <v>74</v>
      </c>
      <c r="LM28" s="101">
        <v>42</v>
      </c>
      <c r="LN28" s="101">
        <v>42</v>
      </c>
      <c r="LO28" s="101">
        <v>54</v>
      </c>
      <c r="LP28" s="101"/>
      <c r="LQ28" s="101">
        <v>54</v>
      </c>
      <c r="LR28" s="101">
        <v>54</v>
      </c>
      <c r="LS28" s="101">
        <v>42</v>
      </c>
      <c r="LT28" s="101">
        <v>52</v>
      </c>
      <c r="LU28" s="101">
        <v>92</v>
      </c>
      <c r="LV28" s="101">
        <v>92</v>
      </c>
      <c r="LW28" s="101"/>
      <c r="LX28" s="101">
        <v>104</v>
      </c>
      <c r="LY28" s="101">
        <v>92</v>
      </c>
      <c r="LZ28" s="101">
        <v>92</v>
      </c>
      <c r="MA28" s="101">
        <v>88</v>
      </c>
      <c r="MB28" s="101">
        <v>92</v>
      </c>
      <c r="MC28" s="101">
        <v>100</v>
      </c>
      <c r="MD28" s="101"/>
      <c r="ME28" s="101">
        <v>108</v>
      </c>
      <c r="MF28" s="101">
        <v>128</v>
      </c>
      <c r="MG28" s="101">
        <v>240</v>
      </c>
      <c r="MH28" s="101">
        <v>240</v>
      </c>
      <c r="MI28" s="101">
        <v>240</v>
      </c>
      <c r="MJ28" s="101">
        <v>240</v>
      </c>
      <c r="MK28" s="101"/>
      <c r="ML28" s="101">
        <v>242</v>
      </c>
      <c r="MM28" s="101">
        <v>206</v>
      </c>
      <c r="MN28" s="101">
        <v>198</v>
      </c>
      <c r="MO28" s="101">
        <v>198</v>
      </c>
      <c r="MP28" s="101">
        <v>190</v>
      </c>
      <c r="MQ28" s="101">
        <v>190</v>
      </c>
      <c r="MR28" s="101"/>
      <c r="MS28" s="101">
        <v>238</v>
      </c>
      <c r="MT28" s="101">
        <v>238</v>
      </c>
      <c r="MU28" s="101">
        <v>254</v>
      </c>
      <c r="MV28" s="101">
        <v>254</v>
      </c>
      <c r="MW28" s="101">
        <v>222</v>
      </c>
      <c r="MX28" s="101">
        <v>156</v>
      </c>
      <c r="MY28" s="101"/>
      <c r="MZ28" s="101">
        <v>152</v>
      </c>
      <c r="NA28" s="101">
        <v>148</v>
      </c>
      <c r="NB28" s="101">
        <v>148</v>
      </c>
      <c r="NC28" s="101">
        <v>156</v>
      </c>
      <c r="ND28" s="101">
        <v>214</v>
      </c>
      <c r="NE28" s="101">
        <v>234</v>
      </c>
      <c r="NF28" s="101"/>
      <c r="NG28" s="101">
        <v>264</v>
      </c>
      <c r="NH28" s="101">
        <v>264</v>
      </c>
      <c r="NI28" s="101">
        <v>306</v>
      </c>
      <c r="NJ28" s="101">
        <v>266</v>
      </c>
      <c r="NK28" s="101">
        <v>246</v>
      </c>
      <c r="NL28" s="101">
        <v>242</v>
      </c>
      <c r="NM28" s="101">
        <v>10</v>
      </c>
      <c r="NN28" s="101">
        <v>234</v>
      </c>
      <c r="NO28" s="101">
        <v>260</v>
      </c>
      <c r="NP28" s="101">
        <v>302</v>
      </c>
      <c r="NQ28" s="101">
        <v>284</v>
      </c>
      <c r="NR28" s="101">
        <v>274</v>
      </c>
      <c r="NS28" s="101">
        <v>274</v>
      </c>
      <c r="NT28" s="101"/>
      <c r="NU28" s="101">
        <v>278</v>
      </c>
      <c r="NV28" s="101">
        <v>248</v>
      </c>
      <c r="NW28" s="101">
        <v>248</v>
      </c>
      <c r="NX28" s="101">
        <v>236</v>
      </c>
      <c r="NY28" s="101">
        <v>224</v>
      </c>
      <c r="NZ28" s="101">
        <v>228</v>
      </c>
      <c r="OA28" s="101"/>
      <c r="OB28" s="101">
        <v>270</v>
      </c>
      <c r="OC28" s="101">
        <v>258</v>
      </c>
      <c r="OD28" s="101">
        <v>278</v>
      </c>
      <c r="OE28" s="101">
        <v>306</v>
      </c>
      <c r="OF28" s="101">
        <v>340</v>
      </c>
      <c r="OG28" s="101">
        <v>310</v>
      </c>
      <c r="OH28" s="101"/>
      <c r="OI28" s="101">
        <v>330</v>
      </c>
      <c r="OJ28" s="101">
        <v>304</v>
      </c>
      <c r="OK28" s="101">
        <v>272</v>
      </c>
      <c r="OL28" s="101">
        <v>284</v>
      </c>
      <c r="OM28" s="101">
        <v>336</v>
      </c>
      <c r="ON28" s="101">
        <v>340</v>
      </c>
      <c r="OO28" s="101"/>
      <c r="OP28" s="101">
        <v>345</v>
      </c>
      <c r="OQ28" s="101">
        <v>325</v>
      </c>
      <c r="OR28" s="101">
        <v>349</v>
      </c>
      <c r="OS28" s="101">
        <v>319</v>
      </c>
      <c r="OT28" s="101">
        <v>299</v>
      </c>
      <c r="OU28" s="101">
        <v>271</v>
      </c>
      <c r="OV28" s="101"/>
      <c r="OW28" s="101">
        <v>275</v>
      </c>
      <c r="OX28" s="101">
        <v>275</v>
      </c>
      <c r="OY28" s="101">
        <v>335</v>
      </c>
      <c r="OZ28" s="101">
        <v>335</v>
      </c>
      <c r="PA28" s="101">
        <v>329</v>
      </c>
      <c r="PB28" s="101">
        <v>335</v>
      </c>
      <c r="PC28" s="101"/>
      <c r="PD28" s="101">
        <v>359</v>
      </c>
      <c r="PE28" s="101">
        <v>339</v>
      </c>
      <c r="PF28" s="101">
        <v>311</v>
      </c>
      <c r="PG28" s="101">
        <v>368</v>
      </c>
      <c r="PH28" s="101">
        <v>368</v>
      </c>
      <c r="PI28" s="101">
        <v>380</v>
      </c>
      <c r="PJ28" s="101">
        <v>10</v>
      </c>
      <c r="PK28" s="101">
        <v>422</v>
      </c>
      <c r="PL28" s="101">
        <v>442</v>
      </c>
      <c r="PM28" s="101">
        <v>394</v>
      </c>
      <c r="PN28" s="101">
        <v>394</v>
      </c>
      <c r="PO28" s="101">
        <v>376</v>
      </c>
      <c r="PP28" s="101">
        <v>356</v>
      </c>
      <c r="PQ28" s="101"/>
      <c r="PR28" s="101">
        <v>356</v>
      </c>
      <c r="PS28" s="101">
        <v>438</v>
      </c>
      <c r="PT28" s="101">
        <v>438</v>
      </c>
      <c r="PU28" s="101">
        <v>486</v>
      </c>
      <c r="PV28" s="101">
        <v>490</v>
      </c>
      <c r="PW28" s="101">
        <v>464</v>
      </c>
      <c r="PX28" s="101"/>
      <c r="PY28" s="101">
        <v>416</v>
      </c>
      <c r="PZ28" s="101">
        <v>416</v>
      </c>
      <c r="QA28" s="101">
        <v>394</v>
      </c>
      <c r="QB28" s="101">
        <v>354</v>
      </c>
      <c r="QC28" s="101">
        <v>354</v>
      </c>
      <c r="QD28" s="101">
        <v>480</v>
      </c>
      <c r="QE28" s="101"/>
      <c r="QF28" s="101">
        <v>486</v>
      </c>
      <c r="QG28" s="101">
        <v>490</v>
      </c>
      <c r="QH28" s="101">
        <v>470</v>
      </c>
      <c r="QI28" s="101">
        <v>478</v>
      </c>
      <c r="QJ28" s="101">
        <v>426</v>
      </c>
      <c r="QK28" s="101">
        <v>422</v>
      </c>
      <c r="QL28" s="101">
        <v>20</v>
      </c>
      <c r="QM28" s="101">
        <v>406</v>
      </c>
      <c r="QN28" s="101">
        <v>346</v>
      </c>
      <c r="QO28" s="101">
        <v>346</v>
      </c>
      <c r="QP28" s="101">
        <v>344</v>
      </c>
      <c r="QQ28" s="101">
        <v>344</v>
      </c>
      <c r="QR28" s="101">
        <v>332</v>
      </c>
      <c r="QS28" s="101">
        <v>40</v>
      </c>
      <c r="QT28" s="101">
        <v>312</v>
      </c>
      <c r="QU28" s="101">
        <v>316</v>
      </c>
      <c r="QV28" s="101">
        <v>209</v>
      </c>
      <c r="QW28" s="101">
        <v>209</v>
      </c>
      <c r="QX28" s="101">
        <v>229</v>
      </c>
      <c r="QY28" s="101">
        <v>209</v>
      </c>
      <c r="QZ28" s="101">
        <v>20</v>
      </c>
      <c r="RA28" s="101">
        <v>213</v>
      </c>
      <c r="RB28" s="101">
        <v>163</v>
      </c>
      <c r="RC28" s="101">
        <v>179</v>
      </c>
      <c r="RD28" s="101">
        <v>151</v>
      </c>
      <c r="RE28" s="101">
        <v>151</v>
      </c>
      <c r="RF28" s="101">
        <v>155</v>
      </c>
      <c r="RG28" s="101">
        <v>20</v>
      </c>
      <c r="RH28" s="101">
        <v>135</v>
      </c>
      <c r="RI28" s="101">
        <v>135</v>
      </c>
      <c r="RJ28" s="101">
        <v>135</v>
      </c>
      <c r="RK28" s="101">
        <v>135</v>
      </c>
      <c r="RL28" s="101">
        <v>130</v>
      </c>
      <c r="RM28" s="101">
        <v>104</v>
      </c>
      <c r="RN28" s="101">
        <v>20</v>
      </c>
      <c r="RO28" s="101">
        <v>120</v>
      </c>
      <c r="RP28" s="101">
        <v>100</v>
      </c>
      <c r="RQ28" s="101">
        <v>100</v>
      </c>
      <c r="RR28" s="101">
        <v>116</v>
      </c>
      <c r="RS28" s="101">
        <v>96</v>
      </c>
      <c r="RT28" s="101">
        <v>96</v>
      </c>
      <c r="RU28" s="101"/>
      <c r="RV28" s="101">
        <v>92</v>
      </c>
      <c r="RW28" s="101">
        <v>92</v>
      </c>
      <c r="RX28" s="101">
        <v>72</v>
      </c>
      <c r="RY28" s="101">
        <v>70</v>
      </c>
      <c r="RZ28" s="101">
        <v>106</v>
      </c>
      <c r="SA28" s="101">
        <v>106</v>
      </c>
      <c r="SB28" s="101"/>
      <c r="SC28" s="101">
        <v>124</v>
      </c>
      <c r="SD28" s="101">
        <v>142</v>
      </c>
      <c r="SE28" s="101">
        <v>142</v>
      </c>
      <c r="SF28" s="101">
        <v>152</v>
      </c>
      <c r="SG28" s="101">
        <v>152</v>
      </c>
      <c r="SH28" s="101">
        <v>152</v>
      </c>
      <c r="SI28" s="101"/>
      <c r="SJ28" s="101">
        <v>132</v>
      </c>
      <c r="SK28" s="101">
        <v>132</v>
      </c>
      <c r="SL28" s="101">
        <v>152</v>
      </c>
      <c r="SM28" s="101">
        <v>172</v>
      </c>
      <c r="SN28" s="101">
        <v>202</v>
      </c>
      <c r="SO28" s="101">
        <v>230</v>
      </c>
      <c r="SP28" s="101">
        <v>40</v>
      </c>
      <c r="SQ28" s="101">
        <v>230</v>
      </c>
      <c r="SR28" s="101">
        <v>190</v>
      </c>
      <c r="SS28" s="101">
        <v>190</v>
      </c>
      <c r="ST28" s="101">
        <v>170</v>
      </c>
      <c r="SU28" s="101">
        <v>166</v>
      </c>
      <c r="SV28" s="101">
        <v>182</v>
      </c>
      <c r="SW28" s="101">
        <v>40</v>
      </c>
      <c r="SX28" s="101">
        <v>172</v>
      </c>
      <c r="SY28" s="101">
        <v>180</v>
      </c>
      <c r="SZ28" s="101">
        <v>198</v>
      </c>
      <c r="TA28" s="101">
        <v>198</v>
      </c>
      <c r="TB28" s="101">
        <v>178</v>
      </c>
      <c r="TC28" s="101">
        <v>118</v>
      </c>
      <c r="TD28" s="101">
        <v>36</v>
      </c>
      <c r="TE28" s="101">
        <v>118</v>
      </c>
      <c r="TF28" s="101">
        <v>118</v>
      </c>
      <c r="TG28" s="101">
        <v>98</v>
      </c>
      <c r="TH28" s="101">
        <v>114</v>
      </c>
      <c r="TI28" s="101">
        <v>106</v>
      </c>
      <c r="TJ28" s="101">
        <v>98</v>
      </c>
      <c r="TK28" s="101">
        <v>20</v>
      </c>
      <c r="TL28" s="101">
        <v>90</v>
      </c>
      <c r="TM28" s="101">
        <v>64</v>
      </c>
      <c r="TN28" s="101">
        <v>64</v>
      </c>
      <c r="TO28" s="101">
        <v>24</v>
      </c>
      <c r="TP28" s="101">
        <v>24</v>
      </c>
      <c r="TQ28" s="101">
        <v>24</v>
      </c>
      <c r="TR28" s="101">
        <v>8</v>
      </c>
      <c r="TS28" s="101">
        <v>24</v>
      </c>
      <c r="TT28" s="101">
        <v>24</v>
      </c>
      <c r="TU28" s="101">
        <v>24</v>
      </c>
      <c r="TV28" s="101">
        <v>16</v>
      </c>
      <c r="TW28" s="101">
        <v>16</v>
      </c>
      <c r="TX28" s="101"/>
      <c r="TY28" s="101"/>
      <c r="TZ28" s="101"/>
      <c r="UA28" s="101"/>
      <c r="UB28" s="101"/>
      <c r="UC28" s="101"/>
      <c r="UD28" s="101"/>
      <c r="UE28" s="101"/>
      <c r="UF28" s="101"/>
      <c r="UG28" s="101"/>
      <c r="UH28" s="101"/>
      <c r="UI28" s="101"/>
      <c r="UJ28" s="101"/>
      <c r="UK28" s="101"/>
      <c r="UL28" s="101"/>
      <c r="UM28" s="101"/>
      <c r="UN28" s="101"/>
      <c r="UO28" s="101"/>
      <c r="UP28" s="101"/>
      <c r="UQ28" s="101"/>
      <c r="UR28" s="101"/>
      <c r="US28" s="101"/>
      <c r="UT28" s="101"/>
      <c r="UU28" s="101"/>
      <c r="UV28" s="101"/>
      <c r="UW28" s="101"/>
      <c r="UX28" s="101"/>
      <c r="UY28" s="101"/>
      <c r="UZ28" s="101"/>
      <c r="VA28" s="101"/>
      <c r="VB28" s="101"/>
      <c r="VC28" s="101"/>
      <c r="VD28" s="101"/>
      <c r="VE28" s="101"/>
      <c r="VF28" s="101"/>
      <c r="VG28" s="101"/>
      <c r="VH28" s="101"/>
      <c r="VI28" s="101"/>
      <c r="VJ28" s="101"/>
      <c r="VK28" s="101"/>
      <c r="VL28" s="101"/>
      <c r="VM28" s="101"/>
      <c r="VN28" s="101"/>
      <c r="VO28" s="101"/>
      <c r="VP28" s="101"/>
      <c r="VQ28" s="101"/>
      <c r="VR28" s="101"/>
      <c r="VS28" s="101"/>
      <c r="VT28" s="101"/>
      <c r="VU28" s="101"/>
      <c r="VV28" s="101"/>
      <c r="VW28" s="101"/>
      <c r="VX28" s="101"/>
      <c r="VY28" s="101"/>
      <c r="VZ28" s="101"/>
      <c r="WA28" s="101"/>
      <c r="WB28" s="101"/>
      <c r="WC28" s="101"/>
      <c r="WD28" s="101"/>
      <c r="WE28" s="101"/>
      <c r="WF28" s="101"/>
      <c r="WG28" s="101"/>
      <c r="WH28" s="101"/>
      <c r="WI28" s="101"/>
      <c r="WJ28" s="101"/>
      <c r="WK28" s="101"/>
      <c r="WL28" s="101"/>
      <c r="WM28" s="101"/>
      <c r="WN28" s="101"/>
      <c r="WO28" s="101"/>
      <c r="WP28" s="101"/>
      <c r="WQ28" s="101"/>
      <c r="WR28" s="101"/>
      <c r="WS28" s="101"/>
      <c r="WT28" s="101"/>
      <c r="WU28" s="101"/>
      <c r="WV28" s="101"/>
      <c r="WW28" s="101"/>
      <c r="WX28" s="101"/>
      <c r="WY28" s="101"/>
      <c r="WZ28" s="101"/>
      <c r="XA28" s="101"/>
      <c r="XB28" s="101"/>
      <c r="XC28" s="101"/>
      <c r="XD28" s="101"/>
      <c r="XE28" s="101"/>
      <c r="XF28" s="101"/>
      <c r="XG28" s="101"/>
      <c r="XH28" s="101"/>
      <c r="XI28" s="101"/>
      <c r="XJ28" s="101"/>
      <c r="XK28" s="101"/>
      <c r="XL28" s="101"/>
      <c r="XM28" s="101"/>
      <c r="XN28" s="101"/>
      <c r="XO28" s="101"/>
      <c r="XP28" s="101"/>
      <c r="XQ28" s="101"/>
      <c r="XR28" s="101"/>
      <c r="XS28" s="101"/>
      <c r="XT28" s="101"/>
      <c r="XU28" s="101"/>
      <c r="XV28" s="101"/>
      <c r="XW28" s="101"/>
      <c r="XX28" s="101"/>
      <c r="XY28" s="101"/>
      <c r="XZ28" s="101"/>
      <c r="YA28" s="101"/>
      <c r="YB28" s="101"/>
      <c r="YC28" s="101"/>
      <c r="YD28" s="101"/>
      <c r="YE28" s="101"/>
      <c r="YF28" s="101"/>
      <c r="YG28" s="101"/>
      <c r="YH28" s="101"/>
      <c r="YI28" s="101"/>
      <c r="YJ28" s="101"/>
      <c r="YK28" s="101"/>
      <c r="YL28" s="101"/>
      <c r="YM28" s="101"/>
      <c r="YN28" s="101"/>
      <c r="YO28" s="101"/>
      <c r="YP28" s="101"/>
      <c r="YQ28" s="101"/>
      <c r="YR28" s="101"/>
      <c r="YS28" s="101"/>
      <c r="YT28" s="101"/>
      <c r="YU28" s="101"/>
      <c r="YV28" s="101"/>
      <c r="YW28" s="101"/>
      <c r="YX28" s="101"/>
      <c r="YY28" s="101"/>
      <c r="YZ28" s="101"/>
      <c r="ZA28" s="101"/>
      <c r="ZB28" s="101"/>
      <c r="ZC28" s="101"/>
      <c r="ZD28" s="101"/>
      <c r="ZE28" s="101"/>
      <c r="ZF28" s="101"/>
      <c r="ZG28" s="101"/>
      <c r="ZH28" s="101"/>
    </row>
    <row r="29" spans="1:684">
      <c r="A29" s="75" t="s">
        <v>67</v>
      </c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1"/>
      <c r="BF29" s="101"/>
      <c r="BG29" s="101"/>
      <c r="BH29" s="101"/>
      <c r="BI29" s="101"/>
      <c r="BJ29" s="101"/>
      <c r="BK29" s="101"/>
      <c r="BL29" s="101"/>
      <c r="BM29" s="101"/>
      <c r="BN29" s="101"/>
      <c r="BO29" s="101"/>
      <c r="BP29" s="101"/>
      <c r="BQ29" s="101"/>
      <c r="BR29" s="101"/>
      <c r="BS29" s="101"/>
      <c r="BT29" s="101"/>
      <c r="BU29" s="101"/>
      <c r="BV29" s="101"/>
      <c r="BW29" s="101"/>
      <c r="BX29" s="101"/>
      <c r="BY29" s="101"/>
      <c r="BZ29" s="101"/>
      <c r="CA29" s="101"/>
      <c r="CB29" s="101"/>
      <c r="CC29" s="101"/>
      <c r="CD29" s="101"/>
      <c r="CE29" s="101"/>
      <c r="CF29" s="101"/>
      <c r="CG29" s="101"/>
      <c r="CH29" s="101"/>
      <c r="CI29" s="101"/>
      <c r="CJ29" s="101"/>
      <c r="CK29" s="101"/>
      <c r="CL29" s="101"/>
      <c r="CM29" s="101"/>
      <c r="CN29" s="101"/>
      <c r="CO29" s="101"/>
      <c r="CP29" s="101"/>
      <c r="CQ29" s="101"/>
      <c r="CR29" s="101"/>
      <c r="CS29" s="101"/>
      <c r="CT29" s="101"/>
      <c r="CU29" s="101"/>
      <c r="CV29" s="101"/>
      <c r="CW29" s="101"/>
      <c r="CX29" s="101"/>
      <c r="CY29" s="101"/>
      <c r="CZ29" s="101"/>
      <c r="DA29" s="101"/>
      <c r="DB29" s="101"/>
      <c r="DC29" s="101"/>
      <c r="DD29" s="101"/>
      <c r="DE29" s="101"/>
      <c r="DF29" s="101"/>
      <c r="DG29" s="101"/>
      <c r="DH29" s="101"/>
      <c r="DI29" s="101"/>
      <c r="DJ29" s="101"/>
      <c r="DK29" s="101"/>
      <c r="DL29" s="101"/>
      <c r="DM29" s="101"/>
      <c r="DN29" s="101"/>
      <c r="DO29" s="101"/>
      <c r="DP29" s="101"/>
      <c r="DQ29" s="101"/>
      <c r="DR29" s="101"/>
      <c r="DS29" s="101"/>
      <c r="DT29" s="101"/>
      <c r="DU29" s="101"/>
      <c r="DV29" s="101"/>
      <c r="DW29" s="101"/>
      <c r="DX29" s="101"/>
      <c r="DY29" s="101"/>
      <c r="DZ29" s="101"/>
      <c r="EA29" s="101"/>
      <c r="EB29" s="101"/>
      <c r="EC29" s="101"/>
      <c r="ED29" s="101"/>
      <c r="EE29" s="101"/>
      <c r="EF29" s="101"/>
      <c r="EG29" s="101"/>
      <c r="EH29" s="101"/>
      <c r="EI29" s="101"/>
      <c r="EJ29" s="101"/>
      <c r="EK29" s="101"/>
      <c r="EL29" s="101"/>
      <c r="EM29" s="101"/>
      <c r="EN29" s="101"/>
      <c r="EO29" s="101"/>
      <c r="EP29" s="101"/>
      <c r="EQ29" s="101"/>
      <c r="ER29" s="101"/>
      <c r="ES29" s="101"/>
      <c r="ET29" s="101"/>
      <c r="EU29" s="101"/>
      <c r="EV29" s="101"/>
      <c r="EW29" s="101"/>
      <c r="EX29" s="101"/>
      <c r="EY29" s="101"/>
      <c r="EZ29" s="101"/>
      <c r="FA29" s="101"/>
      <c r="FB29" s="101"/>
      <c r="FC29" s="101"/>
      <c r="FD29" s="101"/>
      <c r="FE29" s="101"/>
      <c r="FF29" s="101"/>
      <c r="FG29" s="101"/>
      <c r="FH29" s="101"/>
      <c r="FI29" s="101"/>
      <c r="FJ29" s="101"/>
      <c r="FK29" s="101"/>
      <c r="FL29" s="101"/>
      <c r="FM29" s="101"/>
      <c r="FN29" s="101"/>
      <c r="FO29" s="101"/>
      <c r="FP29" s="101"/>
      <c r="FQ29" s="101"/>
      <c r="FR29" s="101"/>
      <c r="FS29" s="101"/>
      <c r="FT29" s="101"/>
      <c r="FU29" s="101"/>
      <c r="FV29" s="101"/>
      <c r="FW29" s="101"/>
      <c r="FX29" s="101"/>
      <c r="FY29" s="101"/>
      <c r="FZ29" s="101"/>
      <c r="GA29" s="101"/>
      <c r="GB29" s="101"/>
      <c r="GC29" s="101"/>
      <c r="GD29" s="101"/>
      <c r="GE29" s="101"/>
      <c r="GF29" s="101"/>
      <c r="GG29" s="101"/>
      <c r="GH29" s="101"/>
      <c r="GI29" s="101"/>
      <c r="GJ29" s="101"/>
      <c r="GK29" s="101"/>
      <c r="GL29" s="101"/>
      <c r="GM29" s="101"/>
      <c r="GN29" s="101"/>
      <c r="GO29" s="101"/>
      <c r="GP29" s="101"/>
      <c r="GQ29" s="101"/>
      <c r="GR29" s="101"/>
      <c r="GS29" s="101"/>
      <c r="GT29" s="101"/>
      <c r="GU29" s="101"/>
      <c r="GV29" s="101"/>
      <c r="GW29" s="101"/>
      <c r="GX29" s="101"/>
      <c r="GY29" s="101"/>
      <c r="GZ29" s="101"/>
      <c r="HA29" s="101"/>
      <c r="HB29" s="101"/>
      <c r="HC29" s="101"/>
      <c r="HD29" s="101"/>
      <c r="HE29" s="101"/>
      <c r="HF29" s="101"/>
      <c r="HG29" s="101"/>
      <c r="HH29" s="101"/>
      <c r="HI29" s="101"/>
      <c r="HJ29" s="101"/>
      <c r="HK29" s="101"/>
      <c r="HL29" s="101"/>
      <c r="HM29" s="101"/>
      <c r="HN29" s="101"/>
      <c r="HO29" s="101"/>
      <c r="HP29" s="101"/>
      <c r="HQ29" s="101"/>
      <c r="HR29" s="101"/>
      <c r="HS29" s="101"/>
      <c r="HT29" s="101"/>
      <c r="HU29" s="101"/>
      <c r="HV29" s="101"/>
      <c r="HW29" s="101"/>
      <c r="HX29" s="101"/>
      <c r="HY29" s="101"/>
      <c r="HZ29" s="101"/>
      <c r="IA29" s="101"/>
      <c r="IB29" s="101"/>
      <c r="IC29" s="101"/>
      <c r="ID29" s="101"/>
      <c r="IE29" s="101"/>
      <c r="IF29" s="101"/>
      <c r="IG29" s="101"/>
      <c r="IH29" s="101"/>
      <c r="II29" s="101"/>
      <c r="IJ29" s="101"/>
      <c r="IK29" s="101"/>
      <c r="IL29" s="101"/>
      <c r="IM29" s="101"/>
      <c r="IN29" s="101"/>
      <c r="IO29" s="101"/>
      <c r="IP29" s="101"/>
      <c r="IQ29" s="101"/>
      <c r="IR29" s="101"/>
      <c r="IS29" s="101"/>
      <c r="IT29" s="101"/>
      <c r="IU29" s="101"/>
      <c r="IV29" s="101"/>
      <c r="IW29" s="101"/>
      <c r="IX29" s="101"/>
      <c r="IY29" s="101"/>
      <c r="IZ29" s="101"/>
      <c r="JA29" s="101"/>
      <c r="JB29" s="101"/>
      <c r="JC29" s="101"/>
      <c r="JD29" s="101"/>
      <c r="JE29" s="101"/>
      <c r="JF29" s="101"/>
      <c r="JG29" s="101"/>
      <c r="JH29" s="101"/>
      <c r="JI29" s="101"/>
      <c r="JJ29" s="101"/>
      <c r="JK29" s="101"/>
      <c r="JL29" s="101"/>
      <c r="JM29" s="101"/>
      <c r="JN29" s="101"/>
      <c r="JO29" s="101"/>
      <c r="JP29" s="101"/>
      <c r="JQ29" s="101"/>
      <c r="JR29" s="101"/>
      <c r="JS29" s="101"/>
      <c r="JT29" s="101"/>
      <c r="JU29" s="101"/>
      <c r="JV29" s="101"/>
      <c r="JW29" s="101"/>
      <c r="JX29" s="101"/>
      <c r="JY29" s="101"/>
      <c r="JZ29" s="101"/>
      <c r="KA29" s="101"/>
      <c r="KB29" s="101"/>
      <c r="KC29" s="101"/>
      <c r="KD29" s="101"/>
      <c r="KE29" s="101"/>
      <c r="KF29" s="101"/>
      <c r="KG29" s="101"/>
      <c r="KH29" s="101"/>
      <c r="KI29" s="101"/>
      <c r="KJ29" s="101"/>
      <c r="KK29" s="101"/>
      <c r="KL29" s="101"/>
      <c r="KM29" s="101"/>
      <c r="KN29" s="101"/>
      <c r="KO29" s="101"/>
      <c r="KP29" s="101"/>
      <c r="KQ29" s="101"/>
      <c r="KR29" s="101"/>
      <c r="KS29" s="101"/>
      <c r="KT29" s="101"/>
      <c r="KU29" s="101"/>
      <c r="KV29" s="101">
        <v>20</v>
      </c>
      <c r="KW29" s="101">
        <v>20</v>
      </c>
      <c r="KX29" s="101">
        <v>20</v>
      </c>
      <c r="KY29" s="101">
        <v>20</v>
      </c>
      <c r="KZ29" s="101">
        <v>20</v>
      </c>
      <c r="LA29" s="101">
        <v>20</v>
      </c>
      <c r="LB29" s="101"/>
      <c r="LC29" s="101">
        <v>20</v>
      </c>
      <c r="LD29" s="101">
        <v>20</v>
      </c>
      <c r="LE29" s="101">
        <v>20</v>
      </c>
      <c r="LF29" s="101">
        <v>20</v>
      </c>
      <c r="LG29" s="101">
        <v>20</v>
      </c>
      <c r="LH29" s="101">
        <v>20</v>
      </c>
      <c r="LI29" s="101"/>
      <c r="LJ29" s="101">
        <v>20</v>
      </c>
      <c r="LK29" s="101">
        <v>20</v>
      </c>
      <c r="LL29" s="101">
        <v>20</v>
      </c>
      <c r="LM29" s="101">
        <v>20</v>
      </c>
      <c r="LN29" s="101">
        <v>20</v>
      </c>
      <c r="LO29" s="101">
        <v>20</v>
      </c>
      <c r="LP29" s="101"/>
      <c r="LQ29" s="101">
        <v>20</v>
      </c>
      <c r="LR29" s="101">
        <v>20</v>
      </c>
      <c r="LS29" s="101">
        <v>20</v>
      </c>
      <c r="LT29" s="101">
        <v>20</v>
      </c>
      <c r="LU29" s="101">
        <v>40</v>
      </c>
      <c r="LV29" s="101">
        <v>40</v>
      </c>
      <c r="LW29" s="101"/>
      <c r="LX29" s="101">
        <v>40</v>
      </c>
      <c r="LY29" s="101">
        <v>50</v>
      </c>
      <c r="LZ29" s="101">
        <v>50</v>
      </c>
      <c r="MA29" s="101">
        <v>62</v>
      </c>
      <c r="MB29" s="101">
        <v>70</v>
      </c>
      <c r="MC29" s="101">
        <v>70</v>
      </c>
      <c r="MD29" s="101"/>
      <c r="ME29" s="101">
        <v>50</v>
      </c>
      <c r="MF29" s="101">
        <v>70</v>
      </c>
      <c r="MG29" s="101">
        <v>70</v>
      </c>
      <c r="MH29" s="101">
        <v>70</v>
      </c>
      <c r="MI29" s="101">
        <v>70</v>
      </c>
      <c r="MJ29" s="101">
        <v>70</v>
      </c>
      <c r="MK29" s="101"/>
      <c r="ML29" s="101">
        <v>70</v>
      </c>
      <c r="MM29" s="101">
        <v>90</v>
      </c>
      <c r="MN29" s="101">
        <v>90</v>
      </c>
      <c r="MO29" s="101">
        <v>90</v>
      </c>
      <c r="MP29" s="101">
        <v>90</v>
      </c>
      <c r="MQ29" s="101">
        <v>90</v>
      </c>
      <c r="MR29" s="101"/>
      <c r="MS29" s="101">
        <v>90</v>
      </c>
      <c r="MT29" s="101">
        <v>90</v>
      </c>
      <c r="MU29" s="101">
        <v>90</v>
      </c>
      <c r="MV29" s="101">
        <v>80</v>
      </c>
      <c r="MW29" s="101">
        <v>80</v>
      </c>
      <c r="MX29" s="101">
        <v>110</v>
      </c>
      <c r="MY29" s="101"/>
      <c r="MZ29" s="101">
        <v>110</v>
      </c>
      <c r="NA29" s="101">
        <v>110</v>
      </c>
      <c r="NB29" s="101">
        <v>110</v>
      </c>
      <c r="NC29" s="101">
        <v>110</v>
      </c>
      <c r="ND29" s="101">
        <v>90</v>
      </c>
      <c r="NE29" s="101">
        <v>90</v>
      </c>
      <c r="NF29" s="101"/>
      <c r="NG29" s="101">
        <v>90</v>
      </c>
      <c r="NH29" s="101">
        <v>90</v>
      </c>
      <c r="NI29" s="101">
        <v>90</v>
      </c>
      <c r="NJ29" s="101">
        <v>110</v>
      </c>
      <c r="NK29" s="101">
        <v>110</v>
      </c>
      <c r="NL29" s="101">
        <v>110</v>
      </c>
      <c r="NM29" s="101"/>
      <c r="NN29" s="101">
        <v>110</v>
      </c>
      <c r="NO29" s="101">
        <v>90</v>
      </c>
      <c r="NP29" s="101">
        <v>86</v>
      </c>
      <c r="NQ29" s="101">
        <v>78</v>
      </c>
      <c r="NR29" s="101">
        <v>78</v>
      </c>
      <c r="NS29" s="101">
        <v>78</v>
      </c>
      <c r="NT29" s="101"/>
      <c r="NU29" s="101">
        <v>78</v>
      </c>
      <c r="NV29" s="101">
        <v>68</v>
      </c>
      <c r="NW29" s="101">
        <v>68</v>
      </c>
      <c r="NX29" s="101">
        <v>68</v>
      </c>
      <c r="NY29" s="101">
        <v>68</v>
      </c>
      <c r="NZ29" s="101">
        <v>68</v>
      </c>
      <c r="OA29" s="101"/>
      <c r="OB29" s="101">
        <v>76</v>
      </c>
      <c r="OC29" s="101">
        <v>76</v>
      </c>
      <c r="OD29" s="101">
        <v>76</v>
      </c>
      <c r="OE29" s="101">
        <v>76</v>
      </c>
      <c r="OF29" s="101">
        <v>76</v>
      </c>
      <c r="OG29" s="101">
        <v>68</v>
      </c>
      <c r="OH29" s="101"/>
      <c r="OI29" s="101">
        <v>68</v>
      </c>
      <c r="OJ29" s="101">
        <v>68</v>
      </c>
      <c r="OK29" s="101">
        <v>68</v>
      </c>
      <c r="OL29" s="101">
        <v>68</v>
      </c>
      <c r="OM29" s="101">
        <v>76</v>
      </c>
      <c r="ON29" s="101">
        <v>76</v>
      </c>
      <c r="OO29" s="101"/>
      <c r="OP29" s="101">
        <v>76</v>
      </c>
      <c r="OQ29" s="101">
        <v>96</v>
      </c>
      <c r="OR29" s="101">
        <v>96</v>
      </c>
      <c r="OS29" s="101">
        <v>88</v>
      </c>
      <c r="OT29" s="101">
        <v>118</v>
      </c>
      <c r="OU29" s="101">
        <v>138</v>
      </c>
      <c r="OV29" s="101"/>
      <c r="OW29" s="101">
        <v>138</v>
      </c>
      <c r="OX29" s="101">
        <v>138</v>
      </c>
      <c r="OY29" s="101">
        <v>148</v>
      </c>
      <c r="OZ29" s="101">
        <v>148</v>
      </c>
      <c r="PA29" s="101">
        <v>148</v>
      </c>
      <c r="PB29" s="101">
        <v>148</v>
      </c>
      <c r="PC29" s="101"/>
      <c r="PD29" s="101">
        <v>148</v>
      </c>
      <c r="PE29" s="101">
        <v>156</v>
      </c>
      <c r="PF29" s="101">
        <v>156</v>
      </c>
      <c r="PG29" s="101">
        <v>156</v>
      </c>
      <c r="PH29" s="101">
        <v>136</v>
      </c>
      <c r="PI29" s="101">
        <v>136</v>
      </c>
      <c r="PJ29" s="101"/>
      <c r="PK29" s="101">
        <v>130</v>
      </c>
      <c r="PL29" s="101">
        <v>130</v>
      </c>
      <c r="PM29" s="101">
        <v>132</v>
      </c>
      <c r="PN29" s="101">
        <v>132</v>
      </c>
      <c r="PO29" s="101">
        <v>132</v>
      </c>
      <c r="PP29" s="101">
        <v>142</v>
      </c>
      <c r="PQ29" s="101"/>
      <c r="PR29" s="101">
        <v>132</v>
      </c>
      <c r="PS29" s="101">
        <v>112</v>
      </c>
      <c r="PT29" s="101">
        <v>112</v>
      </c>
      <c r="PU29" s="101">
        <v>112</v>
      </c>
      <c r="PV29" s="101">
        <v>122</v>
      </c>
      <c r="PW29" s="101">
        <v>122</v>
      </c>
      <c r="PX29" s="101"/>
      <c r="PY29" s="101">
        <v>160</v>
      </c>
      <c r="PZ29" s="101">
        <v>160</v>
      </c>
      <c r="QA29" s="101">
        <v>180</v>
      </c>
      <c r="QB29" s="101">
        <v>170</v>
      </c>
      <c r="QC29" s="101">
        <v>150</v>
      </c>
      <c r="QD29" s="101">
        <v>166</v>
      </c>
      <c r="QE29" s="101"/>
      <c r="QF29" s="101">
        <v>166</v>
      </c>
      <c r="QG29" s="101">
        <v>166</v>
      </c>
      <c r="QH29" s="101">
        <v>156</v>
      </c>
      <c r="QI29" s="101">
        <v>156</v>
      </c>
      <c r="QJ29" s="101">
        <v>140</v>
      </c>
      <c r="QK29" s="101">
        <v>140</v>
      </c>
      <c r="QL29" s="101"/>
      <c r="QM29" s="101">
        <v>170</v>
      </c>
      <c r="QN29" s="101">
        <v>140</v>
      </c>
      <c r="QO29" s="101">
        <v>120</v>
      </c>
      <c r="QP29" s="101">
        <v>120</v>
      </c>
      <c r="QQ29" s="101">
        <v>120</v>
      </c>
      <c r="QR29" s="101">
        <v>140</v>
      </c>
      <c r="QS29" s="101">
        <v>10</v>
      </c>
      <c r="QT29" s="101">
        <v>150</v>
      </c>
      <c r="QU29" s="101">
        <v>150</v>
      </c>
      <c r="QV29" s="101">
        <v>150</v>
      </c>
      <c r="QW29" s="101">
        <v>154</v>
      </c>
      <c r="QX29" s="101">
        <v>144</v>
      </c>
      <c r="QY29" s="101">
        <v>114</v>
      </c>
      <c r="QZ29" s="101"/>
      <c r="RA29" s="101">
        <v>114</v>
      </c>
      <c r="RB29" s="101">
        <v>94</v>
      </c>
      <c r="RC29" s="101">
        <v>94</v>
      </c>
      <c r="RD29" s="101">
        <v>74</v>
      </c>
      <c r="RE29" s="101">
        <v>84</v>
      </c>
      <c r="RF29" s="101">
        <v>116</v>
      </c>
      <c r="RG29" s="101"/>
      <c r="RH29" s="101">
        <v>116</v>
      </c>
      <c r="RI29" s="101">
        <v>120</v>
      </c>
      <c r="RJ29" s="101">
        <v>100</v>
      </c>
      <c r="RK29" s="101">
        <v>70</v>
      </c>
      <c r="RL29" s="101">
        <v>58</v>
      </c>
      <c r="RM29" s="101">
        <v>58</v>
      </c>
      <c r="RN29" s="101"/>
      <c r="RO29" s="101">
        <v>58</v>
      </c>
      <c r="RP29" s="101">
        <v>38</v>
      </c>
      <c r="RQ29" s="101">
        <v>38</v>
      </c>
      <c r="RR29" s="101">
        <v>54</v>
      </c>
      <c r="RS29" s="101">
        <v>54</v>
      </c>
      <c r="RT29" s="101">
        <v>54</v>
      </c>
      <c r="RU29" s="101"/>
      <c r="RV29" s="101">
        <v>50</v>
      </c>
      <c r="RW29" s="101">
        <v>40</v>
      </c>
      <c r="RX29" s="101">
        <v>40</v>
      </c>
      <c r="RY29" s="101">
        <v>40</v>
      </c>
      <c r="RZ29" s="101">
        <v>40</v>
      </c>
      <c r="SA29" s="101">
        <v>60</v>
      </c>
      <c r="SB29" s="101"/>
      <c r="SC29" s="101">
        <v>68</v>
      </c>
      <c r="SD29" s="101">
        <v>88</v>
      </c>
      <c r="SE29" s="101">
        <v>88</v>
      </c>
      <c r="SF29" s="101">
        <v>88</v>
      </c>
      <c r="SG29" s="101">
        <v>88</v>
      </c>
      <c r="SH29" s="101">
        <v>88</v>
      </c>
      <c r="SI29" s="101"/>
      <c r="SJ29" s="101">
        <v>68</v>
      </c>
      <c r="SK29" s="101">
        <v>68</v>
      </c>
      <c r="SL29" s="101">
        <v>60</v>
      </c>
      <c r="SM29" s="101">
        <v>60</v>
      </c>
      <c r="SN29" s="101">
        <v>68</v>
      </c>
      <c r="SO29" s="101">
        <v>68</v>
      </c>
      <c r="SP29" s="101"/>
      <c r="SQ29" s="101">
        <v>68</v>
      </c>
      <c r="SR29" s="101">
        <v>68</v>
      </c>
      <c r="SS29" s="101">
        <v>68</v>
      </c>
      <c r="ST29" s="101">
        <v>88</v>
      </c>
      <c r="SU29" s="101">
        <v>68</v>
      </c>
      <c r="SV29" s="101">
        <v>68</v>
      </c>
      <c r="SW29" s="101"/>
      <c r="SX29" s="101">
        <v>80</v>
      </c>
      <c r="SY29" s="101">
        <v>80</v>
      </c>
      <c r="SZ29" s="101">
        <v>88</v>
      </c>
      <c r="TA29" s="101">
        <v>88</v>
      </c>
      <c r="TB29" s="101">
        <v>88</v>
      </c>
      <c r="TC29" s="101">
        <v>88</v>
      </c>
      <c r="TD29" s="101"/>
      <c r="TE29" s="101">
        <v>68</v>
      </c>
      <c r="TF29" s="101">
        <v>88</v>
      </c>
      <c r="TG29" s="101">
        <v>48</v>
      </c>
      <c r="TH29" s="101">
        <v>50</v>
      </c>
      <c r="TI29" s="101">
        <v>42</v>
      </c>
      <c r="TJ29" s="101">
        <v>42</v>
      </c>
      <c r="TK29" s="101"/>
      <c r="TL29" s="101">
        <v>42</v>
      </c>
      <c r="TM29" s="101">
        <v>46</v>
      </c>
      <c r="TN29" s="101">
        <v>46</v>
      </c>
      <c r="TO29" s="101">
        <v>46</v>
      </c>
      <c r="TP29" s="101">
        <v>46</v>
      </c>
      <c r="TQ29" s="101">
        <v>46</v>
      </c>
      <c r="TR29" s="101"/>
      <c r="TS29" s="101">
        <v>46</v>
      </c>
      <c r="TT29" s="101">
        <v>42</v>
      </c>
      <c r="TU29" s="101">
        <v>42</v>
      </c>
      <c r="TV29" s="101">
        <v>42</v>
      </c>
      <c r="TW29" s="101">
        <v>42</v>
      </c>
      <c r="TX29" s="101">
        <v>46</v>
      </c>
      <c r="TY29" s="101"/>
      <c r="TZ29" s="101">
        <v>46</v>
      </c>
      <c r="UA29" s="101">
        <v>46</v>
      </c>
      <c r="UB29" s="101">
        <v>46</v>
      </c>
      <c r="UC29" s="101">
        <v>26</v>
      </c>
      <c r="UD29" s="101">
        <v>26</v>
      </c>
      <c r="UE29" s="101">
        <v>22</v>
      </c>
      <c r="UF29" s="101"/>
      <c r="UG29" s="101">
        <v>22</v>
      </c>
      <c r="UH29" s="101">
        <v>22</v>
      </c>
      <c r="UI29" s="101">
        <v>22</v>
      </c>
      <c r="UJ29" s="101">
        <v>26</v>
      </c>
      <c r="UK29" s="101">
        <v>26</v>
      </c>
      <c r="UL29" s="101">
        <v>26</v>
      </c>
      <c r="UM29" s="101"/>
      <c r="UN29" s="101">
        <v>26</v>
      </c>
      <c r="UO29" s="101">
        <v>6</v>
      </c>
      <c r="UP29" s="101">
        <v>6</v>
      </c>
      <c r="UQ29" s="101"/>
      <c r="UR29" s="101"/>
      <c r="US29" s="101"/>
      <c r="UT29" s="101"/>
      <c r="UU29" s="101"/>
      <c r="UV29" s="101"/>
      <c r="UW29" s="101"/>
      <c r="UX29" s="101"/>
      <c r="UY29" s="101"/>
      <c r="UZ29" s="101"/>
      <c r="VA29" s="101"/>
      <c r="VB29" s="101"/>
      <c r="VC29" s="101"/>
      <c r="VD29" s="101"/>
      <c r="VE29" s="101"/>
      <c r="VF29" s="101"/>
      <c r="VG29" s="101"/>
      <c r="VH29" s="101"/>
      <c r="VI29" s="101"/>
      <c r="VJ29" s="101"/>
      <c r="VK29" s="101"/>
      <c r="VL29" s="101"/>
      <c r="VM29" s="101"/>
      <c r="VN29" s="101"/>
      <c r="VO29" s="101"/>
      <c r="VP29" s="101"/>
      <c r="VQ29" s="101"/>
      <c r="VR29" s="101"/>
      <c r="VS29" s="101"/>
      <c r="VT29" s="101"/>
      <c r="VU29" s="101"/>
      <c r="VV29" s="101"/>
      <c r="VW29" s="101"/>
      <c r="VX29" s="101"/>
      <c r="VY29" s="101"/>
      <c r="VZ29" s="101"/>
      <c r="WA29" s="101"/>
      <c r="WB29" s="101"/>
      <c r="WC29" s="101"/>
      <c r="WD29" s="101"/>
      <c r="WE29" s="101"/>
      <c r="WF29" s="101"/>
      <c r="WG29" s="101"/>
      <c r="WH29" s="101"/>
      <c r="WI29" s="101"/>
      <c r="WJ29" s="101"/>
      <c r="WK29" s="101"/>
      <c r="WL29" s="101"/>
      <c r="WM29" s="101"/>
      <c r="WN29" s="101"/>
      <c r="WO29" s="101"/>
      <c r="WP29" s="101"/>
      <c r="WQ29" s="101"/>
      <c r="WR29" s="101"/>
      <c r="WS29" s="101"/>
      <c r="WT29" s="101"/>
      <c r="WU29" s="101"/>
      <c r="WV29" s="101"/>
      <c r="WW29" s="101"/>
      <c r="WX29" s="101"/>
      <c r="WY29" s="101"/>
      <c r="WZ29" s="101"/>
      <c r="XA29" s="101"/>
      <c r="XB29" s="101"/>
      <c r="XC29" s="101"/>
      <c r="XD29" s="101"/>
      <c r="XE29" s="101"/>
      <c r="XF29" s="101"/>
      <c r="XG29" s="101"/>
      <c r="XH29" s="101"/>
      <c r="XI29" s="101"/>
      <c r="XJ29" s="101"/>
      <c r="XK29" s="101"/>
      <c r="XL29" s="101"/>
      <c r="XM29" s="101"/>
      <c r="XN29" s="101"/>
      <c r="XO29" s="101"/>
      <c r="XP29" s="101"/>
      <c r="XQ29" s="101"/>
      <c r="XR29" s="101"/>
      <c r="XS29" s="101"/>
      <c r="XT29" s="101"/>
      <c r="XU29" s="101"/>
      <c r="XV29" s="101"/>
      <c r="XW29" s="101"/>
      <c r="XX29" s="101"/>
      <c r="XY29" s="101"/>
      <c r="XZ29" s="101"/>
      <c r="YA29" s="101"/>
      <c r="YB29" s="101"/>
      <c r="YC29" s="101"/>
      <c r="YD29" s="101"/>
      <c r="YE29" s="101"/>
      <c r="YF29" s="101"/>
      <c r="YG29" s="101"/>
      <c r="YH29" s="101"/>
      <c r="YI29" s="101"/>
      <c r="YJ29" s="101"/>
      <c r="YK29" s="101"/>
      <c r="YL29" s="101"/>
      <c r="YM29" s="101"/>
      <c r="YN29" s="101"/>
      <c r="YO29" s="101"/>
      <c r="YP29" s="101"/>
      <c r="YQ29" s="101"/>
      <c r="YR29" s="101"/>
      <c r="YS29" s="101"/>
      <c r="YT29" s="101"/>
      <c r="YU29" s="101"/>
      <c r="YV29" s="101"/>
      <c r="YW29" s="101"/>
      <c r="YX29" s="101"/>
      <c r="YY29" s="101"/>
      <c r="YZ29" s="101"/>
      <c r="ZA29" s="101"/>
      <c r="ZB29" s="101"/>
      <c r="ZC29" s="101"/>
      <c r="ZD29" s="101"/>
      <c r="ZE29" s="101"/>
      <c r="ZF29" s="101"/>
      <c r="ZG29" s="101"/>
      <c r="ZH29" s="101"/>
    </row>
    <row r="30" spans="1:684">
      <c r="A30" s="75" t="s">
        <v>68</v>
      </c>
      <c r="B30" s="101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  <c r="BZ30" s="101"/>
      <c r="CA30" s="101"/>
      <c r="CB30" s="101"/>
      <c r="CC30" s="101"/>
      <c r="CD30" s="101"/>
      <c r="CE30" s="101"/>
      <c r="CF30" s="101"/>
      <c r="CG30" s="101"/>
      <c r="CH30" s="101"/>
      <c r="CI30" s="101"/>
      <c r="CJ30" s="101"/>
      <c r="CK30" s="101"/>
      <c r="CL30" s="101"/>
      <c r="CM30" s="101"/>
      <c r="CN30" s="101"/>
      <c r="CO30" s="101"/>
      <c r="CP30" s="101"/>
      <c r="CQ30" s="101"/>
      <c r="CR30" s="101"/>
      <c r="CS30" s="101"/>
      <c r="CT30" s="101"/>
      <c r="CU30" s="101"/>
      <c r="CV30" s="101"/>
      <c r="CW30" s="101"/>
      <c r="CX30" s="101"/>
      <c r="CY30" s="101"/>
      <c r="CZ30" s="101"/>
      <c r="DA30" s="101"/>
      <c r="DB30" s="101"/>
      <c r="DC30" s="101"/>
      <c r="DD30" s="101"/>
      <c r="DE30" s="101"/>
      <c r="DF30" s="101"/>
      <c r="DG30" s="101"/>
      <c r="DH30" s="101"/>
      <c r="DI30" s="101"/>
      <c r="DJ30" s="101"/>
      <c r="DK30" s="101"/>
      <c r="DL30" s="101"/>
      <c r="DM30" s="101"/>
      <c r="DN30" s="101"/>
      <c r="DO30" s="101"/>
      <c r="DP30" s="101"/>
      <c r="DQ30" s="101"/>
      <c r="DR30" s="101"/>
      <c r="DS30" s="101"/>
      <c r="DT30" s="101"/>
      <c r="DU30" s="101"/>
      <c r="DV30" s="101"/>
      <c r="DW30" s="101"/>
      <c r="DX30" s="101"/>
      <c r="DY30" s="101"/>
      <c r="DZ30" s="101"/>
      <c r="EA30" s="101"/>
      <c r="EB30" s="101"/>
      <c r="EC30" s="101"/>
      <c r="ED30" s="101"/>
      <c r="EE30" s="101"/>
      <c r="EF30" s="101"/>
      <c r="EG30" s="101"/>
      <c r="EH30" s="101"/>
      <c r="EI30" s="101"/>
      <c r="EJ30" s="101"/>
      <c r="EK30" s="101"/>
      <c r="EL30" s="101"/>
      <c r="EM30" s="101"/>
      <c r="EN30" s="101"/>
      <c r="EO30" s="101"/>
      <c r="EP30" s="101"/>
      <c r="EQ30" s="101"/>
      <c r="ER30" s="101"/>
      <c r="ES30" s="101"/>
      <c r="ET30" s="101"/>
      <c r="EU30" s="101"/>
      <c r="EV30" s="101"/>
      <c r="EW30" s="101"/>
      <c r="EX30" s="101"/>
      <c r="EY30" s="101"/>
      <c r="EZ30" s="101"/>
      <c r="FA30" s="101"/>
      <c r="FB30" s="101"/>
      <c r="FC30" s="101"/>
      <c r="FD30" s="101"/>
      <c r="FE30" s="101"/>
      <c r="FF30" s="101"/>
      <c r="FG30" s="101"/>
      <c r="FH30" s="101"/>
      <c r="FI30" s="101"/>
      <c r="FJ30" s="101"/>
      <c r="FK30" s="101"/>
      <c r="FL30" s="101"/>
      <c r="FM30" s="101"/>
      <c r="FN30" s="101"/>
      <c r="FO30" s="101"/>
      <c r="FP30" s="101"/>
      <c r="FQ30" s="101"/>
      <c r="FR30" s="101"/>
      <c r="FS30" s="101"/>
      <c r="FT30" s="101"/>
      <c r="FU30" s="101"/>
      <c r="FV30" s="101"/>
      <c r="FW30" s="101"/>
      <c r="FX30" s="101"/>
      <c r="FY30" s="101"/>
      <c r="FZ30" s="101"/>
      <c r="GA30" s="101"/>
      <c r="GB30" s="101"/>
      <c r="GC30" s="101"/>
      <c r="GD30" s="101"/>
      <c r="GE30" s="101"/>
      <c r="GF30" s="101"/>
      <c r="GG30" s="101"/>
      <c r="GH30" s="101"/>
      <c r="GI30" s="101"/>
      <c r="GJ30" s="101"/>
      <c r="GK30" s="101"/>
      <c r="GL30" s="101"/>
      <c r="GM30" s="101"/>
      <c r="GN30" s="101"/>
      <c r="GO30" s="101"/>
      <c r="GP30" s="101"/>
      <c r="GQ30" s="101"/>
      <c r="GR30" s="101"/>
      <c r="GS30" s="101"/>
      <c r="GT30" s="101"/>
      <c r="GU30" s="101"/>
      <c r="GV30" s="101"/>
      <c r="GW30" s="101"/>
      <c r="GX30" s="101"/>
      <c r="GY30" s="101"/>
      <c r="GZ30" s="101"/>
      <c r="HA30" s="101"/>
      <c r="HB30" s="101"/>
      <c r="HC30" s="101"/>
      <c r="HD30" s="101"/>
      <c r="HE30" s="101"/>
      <c r="HF30" s="101"/>
      <c r="HG30" s="101"/>
      <c r="HH30" s="101"/>
      <c r="HI30" s="101"/>
      <c r="HJ30" s="101"/>
      <c r="HK30" s="101"/>
      <c r="HL30" s="101"/>
      <c r="HM30" s="101"/>
      <c r="HN30" s="101"/>
      <c r="HO30" s="101"/>
      <c r="HP30" s="101"/>
      <c r="HQ30" s="101"/>
      <c r="HR30" s="101"/>
      <c r="HS30" s="101"/>
      <c r="HT30" s="101"/>
      <c r="HU30" s="101"/>
      <c r="HV30" s="101"/>
      <c r="HW30" s="101"/>
      <c r="HX30" s="101"/>
      <c r="HY30" s="101"/>
      <c r="HZ30" s="101"/>
      <c r="IA30" s="101"/>
      <c r="IB30" s="101"/>
      <c r="IC30" s="101"/>
      <c r="ID30" s="101"/>
      <c r="IE30" s="101"/>
      <c r="IF30" s="101"/>
      <c r="IG30" s="101"/>
      <c r="IH30" s="101"/>
      <c r="II30" s="101"/>
      <c r="IJ30" s="101"/>
      <c r="IK30" s="101"/>
      <c r="IL30" s="101"/>
      <c r="IM30" s="101"/>
      <c r="IN30" s="101"/>
      <c r="IO30" s="101"/>
      <c r="IP30" s="101"/>
      <c r="IQ30" s="101"/>
      <c r="IR30" s="101"/>
      <c r="IS30" s="101"/>
      <c r="IT30" s="101"/>
      <c r="IU30" s="101"/>
      <c r="IV30" s="101"/>
      <c r="IW30" s="101"/>
      <c r="IX30" s="101"/>
      <c r="IY30" s="101"/>
      <c r="IZ30" s="101"/>
      <c r="JA30" s="101"/>
      <c r="JB30" s="101"/>
      <c r="JC30" s="101"/>
      <c r="JD30" s="101"/>
      <c r="JE30" s="101"/>
      <c r="JF30" s="101"/>
      <c r="JG30" s="101"/>
      <c r="JH30" s="101"/>
      <c r="JI30" s="101"/>
      <c r="JJ30" s="101"/>
      <c r="JK30" s="101"/>
      <c r="JL30" s="101"/>
      <c r="JM30" s="101"/>
      <c r="JN30" s="101"/>
      <c r="JO30" s="101"/>
      <c r="JP30" s="101"/>
      <c r="JQ30" s="101"/>
      <c r="JR30" s="101"/>
      <c r="JS30" s="101"/>
      <c r="JT30" s="101"/>
      <c r="JU30" s="101"/>
      <c r="JV30" s="101"/>
      <c r="JW30" s="101"/>
      <c r="JX30" s="101"/>
      <c r="JY30" s="101"/>
      <c r="JZ30" s="101"/>
      <c r="KA30" s="101"/>
      <c r="KB30" s="101"/>
      <c r="KC30" s="101"/>
      <c r="KD30" s="101"/>
      <c r="KE30" s="101"/>
      <c r="KF30" s="101"/>
      <c r="KG30" s="101"/>
      <c r="KH30" s="101"/>
      <c r="KI30" s="101"/>
      <c r="KJ30" s="101"/>
      <c r="KK30" s="101"/>
      <c r="KL30" s="101"/>
      <c r="KM30" s="101"/>
      <c r="KN30" s="101"/>
      <c r="KO30" s="101"/>
      <c r="KP30" s="101"/>
      <c r="KQ30" s="101"/>
      <c r="KR30" s="101"/>
      <c r="KS30" s="101"/>
      <c r="KT30" s="101"/>
      <c r="KU30" s="101"/>
      <c r="KV30" s="101"/>
      <c r="KW30" s="101"/>
      <c r="KX30" s="101"/>
      <c r="KY30" s="101"/>
      <c r="KZ30" s="101"/>
      <c r="LA30" s="101"/>
      <c r="LB30" s="101"/>
      <c r="LC30" s="101"/>
      <c r="LD30" s="101"/>
      <c r="LE30" s="101"/>
      <c r="LF30" s="101"/>
      <c r="LG30" s="101"/>
      <c r="LH30" s="101"/>
      <c r="LI30" s="101"/>
      <c r="LJ30" s="101"/>
      <c r="LK30" s="101"/>
      <c r="LL30" s="101"/>
      <c r="LM30" s="101"/>
      <c r="LN30" s="101"/>
      <c r="LO30" s="101"/>
      <c r="LP30" s="101"/>
      <c r="LQ30" s="101"/>
      <c r="LR30" s="101"/>
      <c r="LS30" s="101"/>
      <c r="LT30" s="101"/>
      <c r="LU30" s="101"/>
      <c r="LV30" s="101"/>
      <c r="LW30" s="101"/>
      <c r="LX30" s="101"/>
      <c r="LY30" s="101"/>
      <c r="LZ30" s="101"/>
      <c r="MA30" s="101"/>
      <c r="MB30" s="101"/>
      <c r="MC30" s="101"/>
      <c r="MD30" s="101"/>
      <c r="ME30" s="101"/>
      <c r="MF30" s="101"/>
      <c r="MG30" s="101"/>
      <c r="MH30" s="101"/>
      <c r="MI30" s="101"/>
      <c r="MJ30" s="101"/>
      <c r="MK30" s="101"/>
      <c r="ML30" s="101"/>
      <c r="MM30" s="101"/>
      <c r="MN30" s="101"/>
      <c r="MO30" s="101"/>
      <c r="MP30" s="101"/>
      <c r="MQ30" s="101"/>
      <c r="MR30" s="101"/>
      <c r="MS30" s="101"/>
      <c r="MT30" s="101"/>
      <c r="MU30" s="101"/>
      <c r="MV30" s="101"/>
      <c r="MW30" s="101"/>
      <c r="MX30" s="101"/>
      <c r="MY30" s="101"/>
      <c r="MZ30" s="101"/>
      <c r="NA30" s="101"/>
      <c r="NB30" s="101"/>
      <c r="NC30" s="101"/>
      <c r="ND30" s="101"/>
      <c r="NE30" s="101"/>
      <c r="NF30" s="101"/>
      <c r="NG30" s="101"/>
      <c r="NH30" s="101"/>
      <c r="NI30" s="101"/>
      <c r="NJ30" s="101"/>
      <c r="NK30" s="101"/>
      <c r="NL30" s="101"/>
      <c r="NM30" s="101"/>
      <c r="NN30" s="101"/>
      <c r="NO30" s="101"/>
      <c r="NP30" s="101"/>
      <c r="NQ30" s="101"/>
      <c r="NR30" s="101"/>
      <c r="NS30" s="101"/>
      <c r="NT30" s="101"/>
      <c r="NU30" s="101"/>
      <c r="NV30" s="101"/>
      <c r="NW30" s="101"/>
      <c r="NX30" s="101"/>
      <c r="NY30" s="101"/>
      <c r="NZ30" s="101"/>
      <c r="OA30" s="101"/>
      <c r="OB30" s="101"/>
      <c r="OC30" s="101"/>
      <c r="OD30" s="101"/>
      <c r="OE30" s="101"/>
      <c r="OF30" s="101"/>
      <c r="OG30" s="101"/>
      <c r="OH30" s="101"/>
      <c r="OI30" s="101"/>
      <c r="OJ30" s="101"/>
      <c r="OK30" s="101"/>
      <c r="OL30" s="101"/>
      <c r="OM30" s="101"/>
      <c r="ON30" s="101"/>
      <c r="OO30" s="101"/>
      <c r="OP30" s="101">
        <v>20</v>
      </c>
      <c r="OQ30" s="101">
        <v>20</v>
      </c>
      <c r="OR30" s="101">
        <v>20</v>
      </c>
      <c r="OS30" s="101">
        <v>20</v>
      </c>
      <c r="OT30" s="101">
        <v>20</v>
      </c>
      <c r="OU30" s="101">
        <v>40</v>
      </c>
      <c r="OV30" s="101"/>
      <c r="OW30" s="101">
        <v>40</v>
      </c>
      <c r="OX30" s="101">
        <v>40</v>
      </c>
      <c r="OY30" s="101">
        <v>40</v>
      </c>
      <c r="OZ30" s="101">
        <v>40</v>
      </c>
      <c r="PA30" s="101">
        <v>40</v>
      </c>
      <c r="PB30" s="101">
        <v>40</v>
      </c>
      <c r="PC30" s="101"/>
      <c r="PD30" s="101">
        <v>40</v>
      </c>
      <c r="PE30" s="101">
        <v>40</v>
      </c>
      <c r="PF30" s="101">
        <v>40</v>
      </c>
      <c r="PG30" s="101">
        <v>40</v>
      </c>
      <c r="PH30" s="101">
        <v>40</v>
      </c>
      <c r="PI30" s="101">
        <v>40</v>
      </c>
      <c r="PJ30" s="101"/>
      <c r="PK30" s="101">
        <v>40</v>
      </c>
      <c r="PL30" s="101">
        <v>40</v>
      </c>
      <c r="PM30" s="101">
        <v>40</v>
      </c>
      <c r="PN30" s="101">
        <v>40</v>
      </c>
      <c r="PO30" s="101">
        <v>40</v>
      </c>
      <c r="PP30" s="101">
        <v>40</v>
      </c>
      <c r="PQ30" s="101"/>
      <c r="PR30" s="101">
        <v>40</v>
      </c>
      <c r="PS30" s="101">
        <v>20</v>
      </c>
      <c r="PT30" s="101">
        <v>20</v>
      </c>
      <c r="PU30" s="101">
        <v>20</v>
      </c>
      <c r="PV30" s="101">
        <v>20</v>
      </c>
      <c r="PW30" s="101">
        <v>20</v>
      </c>
      <c r="PX30" s="101"/>
      <c r="PY30" s="101">
        <v>20</v>
      </c>
      <c r="PZ30" s="101">
        <v>20</v>
      </c>
      <c r="QA30" s="101">
        <v>20</v>
      </c>
      <c r="QB30" s="101">
        <v>20</v>
      </c>
      <c r="QC30" s="101">
        <v>20</v>
      </c>
      <c r="QD30" s="101">
        <v>8</v>
      </c>
      <c r="QE30" s="101"/>
      <c r="QF30" s="101">
        <v>8</v>
      </c>
      <c r="QG30" s="101">
        <v>8</v>
      </c>
      <c r="QH30" s="101">
        <v>8</v>
      </c>
      <c r="QI30" s="101">
        <v>8</v>
      </c>
      <c r="QJ30" s="101">
        <v>8</v>
      </c>
      <c r="QK30" s="101">
        <v>8</v>
      </c>
      <c r="QL30" s="101"/>
      <c r="QM30" s="101">
        <v>8</v>
      </c>
      <c r="QN30" s="101">
        <v>8</v>
      </c>
      <c r="QO30" s="101">
        <v>8</v>
      </c>
      <c r="QP30" s="101">
        <v>8</v>
      </c>
      <c r="QQ30" s="101">
        <v>8</v>
      </c>
      <c r="QR30" s="101">
        <v>8</v>
      </c>
      <c r="QS30" s="101"/>
      <c r="QT30" s="101">
        <v>8</v>
      </c>
      <c r="QU30" s="101"/>
      <c r="QV30" s="101"/>
      <c r="QW30" s="101"/>
      <c r="QX30" s="101"/>
      <c r="QY30" s="101"/>
      <c r="QZ30" s="101"/>
      <c r="RA30" s="101"/>
      <c r="RB30" s="101"/>
      <c r="RC30" s="101"/>
      <c r="RD30" s="101"/>
      <c r="RE30" s="101"/>
      <c r="RF30" s="101"/>
      <c r="RG30" s="101"/>
      <c r="RH30" s="101"/>
      <c r="RI30" s="101"/>
      <c r="RJ30" s="101"/>
      <c r="RK30" s="101"/>
      <c r="RL30" s="101"/>
      <c r="RM30" s="101"/>
      <c r="RN30" s="101"/>
      <c r="RO30" s="101"/>
      <c r="RP30" s="101"/>
      <c r="RQ30" s="101"/>
      <c r="RR30" s="101"/>
      <c r="RS30" s="101"/>
      <c r="RT30" s="101"/>
      <c r="RU30" s="101"/>
      <c r="RV30" s="101"/>
      <c r="RW30" s="101"/>
      <c r="RX30" s="101"/>
      <c r="RY30" s="101"/>
      <c r="RZ30" s="101"/>
      <c r="SA30" s="101"/>
      <c r="SB30" s="101"/>
      <c r="SC30" s="101"/>
      <c r="SD30" s="101"/>
      <c r="SE30" s="101"/>
      <c r="SF30" s="101"/>
      <c r="SG30" s="101"/>
      <c r="SH30" s="101"/>
      <c r="SI30" s="101"/>
      <c r="SJ30" s="101"/>
      <c r="SK30" s="101"/>
      <c r="SL30" s="101"/>
      <c r="SM30" s="101"/>
      <c r="SN30" s="101"/>
      <c r="SO30" s="101"/>
      <c r="SP30" s="101"/>
      <c r="SQ30" s="101"/>
      <c r="SR30" s="101"/>
      <c r="SS30" s="101"/>
      <c r="ST30" s="101"/>
      <c r="SU30" s="101"/>
      <c r="SV30" s="101"/>
      <c r="SW30" s="101"/>
      <c r="SX30" s="101"/>
      <c r="SY30" s="101"/>
      <c r="SZ30" s="101"/>
      <c r="TA30" s="101"/>
      <c r="TB30" s="101"/>
      <c r="TC30" s="101"/>
      <c r="TD30" s="101"/>
      <c r="TE30" s="101"/>
      <c r="TF30" s="101"/>
      <c r="TG30" s="101"/>
      <c r="TH30" s="101"/>
      <c r="TI30" s="101"/>
      <c r="TJ30" s="101"/>
      <c r="TK30" s="101"/>
      <c r="TL30" s="101"/>
      <c r="TM30" s="101"/>
      <c r="TN30" s="101"/>
      <c r="TO30" s="101"/>
      <c r="TP30" s="101"/>
      <c r="TQ30" s="101"/>
      <c r="TR30" s="101"/>
      <c r="TS30" s="101"/>
      <c r="TT30" s="101"/>
      <c r="TU30" s="101"/>
      <c r="TV30" s="101"/>
      <c r="TW30" s="101"/>
      <c r="TX30" s="101"/>
      <c r="TY30" s="101"/>
      <c r="TZ30" s="101"/>
      <c r="UA30" s="101"/>
      <c r="UB30" s="101"/>
      <c r="UC30" s="101"/>
      <c r="UD30" s="101"/>
      <c r="UE30" s="101"/>
      <c r="UF30" s="101"/>
      <c r="UG30" s="101"/>
      <c r="UH30" s="101"/>
      <c r="UI30" s="101"/>
      <c r="UJ30" s="101"/>
      <c r="UK30" s="101"/>
      <c r="UL30" s="101"/>
      <c r="UM30" s="101"/>
      <c r="UN30" s="101"/>
      <c r="UO30" s="101"/>
      <c r="UP30" s="101"/>
      <c r="UQ30" s="101"/>
      <c r="UR30" s="101"/>
      <c r="US30" s="101"/>
      <c r="UT30" s="101"/>
      <c r="UU30" s="101"/>
      <c r="UV30" s="101"/>
      <c r="UW30" s="101"/>
      <c r="UX30" s="101"/>
      <c r="UY30" s="101"/>
      <c r="UZ30" s="101"/>
      <c r="VA30" s="101"/>
      <c r="VB30" s="101"/>
      <c r="VC30" s="101"/>
      <c r="VD30" s="101"/>
      <c r="VE30" s="101"/>
      <c r="VF30" s="101"/>
      <c r="VG30" s="101"/>
      <c r="VH30" s="101"/>
      <c r="VI30" s="101"/>
      <c r="VJ30" s="101"/>
      <c r="VK30" s="101"/>
      <c r="VL30" s="101"/>
      <c r="VM30" s="101"/>
      <c r="VN30" s="101"/>
      <c r="VO30" s="101"/>
      <c r="VP30" s="101"/>
      <c r="VQ30" s="101"/>
      <c r="VR30" s="101"/>
      <c r="VS30" s="101"/>
      <c r="VT30" s="101"/>
      <c r="VU30" s="101"/>
      <c r="VV30" s="101"/>
      <c r="VW30" s="101"/>
      <c r="VX30" s="101"/>
      <c r="VY30" s="101"/>
      <c r="VZ30" s="101"/>
      <c r="WA30" s="101"/>
      <c r="WB30" s="101"/>
      <c r="WC30" s="101"/>
      <c r="WD30" s="101"/>
      <c r="WE30" s="101"/>
      <c r="WF30" s="101"/>
      <c r="WG30" s="101"/>
      <c r="WH30" s="101"/>
      <c r="WI30" s="101"/>
      <c r="WJ30" s="101"/>
      <c r="WK30" s="101"/>
      <c r="WL30" s="101"/>
      <c r="WM30" s="101"/>
      <c r="WN30" s="101"/>
      <c r="WO30" s="101"/>
      <c r="WP30" s="101"/>
      <c r="WQ30" s="101"/>
      <c r="WR30" s="101"/>
      <c r="WS30" s="101"/>
      <c r="WT30" s="101"/>
      <c r="WU30" s="101"/>
      <c r="WV30" s="101"/>
      <c r="WW30" s="101"/>
      <c r="WX30" s="101"/>
      <c r="WY30" s="101"/>
      <c r="WZ30" s="101"/>
      <c r="XA30" s="101"/>
      <c r="XB30" s="101"/>
      <c r="XC30" s="101"/>
      <c r="XD30" s="101"/>
      <c r="XE30" s="101"/>
      <c r="XF30" s="101"/>
      <c r="XG30" s="101"/>
      <c r="XH30" s="101"/>
      <c r="XI30" s="101"/>
      <c r="XJ30" s="101"/>
      <c r="XK30" s="101"/>
      <c r="XL30" s="101"/>
      <c r="XM30" s="101"/>
      <c r="XN30" s="101"/>
      <c r="XO30" s="101"/>
      <c r="XP30" s="101"/>
      <c r="XQ30" s="101"/>
      <c r="XR30" s="101"/>
      <c r="XS30" s="101"/>
      <c r="XT30" s="101"/>
      <c r="XU30" s="101"/>
      <c r="XV30" s="101"/>
      <c r="XW30" s="101"/>
      <c r="XX30" s="101"/>
      <c r="XY30" s="101"/>
      <c r="XZ30" s="101"/>
      <c r="YA30" s="101"/>
      <c r="YB30" s="101"/>
      <c r="YC30" s="101"/>
      <c r="YD30" s="101"/>
      <c r="YE30" s="101"/>
      <c r="YF30" s="101"/>
      <c r="YG30" s="101"/>
      <c r="YH30" s="101"/>
      <c r="YI30" s="101"/>
      <c r="YJ30" s="101"/>
      <c r="YK30" s="101"/>
      <c r="YL30" s="101"/>
      <c r="YM30" s="101"/>
      <c r="YN30" s="101"/>
      <c r="YO30" s="101"/>
      <c r="YP30" s="101"/>
      <c r="YQ30" s="101"/>
      <c r="YR30" s="101"/>
      <c r="YS30" s="101"/>
      <c r="YT30" s="101"/>
      <c r="YU30" s="101"/>
      <c r="YV30" s="101"/>
      <c r="YW30" s="101"/>
      <c r="YX30" s="101"/>
      <c r="YY30" s="101"/>
      <c r="YZ30" s="101"/>
      <c r="ZA30" s="101"/>
      <c r="ZB30" s="101"/>
      <c r="ZC30" s="101"/>
      <c r="ZD30" s="101"/>
      <c r="ZE30" s="101"/>
      <c r="ZF30" s="101"/>
      <c r="ZG30" s="101"/>
      <c r="ZH30" s="101"/>
    </row>
    <row r="31" spans="1:684">
      <c r="A31" s="75" t="s">
        <v>69</v>
      </c>
      <c r="B31" s="101"/>
      <c r="C31" s="101">
        <v>3</v>
      </c>
      <c r="D31" s="101">
        <v>3</v>
      </c>
      <c r="E31" s="101">
        <v>3</v>
      </c>
      <c r="F31" s="101"/>
      <c r="G31" s="101">
        <v>3</v>
      </c>
      <c r="H31" s="101">
        <v>3</v>
      </c>
      <c r="I31" s="101">
        <v>3</v>
      </c>
      <c r="J31" s="101">
        <v>3</v>
      </c>
      <c r="K31" s="101">
        <v>3</v>
      </c>
      <c r="L31" s="101">
        <v>3</v>
      </c>
      <c r="M31" s="101"/>
      <c r="N31" s="101">
        <v>3</v>
      </c>
      <c r="O31" s="101">
        <v>3</v>
      </c>
      <c r="P31" s="101">
        <v>3</v>
      </c>
      <c r="Q31" s="101">
        <v>3</v>
      </c>
      <c r="R31" s="101">
        <v>3</v>
      </c>
      <c r="S31" s="101"/>
      <c r="T31" s="101"/>
      <c r="U31" s="101">
        <v>3</v>
      </c>
      <c r="V31" s="101">
        <v>4</v>
      </c>
      <c r="W31" s="101">
        <v>4</v>
      </c>
      <c r="X31" s="101">
        <v>4</v>
      </c>
      <c r="Y31" s="101">
        <v>4</v>
      </c>
      <c r="Z31" s="101">
        <v>4</v>
      </c>
      <c r="AA31" s="101"/>
      <c r="AB31" s="101">
        <v>5</v>
      </c>
      <c r="AC31" s="101">
        <v>5</v>
      </c>
      <c r="AD31" s="101">
        <v>5</v>
      </c>
      <c r="AE31" s="101">
        <v>5</v>
      </c>
      <c r="AF31" s="101">
        <v>5</v>
      </c>
      <c r="AG31" s="101">
        <v>5</v>
      </c>
      <c r="AH31" s="101"/>
      <c r="AI31" s="101">
        <v>5</v>
      </c>
      <c r="AJ31" s="101">
        <v>1</v>
      </c>
      <c r="AK31" s="101">
        <v>1</v>
      </c>
      <c r="AL31" s="101">
        <v>1</v>
      </c>
      <c r="AM31" s="101">
        <v>10</v>
      </c>
      <c r="AN31" s="101">
        <v>10</v>
      </c>
      <c r="AO31" s="101"/>
      <c r="AP31" s="101">
        <v>10</v>
      </c>
      <c r="AQ31" s="101">
        <v>10</v>
      </c>
      <c r="AR31" s="101">
        <v>10</v>
      </c>
      <c r="AS31" s="101">
        <v>13</v>
      </c>
      <c r="AT31" s="101">
        <v>3</v>
      </c>
      <c r="AU31" s="101">
        <v>3</v>
      </c>
      <c r="AV31" s="101"/>
      <c r="AW31" s="101">
        <v>3</v>
      </c>
      <c r="AX31" s="101">
        <v>3</v>
      </c>
      <c r="AY31" s="101">
        <v>3</v>
      </c>
      <c r="AZ31" s="101">
        <v>3</v>
      </c>
      <c r="BA31" s="101">
        <v>3</v>
      </c>
      <c r="BB31" s="101">
        <v>3</v>
      </c>
      <c r="BC31" s="101"/>
      <c r="BD31" s="101">
        <v>3</v>
      </c>
      <c r="BE31" s="101">
        <v>3</v>
      </c>
      <c r="BF31" s="101">
        <v>3</v>
      </c>
      <c r="BG31" s="101">
        <v>8</v>
      </c>
      <c r="BH31" s="101">
        <v>8</v>
      </c>
      <c r="BI31" s="101">
        <v>8</v>
      </c>
      <c r="BJ31" s="101">
        <v>5</v>
      </c>
      <c r="BK31" s="101">
        <v>28</v>
      </c>
      <c r="BL31" s="101">
        <v>28</v>
      </c>
      <c r="BM31" s="101">
        <v>28</v>
      </c>
      <c r="BN31" s="101">
        <v>28</v>
      </c>
      <c r="BO31" s="101">
        <v>23</v>
      </c>
      <c r="BP31" s="101">
        <v>55</v>
      </c>
      <c r="BQ31" s="101">
        <v>5</v>
      </c>
      <c r="BR31" s="101">
        <v>55</v>
      </c>
      <c r="BS31" s="101">
        <v>55</v>
      </c>
      <c r="BT31" s="101">
        <v>55</v>
      </c>
      <c r="BU31" s="101">
        <v>55</v>
      </c>
      <c r="BV31" s="101">
        <v>40</v>
      </c>
      <c r="BW31" s="101">
        <v>40</v>
      </c>
      <c r="BX31" s="101"/>
      <c r="BY31" s="101">
        <v>30</v>
      </c>
      <c r="BZ31" s="101">
        <v>10</v>
      </c>
      <c r="CA31" s="101">
        <v>10</v>
      </c>
      <c r="CB31" s="101">
        <v>10</v>
      </c>
      <c r="CC31" s="101">
        <v>10</v>
      </c>
      <c r="CD31" s="101">
        <v>10</v>
      </c>
      <c r="CE31" s="101"/>
      <c r="CF31" s="101"/>
      <c r="CG31" s="101"/>
      <c r="CH31" s="101">
        <v>10</v>
      </c>
      <c r="CI31" s="101">
        <v>10</v>
      </c>
      <c r="CJ31" s="101">
        <v>10</v>
      </c>
      <c r="CK31" s="101">
        <v>10</v>
      </c>
      <c r="CL31" s="101"/>
      <c r="CM31" s="101">
        <v>10</v>
      </c>
      <c r="CN31" s="101">
        <v>10</v>
      </c>
      <c r="CO31" s="101"/>
      <c r="CP31" s="101"/>
      <c r="CQ31" s="101"/>
      <c r="CR31" s="101"/>
      <c r="CS31" s="101"/>
      <c r="CT31" s="101"/>
      <c r="CU31" s="101"/>
      <c r="CV31" s="101">
        <v>10</v>
      </c>
      <c r="CW31" s="101">
        <v>10</v>
      </c>
      <c r="CX31" s="101">
        <v>10</v>
      </c>
      <c r="CY31" s="101">
        <v>10</v>
      </c>
      <c r="CZ31" s="101">
        <v>10</v>
      </c>
      <c r="DA31" s="101">
        <v>20</v>
      </c>
      <c r="DB31" s="101">
        <v>20</v>
      </c>
      <c r="DC31" s="101">
        <v>20</v>
      </c>
      <c r="DD31" s="101">
        <v>10</v>
      </c>
      <c r="DE31" s="101">
        <v>10</v>
      </c>
      <c r="DF31" s="101">
        <v>30</v>
      </c>
      <c r="DG31" s="101"/>
      <c r="DH31" s="101">
        <v>30</v>
      </c>
      <c r="DI31" s="101">
        <v>30</v>
      </c>
      <c r="DJ31" s="101">
        <v>40</v>
      </c>
      <c r="DK31" s="101">
        <v>50</v>
      </c>
      <c r="DL31" s="101">
        <v>40</v>
      </c>
      <c r="DM31" s="101">
        <v>50</v>
      </c>
      <c r="DN31" s="101"/>
      <c r="DO31" s="101">
        <v>50</v>
      </c>
      <c r="DP31" s="101">
        <v>30</v>
      </c>
      <c r="DQ31" s="101">
        <v>30</v>
      </c>
      <c r="DR31" s="101">
        <v>30</v>
      </c>
      <c r="DS31" s="101">
        <v>20</v>
      </c>
      <c r="DT31" s="101">
        <v>10</v>
      </c>
      <c r="DU31" s="101"/>
      <c r="DV31" s="101"/>
      <c r="DW31" s="101"/>
      <c r="DX31" s="101"/>
      <c r="DY31" s="101"/>
      <c r="DZ31" s="101"/>
      <c r="EA31" s="101"/>
      <c r="EB31" s="101"/>
      <c r="EC31" s="101"/>
      <c r="ED31" s="101"/>
      <c r="EE31" s="101"/>
      <c r="EF31" s="101"/>
      <c r="EG31" s="101">
        <v>10</v>
      </c>
      <c r="EH31" s="101">
        <v>10</v>
      </c>
      <c r="EI31" s="101">
        <v>10</v>
      </c>
      <c r="EJ31" s="101">
        <v>10</v>
      </c>
      <c r="EK31" s="101"/>
      <c r="EL31" s="101">
        <v>20</v>
      </c>
      <c r="EM31" s="101">
        <v>40</v>
      </c>
      <c r="EN31" s="101">
        <v>40</v>
      </c>
      <c r="EO31" s="101">
        <v>40</v>
      </c>
      <c r="EP31" s="101">
        <v>10</v>
      </c>
      <c r="EQ31" s="101">
        <v>30</v>
      </c>
      <c r="ER31" s="101">
        <v>40</v>
      </c>
      <c r="ES31" s="101">
        <v>40</v>
      </c>
      <c r="ET31" s="101">
        <v>40</v>
      </c>
      <c r="EU31" s="101">
        <v>20</v>
      </c>
      <c r="EV31" s="101">
        <v>20</v>
      </c>
      <c r="EW31" s="101"/>
      <c r="EX31" s="101">
        <v>20</v>
      </c>
      <c r="EY31" s="101">
        <v>20</v>
      </c>
      <c r="EZ31" s="101">
        <v>20</v>
      </c>
      <c r="FA31" s="101">
        <v>10</v>
      </c>
      <c r="FB31" s="101">
        <v>10</v>
      </c>
      <c r="FC31" s="101"/>
      <c r="FD31" s="101"/>
      <c r="FE31" s="101"/>
      <c r="FF31" s="101"/>
      <c r="FG31" s="101"/>
      <c r="FH31" s="101"/>
      <c r="FI31" s="101"/>
      <c r="FJ31" s="101"/>
      <c r="FK31" s="101"/>
      <c r="FL31" s="101"/>
      <c r="FM31" s="101"/>
      <c r="FN31" s="101"/>
      <c r="FO31" s="101"/>
      <c r="FP31" s="101"/>
      <c r="FQ31" s="101"/>
      <c r="FR31" s="101"/>
      <c r="FS31" s="101"/>
      <c r="FT31" s="101"/>
      <c r="FU31" s="101"/>
      <c r="FV31" s="101"/>
      <c r="FW31" s="101"/>
      <c r="FX31" s="101"/>
      <c r="FY31" s="101"/>
      <c r="FZ31" s="101"/>
      <c r="GA31" s="101"/>
      <c r="GB31" s="101"/>
      <c r="GC31" s="101"/>
      <c r="GD31" s="101"/>
      <c r="GE31" s="101"/>
      <c r="GF31" s="101"/>
      <c r="GG31" s="101"/>
      <c r="GH31" s="101"/>
      <c r="GI31" s="101"/>
      <c r="GJ31" s="101"/>
      <c r="GK31" s="101"/>
      <c r="GL31" s="101"/>
      <c r="GM31" s="101"/>
      <c r="GN31" s="101"/>
      <c r="GO31" s="101"/>
      <c r="GP31" s="101"/>
      <c r="GQ31" s="101"/>
      <c r="GR31" s="101"/>
      <c r="GS31" s="101"/>
      <c r="GT31" s="101"/>
      <c r="GU31" s="101"/>
      <c r="GV31" s="101"/>
      <c r="GW31" s="101"/>
      <c r="GX31" s="101"/>
      <c r="GY31" s="101"/>
      <c r="GZ31" s="101"/>
      <c r="HA31" s="101"/>
      <c r="HB31" s="101"/>
      <c r="HC31" s="101"/>
      <c r="HD31" s="101"/>
      <c r="HE31" s="101"/>
      <c r="HF31" s="101"/>
      <c r="HG31" s="101"/>
      <c r="HH31" s="101"/>
      <c r="HI31" s="101"/>
      <c r="HJ31" s="101"/>
      <c r="HK31" s="101"/>
      <c r="HL31" s="101"/>
      <c r="HM31" s="101"/>
      <c r="HN31" s="101"/>
      <c r="HO31" s="101"/>
      <c r="HP31" s="101"/>
      <c r="HQ31" s="101"/>
      <c r="HR31" s="101"/>
      <c r="HS31" s="101"/>
      <c r="HT31" s="101"/>
      <c r="HU31" s="101"/>
      <c r="HV31" s="101"/>
      <c r="HW31" s="101"/>
      <c r="HX31" s="101"/>
      <c r="HY31" s="101"/>
      <c r="HZ31" s="101"/>
      <c r="IA31" s="101"/>
      <c r="IB31" s="101"/>
      <c r="IC31" s="101"/>
      <c r="ID31" s="101"/>
      <c r="IE31" s="101"/>
      <c r="IF31" s="101"/>
      <c r="IG31" s="101"/>
      <c r="IH31" s="101"/>
      <c r="II31" s="101"/>
      <c r="IJ31" s="101"/>
      <c r="IK31" s="101"/>
      <c r="IL31" s="101"/>
      <c r="IM31" s="101"/>
      <c r="IN31" s="101"/>
      <c r="IO31" s="101"/>
      <c r="IP31" s="101"/>
      <c r="IQ31" s="101"/>
      <c r="IR31" s="101"/>
      <c r="IS31" s="101"/>
      <c r="IT31" s="101"/>
      <c r="IU31" s="101"/>
      <c r="IV31" s="101"/>
      <c r="IW31" s="101"/>
      <c r="IX31" s="101"/>
      <c r="IY31" s="101"/>
      <c r="IZ31" s="101"/>
      <c r="JA31" s="101"/>
      <c r="JB31" s="101">
        <v>4</v>
      </c>
      <c r="JC31" s="101">
        <v>4</v>
      </c>
      <c r="JD31" s="101">
        <v>4</v>
      </c>
      <c r="JE31" s="101"/>
      <c r="JF31" s="101">
        <v>4</v>
      </c>
      <c r="JG31" s="101">
        <v>4</v>
      </c>
      <c r="JH31" s="101">
        <v>8</v>
      </c>
      <c r="JI31" s="101">
        <v>10</v>
      </c>
      <c r="JJ31" s="101">
        <v>10</v>
      </c>
      <c r="JK31" s="101">
        <v>10</v>
      </c>
      <c r="JL31" s="101"/>
      <c r="JM31" s="101">
        <v>10</v>
      </c>
      <c r="JN31" s="101">
        <v>6</v>
      </c>
      <c r="JO31" s="101">
        <v>6</v>
      </c>
      <c r="JP31" s="101">
        <v>6</v>
      </c>
      <c r="JQ31" s="101">
        <v>6</v>
      </c>
      <c r="JR31" s="101">
        <v>6</v>
      </c>
      <c r="JS31" s="101"/>
      <c r="JT31" s="101">
        <v>6</v>
      </c>
      <c r="JU31" s="101">
        <v>6</v>
      </c>
      <c r="JV31" s="101">
        <v>6</v>
      </c>
      <c r="JW31" s="101">
        <v>6</v>
      </c>
      <c r="JX31" s="101">
        <v>6</v>
      </c>
      <c r="JY31" s="101">
        <v>6</v>
      </c>
      <c r="JZ31" s="101"/>
      <c r="KA31" s="101">
        <v>6</v>
      </c>
      <c r="KB31" s="101">
        <v>10</v>
      </c>
      <c r="KC31" s="101">
        <v>10</v>
      </c>
      <c r="KD31" s="101">
        <v>10</v>
      </c>
      <c r="KE31" s="101">
        <v>10</v>
      </c>
      <c r="KF31" s="101">
        <v>10</v>
      </c>
      <c r="KG31" s="101"/>
      <c r="KH31" s="101">
        <v>10</v>
      </c>
      <c r="KI31" s="101">
        <v>10</v>
      </c>
      <c r="KJ31" s="101">
        <v>10</v>
      </c>
      <c r="KK31" s="101">
        <v>6</v>
      </c>
      <c r="KL31" s="101"/>
      <c r="KM31" s="101"/>
      <c r="KN31" s="101"/>
      <c r="KO31" s="101"/>
      <c r="KP31" s="101"/>
      <c r="KQ31" s="101"/>
      <c r="KR31" s="101">
        <v>8</v>
      </c>
      <c r="KS31" s="101">
        <v>10</v>
      </c>
      <c r="KT31" s="101">
        <v>10</v>
      </c>
      <c r="KU31" s="101"/>
      <c r="KV31" s="101">
        <v>10</v>
      </c>
      <c r="KW31" s="101">
        <v>10</v>
      </c>
      <c r="KX31" s="101">
        <v>10</v>
      </c>
      <c r="KY31" s="101">
        <v>10</v>
      </c>
      <c r="KZ31" s="101">
        <v>10</v>
      </c>
      <c r="LA31" s="101">
        <v>10</v>
      </c>
      <c r="LB31" s="101"/>
      <c r="LC31" s="101">
        <v>10</v>
      </c>
      <c r="LD31" s="101">
        <v>6</v>
      </c>
      <c r="LE31" s="101">
        <v>6</v>
      </c>
      <c r="LF31" s="101">
        <v>6</v>
      </c>
      <c r="LG31" s="101">
        <v>6</v>
      </c>
      <c r="LH31" s="101">
        <v>6</v>
      </c>
      <c r="LI31" s="101"/>
      <c r="LJ31" s="101">
        <v>6</v>
      </c>
      <c r="LK31" s="101">
        <v>6</v>
      </c>
      <c r="LL31" s="101">
        <v>6</v>
      </c>
      <c r="LM31" s="101">
        <v>6</v>
      </c>
      <c r="LN31" s="101">
        <v>6</v>
      </c>
      <c r="LO31" s="101">
        <v>6</v>
      </c>
      <c r="LP31" s="101"/>
      <c r="LQ31" s="101">
        <v>6</v>
      </c>
      <c r="LR31" s="101">
        <v>6</v>
      </c>
      <c r="LS31" s="101">
        <v>6</v>
      </c>
      <c r="LT31" s="101">
        <v>6</v>
      </c>
      <c r="LU31" s="101">
        <v>6</v>
      </c>
      <c r="LV31" s="101">
        <v>6</v>
      </c>
      <c r="LW31" s="101"/>
      <c r="LX31" s="101">
        <v>6</v>
      </c>
      <c r="LY31" s="101">
        <v>6</v>
      </c>
      <c r="LZ31" s="101">
        <v>6</v>
      </c>
      <c r="MA31" s="101">
        <v>6</v>
      </c>
      <c r="MB31" s="101">
        <v>6</v>
      </c>
      <c r="MC31" s="101">
        <v>6</v>
      </c>
      <c r="MD31" s="101"/>
      <c r="ME31" s="101">
        <v>6</v>
      </c>
      <c r="MF31" s="101">
        <v>6</v>
      </c>
      <c r="MG31" s="101">
        <v>6</v>
      </c>
      <c r="MH31" s="101">
        <v>6</v>
      </c>
      <c r="MI31" s="101">
        <v>6</v>
      </c>
      <c r="MJ31" s="101">
        <v>6</v>
      </c>
      <c r="MK31" s="101"/>
      <c r="ML31" s="101">
        <v>6</v>
      </c>
      <c r="MM31" s="101">
        <v>6</v>
      </c>
      <c r="MN31" s="101">
        <v>6</v>
      </c>
      <c r="MO31" s="101">
        <v>6</v>
      </c>
      <c r="MP31" s="101">
        <v>6</v>
      </c>
      <c r="MQ31" s="101">
        <v>6</v>
      </c>
      <c r="MR31" s="101"/>
      <c r="MS31" s="101">
        <v>6</v>
      </c>
      <c r="MT31" s="101">
        <v>6</v>
      </c>
      <c r="MU31" s="101">
        <v>16</v>
      </c>
      <c r="MV31" s="101">
        <v>16</v>
      </c>
      <c r="MW31" s="101">
        <v>16</v>
      </c>
      <c r="MX31" s="101">
        <v>16</v>
      </c>
      <c r="MY31" s="101">
        <v>10</v>
      </c>
      <c r="MZ31" s="101">
        <v>16</v>
      </c>
      <c r="NA31" s="101">
        <v>16</v>
      </c>
      <c r="NB31" s="101">
        <v>16</v>
      </c>
      <c r="NC31" s="101">
        <v>16</v>
      </c>
      <c r="ND31" s="101">
        <v>16</v>
      </c>
      <c r="NE31" s="101">
        <v>6</v>
      </c>
      <c r="NF31" s="101"/>
      <c r="NG31" s="101">
        <v>6</v>
      </c>
      <c r="NH31" s="101">
        <v>6</v>
      </c>
      <c r="NI31" s="101">
        <v>16</v>
      </c>
      <c r="NJ31" s="101">
        <v>16</v>
      </c>
      <c r="NK31" s="101">
        <v>30</v>
      </c>
      <c r="NL31" s="101">
        <v>40</v>
      </c>
      <c r="NM31" s="101">
        <v>20</v>
      </c>
      <c r="NN31" s="101">
        <v>40</v>
      </c>
      <c r="NO31" s="101">
        <v>40</v>
      </c>
      <c r="NP31" s="101">
        <v>40</v>
      </c>
      <c r="NQ31" s="101">
        <v>40</v>
      </c>
      <c r="NR31" s="101">
        <v>40</v>
      </c>
      <c r="NS31" s="101">
        <v>40</v>
      </c>
      <c r="NT31" s="101">
        <v>20</v>
      </c>
      <c r="NU31" s="101">
        <v>40</v>
      </c>
      <c r="NV31" s="101">
        <v>40</v>
      </c>
      <c r="NW31" s="101">
        <v>40</v>
      </c>
      <c r="NX31" s="101">
        <v>40</v>
      </c>
      <c r="NY31" s="101">
        <v>40</v>
      </c>
      <c r="NZ31" s="101">
        <v>40</v>
      </c>
      <c r="OA31" s="101">
        <v>20</v>
      </c>
      <c r="OB31" s="101">
        <v>40</v>
      </c>
      <c r="OC31" s="101">
        <v>30</v>
      </c>
      <c r="OD31" s="101">
        <v>30</v>
      </c>
      <c r="OE31" s="101">
        <v>30</v>
      </c>
      <c r="OF31" s="101">
        <v>20</v>
      </c>
      <c r="OG31" s="101">
        <v>20</v>
      </c>
      <c r="OH31" s="101"/>
      <c r="OI31" s="101">
        <v>20</v>
      </c>
      <c r="OJ31" s="101">
        <v>30</v>
      </c>
      <c r="OK31" s="101">
        <v>30</v>
      </c>
      <c r="OL31" s="101">
        <v>40</v>
      </c>
      <c r="OM31" s="101">
        <v>50</v>
      </c>
      <c r="ON31" s="101">
        <v>60</v>
      </c>
      <c r="OO31" s="101">
        <v>20</v>
      </c>
      <c r="OP31" s="101">
        <v>60</v>
      </c>
      <c r="OQ31" s="101">
        <v>60</v>
      </c>
      <c r="OR31" s="101">
        <v>60</v>
      </c>
      <c r="OS31" s="101">
        <v>60</v>
      </c>
      <c r="OT31" s="101">
        <v>40</v>
      </c>
      <c r="OU31" s="101">
        <v>40</v>
      </c>
      <c r="OV31" s="101">
        <v>40</v>
      </c>
      <c r="OW31" s="101">
        <v>60</v>
      </c>
      <c r="OX31" s="101">
        <v>70</v>
      </c>
      <c r="OY31" s="101">
        <v>60</v>
      </c>
      <c r="OZ31" s="101">
        <v>60</v>
      </c>
      <c r="PA31" s="101">
        <v>60</v>
      </c>
      <c r="PB31" s="101">
        <v>50</v>
      </c>
      <c r="PC31" s="101">
        <v>30</v>
      </c>
      <c r="PD31" s="101">
        <v>40</v>
      </c>
      <c r="PE31" s="101">
        <v>40</v>
      </c>
      <c r="PF31" s="101">
        <v>20</v>
      </c>
      <c r="PG31" s="101">
        <v>20</v>
      </c>
      <c r="PH31" s="101">
        <v>20</v>
      </c>
      <c r="PI31" s="101">
        <v>20</v>
      </c>
      <c r="PJ31" s="101">
        <v>20</v>
      </c>
      <c r="PK31" s="101">
        <v>20</v>
      </c>
      <c r="PL31" s="101">
        <v>20</v>
      </c>
      <c r="PM31" s="101">
        <v>20</v>
      </c>
      <c r="PN31" s="101">
        <v>20</v>
      </c>
      <c r="PO31" s="101">
        <v>20</v>
      </c>
      <c r="PP31" s="101">
        <v>10</v>
      </c>
      <c r="PQ31" s="101">
        <v>10</v>
      </c>
      <c r="PR31" s="101">
        <v>10</v>
      </c>
      <c r="PS31" s="101">
        <v>10</v>
      </c>
      <c r="PT31" s="101">
        <v>20</v>
      </c>
      <c r="PU31" s="101">
        <v>20</v>
      </c>
      <c r="PV31" s="101">
        <v>20</v>
      </c>
      <c r="PW31" s="101">
        <v>40</v>
      </c>
      <c r="PX31" s="101">
        <v>40</v>
      </c>
      <c r="PY31" s="101">
        <v>60</v>
      </c>
      <c r="PZ31" s="101">
        <v>60</v>
      </c>
      <c r="QA31" s="101">
        <v>60</v>
      </c>
      <c r="QB31" s="101">
        <v>50</v>
      </c>
      <c r="QC31" s="101">
        <v>50</v>
      </c>
      <c r="QD31" s="101">
        <v>50</v>
      </c>
      <c r="QE31" s="101">
        <v>30</v>
      </c>
      <c r="QF31" s="101">
        <v>50</v>
      </c>
      <c r="QG31" s="101">
        <v>50</v>
      </c>
      <c r="QH31" s="101">
        <v>60</v>
      </c>
      <c r="QI31" s="101">
        <v>80</v>
      </c>
      <c r="QJ31" s="101">
        <v>100</v>
      </c>
      <c r="QK31" s="101">
        <v>100</v>
      </c>
      <c r="QL31" s="101">
        <v>40</v>
      </c>
      <c r="QM31" s="101">
        <v>80</v>
      </c>
      <c r="QN31" s="101">
        <v>70</v>
      </c>
      <c r="QO31" s="101">
        <v>70</v>
      </c>
      <c r="QP31" s="101">
        <v>50</v>
      </c>
      <c r="QQ31" s="101">
        <v>50</v>
      </c>
      <c r="QR31" s="101">
        <v>44</v>
      </c>
      <c r="QS31" s="101">
        <v>24</v>
      </c>
      <c r="QT31" s="101">
        <v>54</v>
      </c>
      <c r="QU31" s="101">
        <v>74</v>
      </c>
      <c r="QV31" s="101">
        <v>74</v>
      </c>
      <c r="QW31" s="101">
        <v>94</v>
      </c>
      <c r="QX31" s="101">
        <v>70</v>
      </c>
      <c r="QY31" s="101">
        <v>70</v>
      </c>
      <c r="QZ31" s="101">
        <v>30</v>
      </c>
      <c r="RA31" s="101">
        <v>70</v>
      </c>
      <c r="RB31" s="101">
        <v>50</v>
      </c>
      <c r="RC31" s="101">
        <v>50</v>
      </c>
      <c r="RD31" s="101">
        <v>44</v>
      </c>
      <c r="RE31" s="101">
        <v>46</v>
      </c>
      <c r="RF31" s="101">
        <v>46</v>
      </c>
      <c r="RG31" s="101">
        <v>36</v>
      </c>
      <c r="RH31" s="101">
        <v>56</v>
      </c>
      <c r="RI31" s="101">
        <v>56</v>
      </c>
      <c r="RJ31" s="101">
        <v>32</v>
      </c>
      <c r="RK31" s="101">
        <v>32</v>
      </c>
      <c r="RL31" s="101">
        <v>32</v>
      </c>
      <c r="RM31" s="101">
        <v>34</v>
      </c>
      <c r="RN31" s="101">
        <v>14</v>
      </c>
      <c r="RO31" s="101">
        <v>12</v>
      </c>
      <c r="RP31" s="101">
        <v>16</v>
      </c>
      <c r="RQ31" s="101">
        <v>6</v>
      </c>
      <c r="RR31" s="101">
        <v>6</v>
      </c>
      <c r="RS31" s="101">
        <v>6</v>
      </c>
      <c r="RT31" s="101">
        <v>6</v>
      </c>
      <c r="RU31" s="101">
        <v>6</v>
      </c>
      <c r="RV31" s="101">
        <v>2</v>
      </c>
      <c r="RW31" s="101">
        <v>2</v>
      </c>
      <c r="RX31" s="101">
        <v>2</v>
      </c>
      <c r="RY31" s="101">
        <v>4</v>
      </c>
      <c r="RZ31" s="101">
        <v>4</v>
      </c>
      <c r="SA31" s="101">
        <v>2</v>
      </c>
      <c r="SB31" s="101">
        <v>2</v>
      </c>
      <c r="SC31" s="101">
        <v>2</v>
      </c>
      <c r="SD31" s="101">
        <v>2</v>
      </c>
      <c r="SE31" s="101">
        <v>2</v>
      </c>
      <c r="SF31" s="101">
        <v>2</v>
      </c>
      <c r="SG31" s="101">
        <v>2</v>
      </c>
      <c r="SH31" s="101">
        <v>2</v>
      </c>
      <c r="SI31" s="101">
        <v>2</v>
      </c>
      <c r="SJ31" s="101">
        <v>2</v>
      </c>
      <c r="SK31" s="101">
        <v>4</v>
      </c>
      <c r="SL31" s="101">
        <v>4</v>
      </c>
      <c r="SM31" s="101">
        <v>2</v>
      </c>
      <c r="SN31" s="101">
        <v>2</v>
      </c>
      <c r="SO31" s="101"/>
      <c r="SP31" s="101"/>
      <c r="SQ31" s="101"/>
      <c r="SR31" s="101"/>
      <c r="SS31" s="101"/>
      <c r="ST31" s="101"/>
      <c r="SU31" s="101"/>
      <c r="SV31" s="101"/>
      <c r="SW31" s="101"/>
      <c r="SX31" s="101"/>
      <c r="SY31" s="101"/>
      <c r="SZ31" s="101"/>
      <c r="TA31" s="101"/>
      <c r="TB31" s="101"/>
      <c r="TC31" s="101"/>
      <c r="TD31" s="101"/>
      <c r="TE31" s="101"/>
      <c r="TF31" s="101"/>
      <c r="TG31" s="101"/>
      <c r="TH31" s="101"/>
      <c r="TI31" s="101"/>
      <c r="TJ31" s="101"/>
      <c r="TK31" s="101"/>
      <c r="TL31" s="101"/>
      <c r="TM31" s="101"/>
      <c r="TN31" s="101"/>
      <c r="TO31" s="101"/>
      <c r="TP31" s="101"/>
      <c r="TQ31" s="101"/>
      <c r="TR31" s="101"/>
      <c r="TS31" s="101"/>
      <c r="TT31" s="101"/>
      <c r="TU31" s="101"/>
      <c r="TV31" s="101"/>
      <c r="TW31" s="101"/>
      <c r="TX31" s="101"/>
      <c r="TY31" s="101"/>
      <c r="TZ31" s="101"/>
      <c r="UA31" s="101"/>
      <c r="UB31" s="101"/>
      <c r="UC31" s="101"/>
      <c r="UD31" s="101"/>
      <c r="UE31" s="101"/>
      <c r="UF31" s="101"/>
      <c r="UG31" s="101"/>
      <c r="UH31" s="101"/>
      <c r="UI31" s="101"/>
      <c r="UJ31" s="101"/>
      <c r="UK31" s="101"/>
      <c r="UL31" s="101"/>
      <c r="UM31" s="101"/>
      <c r="UN31" s="101"/>
      <c r="UO31" s="101"/>
      <c r="UP31" s="101"/>
      <c r="UQ31" s="101"/>
      <c r="UR31" s="101"/>
      <c r="US31" s="101"/>
      <c r="UT31" s="101"/>
      <c r="UU31" s="101"/>
      <c r="UV31" s="101"/>
      <c r="UW31" s="101"/>
      <c r="UX31" s="101"/>
      <c r="UY31" s="101"/>
      <c r="UZ31" s="101"/>
      <c r="VA31" s="101"/>
      <c r="VB31" s="101"/>
      <c r="VC31" s="101"/>
      <c r="VD31" s="101"/>
      <c r="VE31" s="101"/>
      <c r="VF31" s="101"/>
      <c r="VG31" s="101"/>
      <c r="VH31" s="101"/>
      <c r="VI31" s="101"/>
      <c r="VJ31" s="101"/>
      <c r="VK31" s="101"/>
      <c r="VL31" s="101"/>
      <c r="VM31" s="101"/>
      <c r="VN31" s="101"/>
      <c r="VO31" s="101"/>
      <c r="VP31" s="101"/>
      <c r="VQ31" s="101"/>
      <c r="VR31" s="101"/>
      <c r="VS31" s="101"/>
      <c r="VT31" s="101"/>
      <c r="VU31" s="101"/>
      <c r="VV31" s="101"/>
      <c r="VW31" s="101"/>
      <c r="VX31" s="101"/>
      <c r="VY31" s="101"/>
      <c r="VZ31" s="101"/>
      <c r="WA31" s="101"/>
      <c r="WB31" s="101"/>
      <c r="WC31" s="101"/>
      <c r="WD31" s="101"/>
      <c r="WE31" s="101"/>
      <c r="WF31" s="101"/>
      <c r="WG31" s="101"/>
      <c r="WH31" s="101"/>
      <c r="WI31" s="101"/>
      <c r="WJ31" s="101"/>
      <c r="WK31" s="101"/>
      <c r="WL31" s="101"/>
      <c r="WM31" s="101"/>
      <c r="WN31" s="101"/>
      <c r="WO31" s="101"/>
      <c r="WP31" s="101"/>
      <c r="WQ31" s="101"/>
      <c r="WR31" s="101"/>
      <c r="WS31" s="101"/>
      <c r="WT31" s="101"/>
      <c r="WU31" s="101"/>
      <c r="WV31" s="101"/>
      <c r="WW31" s="101"/>
      <c r="WX31" s="101"/>
      <c r="WY31" s="101"/>
      <c r="WZ31" s="101"/>
      <c r="XA31" s="101"/>
      <c r="XB31" s="101"/>
      <c r="XC31" s="101"/>
      <c r="XD31" s="101"/>
      <c r="XE31" s="101"/>
      <c r="XF31" s="101"/>
      <c r="XG31" s="101"/>
      <c r="XH31" s="101"/>
      <c r="XI31" s="101"/>
      <c r="XJ31" s="101"/>
      <c r="XK31" s="101"/>
      <c r="XL31" s="101"/>
      <c r="XM31" s="101"/>
      <c r="XN31" s="101"/>
      <c r="XO31" s="101"/>
      <c r="XP31" s="101"/>
      <c r="XQ31" s="101"/>
      <c r="XR31" s="101"/>
      <c r="XS31" s="101"/>
      <c r="XT31" s="101"/>
      <c r="XU31" s="101"/>
      <c r="XV31" s="101"/>
      <c r="XW31" s="101"/>
      <c r="XX31" s="101"/>
      <c r="XY31" s="101"/>
      <c r="XZ31" s="101"/>
      <c r="YA31" s="101"/>
      <c r="YB31" s="101"/>
      <c r="YC31" s="101"/>
      <c r="YD31" s="101"/>
      <c r="YE31" s="101"/>
      <c r="YF31" s="101"/>
      <c r="YG31" s="101"/>
      <c r="YH31" s="101"/>
      <c r="YI31" s="101"/>
      <c r="YJ31" s="101"/>
      <c r="YK31" s="101"/>
      <c r="YL31" s="101"/>
      <c r="YM31" s="101"/>
      <c r="YN31" s="101"/>
      <c r="YO31" s="101"/>
      <c r="YP31" s="101"/>
      <c r="YQ31" s="101"/>
      <c r="YR31" s="101"/>
      <c r="YS31" s="101"/>
      <c r="YT31" s="101"/>
      <c r="YU31" s="101"/>
      <c r="YV31" s="101"/>
      <c r="YW31" s="101"/>
      <c r="YX31" s="101"/>
      <c r="YY31" s="101"/>
      <c r="YZ31" s="101"/>
      <c r="ZA31" s="101"/>
      <c r="ZB31" s="101"/>
      <c r="ZC31" s="101"/>
      <c r="ZD31" s="101"/>
      <c r="ZE31" s="101"/>
      <c r="ZF31" s="101"/>
      <c r="ZG31" s="101"/>
      <c r="ZH31" s="101"/>
    </row>
    <row r="32" spans="1:684">
      <c r="A32" s="75" t="s">
        <v>70</v>
      </c>
      <c r="B32" s="101"/>
      <c r="C32" s="101">
        <v>2</v>
      </c>
      <c r="D32" s="101">
        <v>2</v>
      </c>
      <c r="E32" s="101">
        <v>2</v>
      </c>
      <c r="F32" s="101"/>
      <c r="G32" s="101">
        <v>2</v>
      </c>
      <c r="H32" s="101">
        <v>2</v>
      </c>
      <c r="I32" s="101">
        <v>2</v>
      </c>
      <c r="J32" s="101">
        <v>2</v>
      </c>
      <c r="K32" s="101">
        <v>2</v>
      </c>
      <c r="L32" s="101">
        <v>2</v>
      </c>
      <c r="M32" s="101"/>
      <c r="N32" s="101">
        <v>2</v>
      </c>
      <c r="O32" s="101">
        <v>2</v>
      </c>
      <c r="P32" s="101">
        <v>2</v>
      </c>
      <c r="Q32" s="101">
        <v>2</v>
      </c>
      <c r="R32" s="101">
        <v>2</v>
      </c>
      <c r="S32" s="101"/>
      <c r="T32" s="101"/>
      <c r="U32" s="101">
        <v>2</v>
      </c>
      <c r="V32" s="101">
        <v>3</v>
      </c>
      <c r="W32" s="101">
        <v>3</v>
      </c>
      <c r="X32" s="101">
        <v>3</v>
      </c>
      <c r="Y32" s="101">
        <v>3</v>
      </c>
      <c r="Z32" s="101">
        <v>3</v>
      </c>
      <c r="AA32" s="101"/>
      <c r="AB32" s="101">
        <v>6</v>
      </c>
      <c r="AC32" s="101">
        <v>6</v>
      </c>
      <c r="AD32" s="101">
        <v>6</v>
      </c>
      <c r="AE32" s="101">
        <v>6</v>
      </c>
      <c r="AF32" s="101">
        <v>6</v>
      </c>
      <c r="AG32" s="101">
        <v>6</v>
      </c>
      <c r="AH32" s="101"/>
      <c r="AI32" s="101">
        <v>6</v>
      </c>
      <c r="AJ32" s="101">
        <v>6</v>
      </c>
      <c r="AK32" s="101">
        <v>6</v>
      </c>
      <c r="AL32" s="101">
        <v>6</v>
      </c>
      <c r="AM32" s="101">
        <v>5</v>
      </c>
      <c r="AN32" s="101">
        <v>5</v>
      </c>
      <c r="AO32" s="101"/>
      <c r="AP32" s="101">
        <v>5</v>
      </c>
      <c r="AQ32" s="101">
        <v>5</v>
      </c>
      <c r="AR32" s="101">
        <v>5</v>
      </c>
      <c r="AS32" s="101">
        <v>7</v>
      </c>
      <c r="AT32" s="101">
        <v>7</v>
      </c>
      <c r="AU32" s="101">
        <v>7</v>
      </c>
      <c r="AV32" s="101"/>
      <c r="AW32" s="101">
        <v>7</v>
      </c>
      <c r="AX32" s="101">
        <v>7</v>
      </c>
      <c r="AY32" s="101">
        <v>7</v>
      </c>
      <c r="AZ32" s="101">
        <v>7</v>
      </c>
      <c r="BA32" s="101">
        <v>7</v>
      </c>
      <c r="BB32" s="101">
        <v>7</v>
      </c>
      <c r="BC32" s="101"/>
      <c r="BD32" s="101">
        <v>7</v>
      </c>
      <c r="BE32" s="101">
        <v>7</v>
      </c>
      <c r="BF32" s="101">
        <v>7</v>
      </c>
      <c r="BG32" s="101">
        <v>7</v>
      </c>
      <c r="BH32" s="101">
        <v>7</v>
      </c>
      <c r="BI32" s="101">
        <v>7</v>
      </c>
      <c r="BJ32" s="101"/>
      <c r="BK32" s="101">
        <v>2</v>
      </c>
      <c r="BL32" s="101">
        <v>2</v>
      </c>
      <c r="BM32" s="101">
        <v>2</v>
      </c>
      <c r="BN32" s="101">
        <v>2</v>
      </c>
      <c r="BO32" s="101">
        <v>2</v>
      </c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  <c r="BZ32" s="101"/>
      <c r="CA32" s="101"/>
      <c r="CB32" s="101"/>
      <c r="CC32" s="101"/>
      <c r="CD32" s="101"/>
      <c r="CE32" s="101"/>
      <c r="CF32" s="101"/>
      <c r="CG32" s="101"/>
      <c r="CH32" s="101"/>
      <c r="CI32" s="101"/>
      <c r="CJ32" s="101"/>
      <c r="CK32" s="101"/>
      <c r="CL32" s="101"/>
      <c r="CM32" s="101"/>
      <c r="CN32" s="101"/>
      <c r="CO32" s="101"/>
      <c r="CP32" s="101"/>
      <c r="CQ32" s="101"/>
      <c r="CR32" s="101"/>
      <c r="CS32" s="101"/>
      <c r="CT32" s="101"/>
      <c r="CU32" s="101"/>
      <c r="CV32" s="101">
        <v>10</v>
      </c>
      <c r="CW32" s="101">
        <v>10</v>
      </c>
      <c r="CX32" s="101">
        <v>10</v>
      </c>
      <c r="CY32" s="101">
        <v>10</v>
      </c>
      <c r="CZ32" s="101"/>
      <c r="DA32" s="101">
        <v>10</v>
      </c>
      <c r="DB32" s="101">
        <v>10</v>
      </c>
      <c r="DC32" s="101">
        <v>10</v>
      </c>
      <c r="DD32" s="101">
        <v>10</v>
      </c>
      <c r="DE32" s="101">
        <v>10</v>
      </c>
      <c r="DF32" s="101">
        <v>10</v>
      </c>
      <c r="DG32" s="101"/>
      <c r="DH32" s="101">
        <v>10</v>
      </c>
      <c r="DI32" s="101">
        <v>10</v>
      </c>
      <c r="DJ32" s="101"/>
      <c r="DK32" s="101"/>
      <c r="DL32" s="101"/>
      <c r="DM32" s="101"/>
      <c r="DN32" s="101"/>
      <c r="DO32" s="101"/>
      <c r="DP32" s="101"/>
      <c r="DQ32" s="101"/>
      <c r="DR32" s="101"/>
      <c r="DS32" s="101"/>
      <c r="DT32" s="101"/>
      <c r="DU32" s="101"/>
      <c r="DV32" s="101"/>
      <c r="DW32" s="101"/>
      <c r="DX32" s="101"/>
      <c r="DY32" s="101"/>
      <c r="DZ32" s="101"/>
      <c r="EA32" s="101"/>
      <c r="EB32" s="101"/>
      <c r="EC32" s="101"/>
      <c r="ED32" s="101"/>
      <c r="EE32" s="101"/>
      <c r="EF32" s="101"/>
      <c r="EG32" s="101"/>
      <c r="EH32" s="101"/>
      <c r="EI32" s="101"/>
      <c r="EJ32" s="101"/>
      <c r="EK32" s="101"/>
      <c r="EL32" s="101"/>
      <c r="EM32" s="101"/>
      <c r="EN32" s="101"/>
      <c r="EO32" s="101"/>
      <c r="EP32" s="101"/>
      <c r="EQ32" s="101"/>
      <c r="ER32" s="101"/>
      <c r="ES32" s="101"/>
      <c r="ET32" s="101"/>
      <c r="EU32" s="101"/>
      <c r="EV32" s="101"/>
      <c r="EW32" s="101"/>
      <c r="EX32" s="101"/>
      <c r="EY32" s="101"/>
      <c r="EZ32" s="101"/>
      <c r="FA32" s="101"/>
      <c r="FB32" s="101"/>
      <c r="FC32" s="101"/>
      <c r="FD32" s="101"/>
      <c r="FE32" s="101"/>
      <c r="FF32" s="101"/>
      <c r="FG32" s="101"/>
      <c r="FH32" s="101"/>
      <c r="FI32" s="101"/>
      <c r="FJ32" s="101"/>
      <c r="FK32" s="101"/>
      <c r="FL32" s="101"/>
      <c r="FM32" s="101"/>
      <c r="FN32" s="101"/>
      <c r="FO32" s="101"/>
      <c r="FP32" s="101"/>
      <c r="FQ32" s="101"/>
      <c r="FR32" s="101"/>
      <c r="FS32" s="101"/>
      <c r="FT32" s="101"/>
      <c r="FU32" s="101"/>
      <c r="FV32" s="101"/>
      <c r="FW32" s="101"/>
      <c r="FX32" s="101"/>
      <c r="FY32" s="101"/>
      <c r="FZ32" s="101"/>
      <c r="GA32" s="101"/>
      <c r="GB32" s="101"/>
      <c r="GC32" s="101"/>
      <c r="GD32" s="101"/>
      <c r="GE32" s="101"/>
      <c r="GF32" s="101"/>
      <c r="GG32" s="101"/>
      <c r="GH32" s="101"/>
      <c r="GI32" s="101"/>
      <c r="GJ32" s="101"/>
      <c r="GK32" s="101"/>
      <c r="GL32" s="101"/>
      <c r="GM32" s="101"/>
      <c r="GN32" s="101"/>
      <c r="GO32" s="101"/>
      <c r="GP32" s="101"/>
      <c r="GQ32" s="101"/>
      <c r="GR32" s="101"/>
      <c r="GS32" s="101"/>
      <c r="GT32" s="101"/>
      <c r="GU32" s="101"/>
      <c r="GV32" s="101"/>
      <c r="GW32" s="101"/>
      <c r="GX32" s="101"/>
      <c r="GY32" s="101"/>
      <c r="GZ32" s="101"/>
      <c r="HA32" s="101"/>
      <c r="HB32" s="101"/>
      <c r="HC32" s="101"/>
      <c r="HD32" s="101"/>
      <c r="HE32" s="101"/>
      <c r="HF32" s="101"/>
      <c r="HG32" s="101"/>
      <c r="HH32" s="101"/>
      <c r="HI32" s="101"/>
      <c r="HJ32" s="101"/>
      <c r="HK32" s="101"/>
      <c r="HL32" s="101"/>
      <c r="HM32" s="101"/>
      <c r="HN32" s="101"/>
      <c r="HO32" s="101"/>
      <c r="HP32" s="101"/>
      <c r="HQ32" s="101"/>
      <c r="HR32" s="101"/>
      <c r="HS32" s="101"/>
      <c r="HT32" s="101"/>
      <c r="HU32" s="101"/>
      <c r="HV32" s="101"/>
      <c r="HW32" s="101"/>
      <c r="HX32" s="101"/>
      <c r="HY32" s="101"/>
      <c r="HZ32" s="101"/>
      <c r="IA32" s="101"/>
      <c r="IB32" s="101"/>
      <c r="IC32" s="101"/>
      <c r="ID32" s="101"/>
      <c r="IE32" s="101"/>
      <c r="IF32" s="101"/>
      <c r="IG32" s="101"/>
      <c r="IH32" s="101"/>
      <c r="II32" s="101"/>
      <c r="IJ32" s="101"/>
      <c r="IK32" s="101"/>
      <c r="IL32" s="101"/>
      <c r="IM32" s="101"/>
      <c r="IN32" s="101"/>
      <c r="IO32" s="101"/>
      <c r="IP32" s="101"/>
      <c r="IQ32" s="101"/>
      <c r="IR32" s="101"/>
      <c r="IS32" s="101"/>
      <c r="IT32" s="101"/>
      <c r="IU32" s="101"/>
      <c r="IV32" s="101"/>
      <c r="IW32" s="101"/>
      <c r="IX32" s="101"/>
      <c r="IY32" s="101"/>
      <c r="IZ32" s="101"/>
      <c r="JA32" s="101"/>
      <c r="JB32" s="101"/>
      <c r="JC32" s="101"/>
      <c r="JD32" s="101"/>
      <c r="JE32" s="101"/>
      <c r="JF32" s="101"/>
      <c r="JG32" s="101"/>
      <c r="JH32" s="101"/>
      <c r="JI32" s="101"/>
      <c r="JJ32" s="101"/>
      <c r="JK32" s="101"/>
      <c r="JL32" s="101"/>
      <c r="JM32" s="101"/>
      <c r="JN32" s="101"/>
      <c r="JO32" s="101"/>
      <c r="JP32" s="101"/>
      <c r="JQ32" s="101"/>
      <c r="JR32" s="101"/>
      <c r="JS32" s="101"/>
      <c r="JT32" s="101"/>
      <c r="JU32" s="101"/>
      <c r="JV32" s="101"/>
      <c r="JW32" s="101"/>
      <c r="JX32" s="101"/>
      <c r="JY32" s="101"/>
      <c r="JZ32" s="101"/>
      <c r="KA32" s="101"/>
      <c r="KB32" s="101"/>
      <c r="KC32" s="101"/>
      <c r="KD32" s="101"/>
      <c r="KE32" s="101"/>
      <c r="KF32" s="101"/>
      <c r="KG32" s="101"/>
      <c r="KH32" s="101"/>
      <c r="KI32" s="101"/>
      <c r="KJ32" s="101"/>
      <c r="KK32" s="101"/>
      <c r="KL32" s="101"/>
      <c r="KM32" s="101"/>
      <c r="KN32" s="101"/>
      <c r="KO32" s="101"/>
      <c r="KP32" s="101"/>
      <c r="KQ32" s="101"/>
      <c r="KR32" s="101"/>
      <c r="KS32" s="101"/>
      <c r="KT32" s="101"/>
      <c r="KU32" s="101"/>
      <c r="KV32" s="101"/>
      <c r="KW32" s="101"/>
      <c r="KX32" s="101"/>
      <c r="KY32" s="101"/>
      <c r="KZ32" s="101"/>
      <c r="LA32" s="101"/>
      <c r="LB32" s="101"/>
      <c r="LC32" s="101"/>
      <c r="LD32" s="101"/>
      <c r="LE32" s="101"/>
      <c r="LF32" s="101"/>
      <c r="LG32" s="101"/>
      <c r="LH32" s="101"/>
      <c r="LI32" s="101"/>
      <c r="LJ32" s="101"/>
      <c r="LK32" s="101"/>
      <c r="LL32" s="101"/>
      <c r="LM32" s="101"/>
      <c r="LN32" s="101"/>
      <c r="LO32" s="101"/>
      <c r="LP32" s="101"/>
      <c r="LQ32" s="101"/>
      <c r="LR32" s="101"/>
      <c r="LS32" s="101"/>
      <c r="LT32" s="101"/>
      <c r="LU32" s="101"/>
      <c r="LV32" s="101"/>
      <c r="LW32" s="101"/>
      <c r="LX32" s="101"/>
      <c r="LY32" s="101"/>
      <c r="LZ32" s="101"/>
      <c r="MA32" s="101"/>
      <c r="MB32" s="101"/>
      <c r="MC32" s="101"/>
      <c r="MD32" s="101"/>
      <c r="ME32" s="101"/>
      <c r="MF32" s="101"/>
      <c r="MG32" s="101"/>
      <c r="MH32" s="101"/>
      <c r="MI32" s="101"/>
      <c r="MJ32" s="101"/>
      <c r="MK32" s="101"/>
      <c r="ML32" s="101"/>
      <c r="MM32" s="101"/>
      <c r="MN32" s="101"/>
      <c r="MO32" s="101"/>
      <c r="MP32" s="101"/>
      <c r="MQ32" s="101"/>
      <c r="MR32" s="101"/>
      <c r="MS32" s="101"/>
      <c r="MT32" s="101"/>
      <c r="MU32" s="101"/>
      <c r="MV32" s="101"/>
      <c r="MW32" s="101"/>
      <c r="MX32" s="101"/>
      <c r="MY32" s="101"/>
      <c r="MZ32" s="101"/>
      <c r="NA32" s="101"/>
      <c r="NB32" s="101"/>
      <c r="NC32" s="101"/>
      <c r="ND32" s="101"/>
      <c r="NE32" s="101"/>
      <c r="NF32" s="101"/>
      <c r="NG32" s="101"/>
      <c r="NH32" s="101"/>
      <c r="NI32" s="101"/>
      <c r="NJ32" s="101"/>
      <c r="NK32" s="101"/>
      <c r="NL32" s="101"/>
      <c r="NM32" s="101"/>
      <c r="NN32" s="101"/>
      <c r="NO32" s="101"/>
      <c r="NP32" s="101"/>
      <c r="NQ32" s="101"/>
      <c r="NR32" s="101"/>
      <c r="NS32" s="101"/>
      <c r="NT32" s="101"/>
      <c r="NU32" s="101"/>
      <c r="NV32" s="101"/>
      <c r="NW32" s="101"/>
      <c r="NX32" s="101"/>
      <c r="NY32" s="101"/>
      <c r="NZ32" s="101"/>
      <c r="OA32" s="101"/>
      <c r="OB32" s="101"/>
      <c r="OC32" s="101"/>
      <c r="OD32" s="101"/>
      <c r="OE32" s="101"/>
      <c r="OF32" s="101"/>
      <c r="OG32" s="101"/>
      <c r="OH32" s="101"/>
      <c r="OI32" s="101"/>
      <c r="OJ32" s="101"/>
      <c r="OK32" s="101"/>
      <c r="OL32" s="101"/>
      <c r="OM32" s="101"/>
      <c r="ON32" s="101"/>
      <c r="OO32" s="101"/>
      <c r="OP32" s="101"/>
      <c r="OQ32" s="101"/>
      <c r="OR32" s="101"/>
      <c r="OS32" s="101"/>
      <c r="OT32" s="101"/>
      <c r="OU32" s="101"/>
      <c r="OV32" s="101"/>
      <c r="OW32" s="101"/>
      <c r="OX32" s="101"/>
      <c r="OY32" s="101"/>
      <c r="OZ32" s="101"/>
      <c r="PA32" s="101"/>
      <c r="PB32" s="101"/>
      <c r="PC32" s="101"/>
      <c r="PD32" s="101"/>
      <c r="PE32" s="101"/>
      <c r="PF32" s="101"/>
      <c r="PG32" s="101"/>
      <c r="PH32" s="101"/>
      <c r="PI32" s="101"/>
      <c r="PJ32" s="101"/>
      <c r="PK32" s="101"/>
      <c r="PL32" s="101"/>
      <c r="PM32" s="101"/>
      <c r="PN32" s="101"/>
      <c r="PO32" s="101"/>
      <c r="PP32" s="101"/>
      <c r="PQ32" s="101"/>
      <c r="PR32" s="101"/>
      <c r="PS32" s="101"/>
      <c r="PT32" s="101"/>
      <c r="PU32" s="101"/>
      <c r="PV32" s="101"/>
      <c r="PW32" s="101"/>
      <c r="PX32" s="101"/>
      <c r="PY32" s="101"/>
      <c r="PZ32" s="101"/>
      <c r="QA32" s="101"/>
      <c r="QB32" s="101"/>
      <c r="QC32" s="101"/>
      <c r="QD32" s="101"/>
      <c r="QE32" s="101"/>
      <c r="QF32" s="101"/>
      <c r="QG32" s="101"/>
      <c r="QH32" s="101"/>
      <c r="QI32" s="101"/>
      <c r="QJ32" s="101"/>
      <c r="QK32" s="101"/>
      <c r="QL32" s="101"/>
      <c r="QM32" s="101"/>
      <c r="QN32" s="101"/>
      <c r="QO32" s="101"/>
      <c r="QP32" s="101"/>
      <c r="QQ32" s="101"/>
      <c r="QR32" s="101"/>
      <c r="QS32" s="101"/>
      <c r="QT32" s="101"/>
      <c r="QU32" s="101"/>
      <c r="QV32" s="101"/>
      <c r="QW32" s="101"/>
      <c r="QX32" s="101"/>
      <c r="QY32" s="101"/>
      <c r="QZ32" s="101"/>
      <c r="RA32" s="101"/>
      <c r="RB32" s="101"/>
      <c r="RC32" s="101"/>
      <c r="RD32" s="101"/>
      <c r="RE32" s="101"/>
      <c r="RF32" s="101"/>
      <c r="RG32" s="101"/>
      <c r="RH32" s="101"/>
      <c r="RI32" s="101"/>
      <c r="RJ32" s="101"/>
      <c r="RK32" s="101"/>
      <c r="RL32" s="101"/>
      <c r="RM32" s="101"/>
      <c r="RN32" s="101"/>
      <c r="RO32" s="101"/>
      <c r="RP32" s="101"/>
      <c r="RQ32" s="101"/>
      <c r="RR32" s="101"/>
      <c r="RS32" s="101"/>
      <c r="RT32" s="101"/>
      <c r="RU32" s="101"/>
      <c r="RV32" s="101"/>
      <c r="RW32" s="101"/>
      <c r="RX32" s="101"/>
      <c r="RY32" s="101"/>
      <c r="RZ32" s="101"/>
      <c r="SA32" s="101"/>
      <c r="SB32" s="101"/>
      <c r="SC32" s="101"/>
      <c r="SD32" s="101"/>
      <c r="SE32" s="101"/>
      <c r="SF32" s="101"/>
      <c r="SG32" s="101"/>
      <c r="SH32" s="101"/>
      <c r="SI32" s="101"/>
      <c r="SJ32" s="101"/>
      <c r="SK32" s="101"/>
      <c r="SL32" s="101"/>
      <c r="SM32" s="101"/>
      <c r="SN32" s="101"/>
      <c r="SO32" s="101"/>
      <c r="SP32" s="101"/>
      <c r="SQ32" s="101"/>
      <c r="SR32" s="101"/>
      <c r="SS32" s="101"/>
      <c r="ST32" s="101"/>
      <c r="SU32" s="101"/>
      <c r="SV32" s="101"/>
      <c r="SW32" s="101"/>
      <c r="SX32" s="101"/>
      <c r="SY32" s="101"/>
      <c r="SZ32" s="101"/>
      <c r="TA32" s="101"/>
      <c r="TB32" s="101"/>
      <c r="TC32" s="101"/>
      <c r="TD32" s="101"/>
      <c r="TE32" s="101"/>
      <c r="TF32" s="101"/>
      <c r="TG32" s="101"/>
      <c r="TH32" s="101"/>
      <c r="TI32" s="101"/>
      <c r="TJ32" s="101"/>
      <c r="TK32" s="101"/>
      <c r="TL32" s="101"/>
      <c r="TM32" s="101"/>
      <c r="TN32" s="101"/>
      <c r="TO32" s="101"/>
      <c r="TP32" s="101"/>
      <c r="TQ32" s="101"/>
      <c r="TR32" s="101"/>
      <c r="TS32" s="101"/>
      <c r="TT32" s="101"/>
      <c r="TU32" s="101"/>
      <c r="TV32" s="101"/>
      <c r="TW32" s="101"/>
      <c r="TX32" s="101"/>
      <c r="TY32" s="101"/>
      <c r="TZ32" s="101"/>
      <c r="UA32" s="101"/>
      <c r="UB32" s="101"/>
      <c r="UC32" s="101"/>
      <c r="UD32" s="101"/>
      <c r="UE32" s="101"/>
      <c r="UF32" s="101"/>
      <c r="UG32" s="101"/>
      <c r="UH32" s="101"/>
      <c r="UI32" s="101"/>
      <c r="UJ32" s="101"/>
      <c r="UK32" s="101"/>
      <c r="UL32" s="101"/>
      <c r="UM32" s="101"/>
      <c r="UN32" s="101"/>
      <c r="UO32" s="101"/>
      <c r="UP32" s="101"/>
      <c r="UQ32" s="101"/>
      <c r="UR32" s="101"/>
      <c r="US32" s="101"/>
      <c r="UT32" s="101"/>
      <c r="UU32" s="101"/>
      <c r="UV32" s="101"/>
      <c r="UW32" s="101"/>
      <c r="UX32" s="101"/>
      <c r="UY32" s="101"/>
      <c r="UZ32" s="101"/>
      <c r="VA32" s="101"/>
      <c r="VB32" s="101"/>
      <c r="VC32" s="101"/>
      <c r="VD32" s="101"/>
      <c r="VE32" s="101"/>
      <c r="VF32" s="101"/>
      <c r="VG32" s="101"/>
      <c r="VH32" s="101"/>
      <c r="VI32" s="101"/>
      <c r="VJ32" s="101"/>
      <c r="VK32" s="101"/>
      <c r="VL32" s="101"/>
      <c r="VM32" s="101"/>
      <c r="VN32" s="101"/>
      <c r="VO32" s="101"/>
      <c r="VP32" s="101"/>
      <c r="VQ32" s="101"/>
      <c r="VR32" s="101"/>
      <c r="VS32" s="101"/>
      <c r="VT32" s="101"/>
      <c r="VU32" s="101"/>
      <c r="VV32" s="101"/>
      <c r="VW32" s="101"/>
      <c r="VX32" s="101"/>
      <c r="VY32" s="101"/>
      <c r="VZ32" s="101"/>
      <c r="WA32" s="101"/>
      <c r="WB32" s="101"/>
      <c r="WC32" s="101"/>
      <c r="WD32" s="101"/>
      <c r="WE32" s="101"/>
      <c r="WF32" s="101"/>
      <c r="WG32" s="101"/>
      <c r="WH32" s="101"/>
      <c r="WI32" s="101"/>
      <c r="WJ32" s="101"/>
      <c r="WK32" s="101"/>
      <c r="WL32" s="101"/>
      <c r="WM32" s="101"/>
      <c r="WN32" s="101"/>
      <c r="WO32" s="101"/>
      <c r="WP32" s="101"/>
      <c r="WQ32" s="101"/>
      <c r="WR32" s="101"/>
      <c r="WS32" s="101"/>
      <c r="WT32" s="101"/>
      <c r="WU32" s="101"/>
      <c r="WV32" s="101"/>
      <c r="WW32" s="101"/>
      <c r="WX32" s="101"/>
      <c r="WY32" s="101"/>
      <c r="WZ32" s="101"/>
      <c r="XA32" s="101"/>
      <c r="XB32" s="101"/>
      <c r="XC32" s="101"/>
      <c r="XD32" s="101"/>
      <c r="XE32" s="101"/>
      <c r="XF32" s="101"/>
      <c r="XG32" s="101"/>
      <c r="XH32" s="101"/>
      <c r="XI32" s="101"/>
      <c r="XJ32" s="101"/>
      <c r="XK32" s="101"/>
      <c r="XL32" s="101"/>
      <c r="XM32" s="101"/>
      <c r="XN32" s="101"/>
      <c r="XO32" s="101"/>
      <c r="XP32" s="101"/>
      <c r="XQ32" s="101"/>
      <c r="XR32" s="101"/>
      <c r="XS32" s="101"/>
      <c r="XT32" s="101"/>
      <c r="XU32" s="101"/>
      <c r="XV32" s="101"/>
      <c r="XW32" s="101"/>
      <c r="XX32" s="101"/>
      <c r="XY32" s="101"/>
      <c r="XZ32" s="101"/>
      <c r="YA32" s="101"/>
      <c r="YB32" s="101"/>
      <c r="YC32" s="101"/>
      <c r="YD32" s="101"/>
      <c r="YE32" s="101"/>
      <c r="YF32" s="101"/>
      <c r="YG32" s="101"/>
      <c r="YH32" s="101"/>
      <c r="YI32" s="101"/>
      <c r="YJ32" s="101"/>
      <c r="YK32" s="101"/>
      <c r="YL32" s="101"/>
      <c r="YM32" s="101"/>
      <c r="YN32" s="101"/>
      <c r="YO32" s="101"/>
      <c r="YP32" s="101"/>
      <c r="YQ32" s="101"/>
      <c r="YR32" s="101"/>
      <c r="YS32" s="101"/>
      <c r="YT32" s="101"/>
      <c r="YU32" s="101"/>
      <c r="YV32" s="101"/>
      <c r="YW32" s="101"/>
      <c r="YX32" s="101"/>
      <c r="YY32" s="101"/>
      <c r="YZ32" s="101"/>
      <c r="ZA32" s="101"/>
      <c r="ZB32" s="101"/>
      <c r="ZC32" s="101"/>
      <c r="ZD32" s="101"/>
      <c r="ZE32" s="101"/>
      <c r="ZF32" s="101"/>
      <c r="ZG32" s="101"/>
      <c r="ZH32" s="101"/>
    </row>
    <row r="33" spans="1:684">
      <c r="A33" s="75" t="s">
        <v>71</v>
      </c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1"/>
      <c r="BG33" s="101"/>
      <c r="BH33" s="101"/>
      <c r="BI33" s="101"/>
      <c r="BJ33" s="101"/>
      <c r="BK33" s="101"/>
      <c r="BL33" s="101"/>
      <c r="BM33" s="101"/>
      <c r="BN33" s="101"/>
      <c r="BO33" s="101"/>
      <c r="BP33" s="101"/>
      <c r="BQ33" s="101"/>
      <c r="BR33" s="101"/>
      <c r="BS33" s="101"/>
      <c r="BT33" s="101"/>
      <c r="BU33" s="101"/>
      <c r="BV33" s="101"/>
      <c r="BW33" s="101"/>
      <c r="BX33" s="101"/>
      <c r="BY33" s="101"/>
      <c r="BZ33" s="101"/>
      <c r="CA33" s="101"/>
      <c r="CB33" s="101"/>
      <c r="CC33" s="101"/>
      <c r="CD33" s="101"/>
      <c r="CE33" s="101"/>
      <c r="CF33" s="101"/>
      <c r="CG33" s="101"/>
      <c r="CH33" s="101"/>
      <c r="CI33" s="101"/>
      <c r="CJ33" s="101"/>
      <c r="CK33" s="101"/>
      <c r="CL33" s="101"/>
      <c r="CM33" s="101"/>
      <c r="CN33" s="101"/>
      <c r="CO33" s="101"/>
      <c r="CP33" s="101"/>
      <c r="CQ33" s="101"/>
      <c r="CR33" s="101"/>
      <c r="CS33" s="101"/>
      <c r="CT33" s="101"/>
      <c r="CU33" s="101"/>
      <c r="CV33" s="101"/>
      <c r="CW33" s="101"/>
      <c r="CX33" s="101"/>
      <c r="CY33" s="101"/>
      <c r="CZ33" s="101"/>
      <c r="DA33" s="101"/>
      <c r="DB33" s="101"/>
      <c r="DC33" s="101"/>
      <c r="DD33" s="101"/>
      <c r="DE33" s="101"/>
      <c r="DF33" s="101"/>
      <c r="DG33" s="101"/>
      <c r="DH33" s="101"/>
      <c r="DI33" s="101"/>
      <c r="DJ33" s="101"/>
      <c r="DK33" s="101"/>
      <c r="DL33" s="101"/>
      <c r="DM33" s="101"/>
      <c r="DN33" s="101"/>
      <c r="DO33" s="101"/>
      <c r="DP33" s="101"/>
      <c r="DQ33" s="101"/>
      <c r="DR33" s="101"/>
      <c r="DS33" s="101"/>
      <c r="DT33" s="101"/>
      <c r="DU33" s="101"/>
      <c r="DV33" s="101"/>
      <c r="DW33" s="101"/>
      <c r="DX33" s="101"/>
      <c r="DY33" s="101"/>
      <c r="DZ33" s="101"/>
      <c r="EA33" s="101"/>
      <c r="EB33" s="101"/>
      <c r="EC33" s="101"/>
      <c r="ED33" s="101"/>
      <c r="EE33" s="101"/>
      <c r="EF33" s="101"/>
      <c r="EG33" s="101"/>
      <c r="EH33" s="101"/>
      <c r="EI33" s="101"/>
      <c r="EJ33" s="101"/>
      <c r="EK33" s="101"/>
      <c r="EL33" s="101"/>
      <c r="EM33" s="101"/>
      <c r="EN33" s="101"/>
      <c r="EO33" s="101"/>
      <c r="EP33" s="101"/>
      <c r="EQ33" s="101"/>
      <c r="ER33" s="101"/>
      <c r="ES33" s="101"/>
      <c r="ET33" s="101"/>
      <c r="EU33" s="101"/>
      <c r="EV33" s="101"/>
      <c r="EW33" s="101"/>
      <c r="EX33" s="101"/>
      <c r="EY33" s="101"/>
      <c r="EZ33" s="101"/>
      <c r="FA33" s="101"/>
      <c r="FB33" s="101"/>
      <c r="FC33" s="101"/>
      <c r="FD33" s="101"/>
      <c r="FE33" s="101"/>
      <c r="FF33" s="101"/>
      <c r="FG33" s="101"/>
      <c r="FH33" s="101"/>
      <c r="FI33" s="101"/>
      <c r="FJ33" s="101"/>
      <c r="FK33" s="101"/>
      <c r="FL33" s="101"/>
      <c r="FM33" s="101"/>
      <c r="FN33" s="101"/>
      <c r="FO33" s="101"/>
      <c r="FP33" s="101"/>
      <c r="FQ33" s="101"/>
      <c r="FR33" s="101"/>
      <c r="FS33" s="101"/>
      <c r="FT33" s="101"/>
      <c r="FU33" s="101"/>
      <c r="FV33" s="101"/>
      <c r="FW33" s="101"/>
      <c r="FX33" s="101"/>
      <c r="FY33" s="101"/>
      <c r="FZ33" s="101"/>
      <c r="GA33" s="101"/>
      <c r="GB33" s="101"/>
      <c r="GC33" s="101"/>
      <c r="GD33" s="101"/>
      <c r="GE33" s="101"/>
      <c r="GF33" s="101"/>
      <c r="GG33" s="101"/>
      <c r="GH33" s="101"/>
      <c r="GI33" s="101"/>
      <c r="GJ33" s="101"/>
      <c r="GK33" s="101"/>
      <c r="GL33" s="101"/>
      <c r="GM33" s="101"/>
      <c r="GN33" s="101"/>
      <c r="GO33" s="101"/>
      <c r="GP33" s="101"/>
      <c r="GQ33" s="101"/>
      <c r="GR33" s="101"/>
      <c r="GS33" s="101"/>
      <c r="GT33" s="101"/>
      <c r="GU33" s="101"/>
      <c r="GV33" s="101"/>
      <c r="GW33" s="101"/>
      <c r="GX33" s="101"/>
      <c r="GY33" s="101"/>
      <c r="GZ33" s="101"/>
      <c r="HA33" s="101"/>
      <c r="HB33" s="101"/>
      <c r="HC33" s="101"/>
      <c r="HD33" s="101"/>
      <c r="HE33" s="101"/>
      <c r="HF33" s="101"/>
      <c r="HG33" s="101"/>
      <c r="HH33" s="101"/>
      <c r="HI33" s="101"/>
      <c r="HJ33" s="101"/>
      <c r="HK33" s="101"/>
      <c r="HL33" s="101"/>
      <c r="HM33" s="101"/>
      <c r="HN33" s="101"/>
      <c r="HO33" s="101"/>
      <c r="HP33" s="101"/>
      <c r="HQ33" s="101"/>
      <c r="HR33" s="101"/>
      <c r="HS33" s="101"/>
      <c r="HT33" s="101"/>
      <c r="HU33" s="101"/>
      <c r="HV33" s="101"/>
      <c r="HW33" s="101"/>
      <c r="HX33" s="101"/>
      <c r="HY33" s="101"/>
      <c r="HZ33" s="101"/>
      <c r="IA33" s="101"/>
      <c r="IB33" s="101"/>
      <c r="IC33" s="101"/>
      <c r="ID33" s="101"/>
      <c r="IE33" s="101"/>
      <c r="IF33" s="101"/>
      <c r="IG33" s="101"/>
      <c r="IH33" s="101"/>
      <c r="II33" s="101"/>
      <c r="IJ33" s="101"/>
      <c r="IK33" s="101"/>
      <c r="IL33" s="101"/>
      <c r="IM33" s="101"/>
      <c r="IN33" s="101"/>
      <c r="IO33" s="101"/>
      <c r="IP33" s="101"/>
      <c r="IQ33" s="101"/>
      <c r="IR33" s="101"/>
      <c r="IS33" s="101"/>
      <c r="IT33" s="101"/>
      <c r="IU33" s="101"/>
      <c r="IV33" s="101"/>
      <c r="IW33" s="101"/>
      <c r="IX33" s="101"/>
      <c r="IY33" s="101"/>
      <c r="IZ33" s="101"/>
      <c r="JA33" s="101"/>
      <c r="JB33" s="101"/>
      <c r="JC33" s="101"/>
      <c r="JD33" s="101"/>
      <c r="JE33" s="101"/>
      <c r="JF33" s="101"/>
      <c r="JG33" s="101"/>
      <c r="JH33" s="101"/>
      <c r="JI33" s="101"/>
      <c r="JJ33" s="101"/>
      <c r="JK33" s="101"/>
      <c r="JL33" s="101"/>
      <c r="JM33" s="101"/>
      <c r="JN33" s="101"/>
      <c r="JO33" s="101"/>
      <c r="JP33" s="101"/>
      <c r="JQ33" s="101"/>
      <c r="JR33" s="101"/>
      <c r="JS33" s="101"/>
      <c r="JT33" s="101"/>
      <c r="JU33" s="101"/>
      <c r="JV33" s="101"/>
      <c r="JW33" s="101"/>
      <c r="JX33" s="101"/>
      <c r="JY33" s="101"/>
      <c r="JZ33" s="101"/>
      <c r="KA33" s="101"/>
      <c r="KB33" s="101"/>
      <c r="KC33" s="101"/>
      <c r="KD33" s="101"/>
      <c r="KE33" s="101"/>
      <c r="KF33" s="101"/>
      <c r="KG33" s="101"/>
      <c r="KH33" s="101"/>
      <c r="KI33" s="101"/>
      <c r="KJ33" s="101"/>
      <c r="KK33" s="101"/>
      <c r="KL33" s="101"/>
      <c r="KM33" s="101"/>
      <c r="KN33" s="101"/>
      <c r="KO33" s="101"/>
      <c r="KP33" s="101"/>
      <c r="KQ33" s="101"/>
      <c r="KR33" s="101"/>
      <c r="KS33" s="101"/>
      <c r="KT33" s="101"/>
      <c r="KU33" s="101"/>
      <c r="KV33" s="101"/>
      <c r="KW33" s="101"/>
      <c r="KX33" s="101"/>
      <c r="KY33" s="101"/>
      <c r="KZ33" s="101"/>
      <c r="LA33" s="101"/>
      <c r="LB33" s="101"/>
      <c r="LC33" s="101"/>
      <c r="LD33" s="101"/>
      <c r="LE33" s="101"/>
      <c r="LF33" s="101"/>
      <c r="LG33" s="101"/>
      <c r="LH33" s="101"/>
      <c r="LI33" s="101"/>
      <c r="LJ33" s="101"/>
      <c r="LK33" s="101"/>
      <c r="LL33" s="101"/>
      <c r="LM33" s="101"/>
      <c r="LN33" s="101"/>
      <c r="LO33" s="101"/>
      <c r="LP33" s="101"/>
      <c r="LQ33" s="101"/>
      <c r="LR33" s="101"/>
      <c r="LS33" s="101"/>
      <c r="LT33" s="101"/>
      <c r="LU33" s="101"/>
      <c r="LV33" s="101"/>
      <c r="LW33" s="101"/>
      <c r="LX33" s="101"/>
      <c r="LY33" s="101"/>
      <c r="LZ33" s="101"/>
      <c r="MA33" s="101"/>
      <c r="MB33" s="101"/>
      <c r="MC33" s="101"/>
      <c r="MD33" s="101"/>
      <c r="ME33" s="101"/>
      <c r="MF33" s="101"/>
      <c r="MG33" s="101"/>
      <c r="MH33" s="101"/>
      <c r="MI33" s="101"/>
      <c r="MJ33" s="101"/>
      <c r="MK33" s="101"/>
      <c r="ML33" s="101"/>
      <c r="MM33" s="101"/>
      <c r="MN33" s="101"/>
      <c r="MO33" s="101"/>
      <c r="MP33" s="101"/>
      <c r="MQ33" s="101"/>
      <c r="MR33" s="101"/>
      <c r="MS33" s="101"/>
      <c r="MT33" s="101"/>
      <c r="MU33" s="101"/>
      <c r="MV33" s="101"/>
      <c r="MW33" s="101"/>
      <c r="MX33" s="101"/>
      <c r="MY33" s="101"/>
      <c r="MZ33" s="101"/>
      <c r="NA33" s="101"/>
      <c r="NB33" s="101"/>
      <c r="NC33" s="101"/>
      <c r="ND33" s="101"/>
      <c r="NE33" s="101"/>
      <c r="NF33" s="101"/>
      <c r="NG33" s="101"/>
      <c r="NH33" s="101"/>
      <c r="NI33" s="101"/>
      <c r="NJ33" s="101"/>
      <c r="NK33" s="101"/>
      <c r="NL33" s="101"/>
      <c r="NM33" s="101"/>
      <c r="NN33" s="101"/>
      <c r="NO33" s="101"/>
      <c r="NP33" s="101"/>
      <c r="NQ33" s="101"/>
      <c r="NR33" s="101"/>
      <c r="NS33" s="101"/>
      <c r="NT33" s="101"/>
      <c r="NU33" s="101"/>
      <c r="NV33" s="101"/>
      <c r="NW33" s="101"/>
      <c r="NX33" s="101"/>
      <c r="NY33" s="101"/>
      <c r="NZ33" s="101"/>
      <c r="OA33" s="101"/>
      <c r="OB33" s="101"/>
      <c r="OC33" s="101"/>
      <c r="OD33" s="101"/>
      <c r="OE33" s="101"/>
      <c r="OF33" s="101"/>
      <c r="OG33" s="101"/>
      <c r="OH33" s="101"/>
      <c r="OI33" s="101"/>
      <c r="OJ33" s="101"/>
      <c r="OK33" s="101"/>
      <c r="OL33" s="101"/>
      <c r="OM33" s="101"/>
      <c r="ON33" s="101"/>
      <c r="OO33" s="101"/>
      <c r="OP33" s="101"/>
      <c r="OQ33" s="101"/>
      <c r="OR33" s="101"/>
      <c r="OS33" s="101"/>
      <c r="OT33" s="101"/>
      <c r="OU33" s="101"/>
      <c r="OV33" s="101"/>
      <c r="OW33" s="101"/>
      <c r="OX33" s="101"/>
      <c r="OY33" s="101"/>
      <c r="OZ33" s="101"/>
      <c r="PA33" s="101"/>
      <c r="PB33" s="101"/>
      <c r="PC33" s="101"/>
      <c r="PD33" s="101"/>
      <c r="PE33" s="101"/>
      <c r="PF33" s="101"/>
      <c r="PG33" s="101"/>
      <c r="PH33" s="101"/>
      <c r="PI33" s="101"/>
      <c r="PJ33" s="101"/>
      <c r="PK33" s="101"/>
      <c r="PL33" s="101"/>
      <c r="PM33" s="101"/>
      <c r="PN33" s="101"/>
      <c r="PO33" s="101"/>
      <c r="PP33" s="101"/>
      <c r="PQ33" s="101"/>
      <c r="PR33" s="101"/>
      <c r="PS33" s="101"/>
      <c r="PT33" s="101"/>
      <c r="PU33" s="101"/>
      <c r="PV33" s="101"/>
      <c r="PW33" s="101"/>
      <c r="PX33" s="101"/>
      <c r="PY33" s="101"/>
      <c r="PZ33" s="101"/>
      <c r="QA33" s="101"/>
      <c r="QB33" s="101"/>
      <c r="QC33" s="101"/>
      <c r="QD33" s="101"/>
      <c r="QE33" s="101"/>
      <c r="QF33" s="101"/>
      <c r="QG33" s="101"/>
      <c r="QH33" s="101"/>
      <c r="QI33" s="101"/>
      <c r="QJ33" s="101"/>
      <c r="QK33" s="101"/>
      <c r="QL33" s="101"/>
      <c r="QM33" s="101"/>
      <c r="QN33" s="101"/>
      <c r="QO33" s="101"/>
      <c r="QP33" s="101"/>
      <c r="QQ33" s="101"/>
      <c r="QR33" s="101"/>
      <c r="QS33" s="101"/>
      <c r="QT33" s="101"/>
      <c r="QU33" s="101"/>
      <c r="QV33" s="101"/>
      <c r="QW33" s="101"/>
      <c r="QX33" s="101"/>
      <c r="QY33" s="101"/>
      <c r="QZ33" s="101"/>
      <c r="RA33" s="101"/>
      <c r="RB33" s="101"/>
      <c r="RC33" s="101"/>
      <c r="RD33" s="101"/>
      <c r="RE33" s="101"/>
      <c r="RF33" s="101"/>
      <c r="RG33" s="101"/>
      <c r="RH33" s="101"/>
      <c r="RI33" s="101"/>
      <c r="RJ33" s="101"/>
      <c r="RK33" s="101"/>
      <c r="RL33" s="101"/>
      <c r="RM33" s="101"/>
      <c r="RN33" s="101"/>
      <c r="RO33" s="101"/>
      <c r="RP33" s="101"/>
      <c r="RQ33" s="101"/>
      <c r="RR33" s="101"/>
      <c r="RS33" s="101"/>
      <c r="RT33" s="101"/>
      <c r="RU33" s="101"/>
      <c r="RV33" s="101"/>
      <c r="RW33" s="101"/>
      <c r="RX33" s="101"/>
      <c r="RY33" s="101"/>
      <c r="RZ33" s="101"/>
      <c r="SA33" s="101"/>
      <c r="SB33" s="101"/>
      <c r="SC33" s="101"/>
      <c r="SD33" s="101"/>
      <c r="SE33" s="101">
        <v>5</v>
      </c>
      <c r="SF33" s="101">
        <v>5</v>
      </c>
      <c r="SG33" s="101">
        <v>5</v>
      </c>
      <c r="SH33" s="101">
        <v>5</v>
      </c>
      <c r="SI33" s="101"/>
      <c r="SJ33" s="101">
        <v>5</v>
      </c>
      <c r="SK33" s="101">
        <v>5</v>
      </c>
      <c r="SL33" s="101">
        <v>5</v>
      </c>
      <c r="SM33" s="101">
        <v>5</v>
      </c>
      <c r="SN33" s="101">
        <v>5</v>
      </c>
      <c r="SO33" s="101">
        <v>5</v>
      </c>
      <c r="SP33" s="101"/>
      <c r="SQ33" s="101">
        <v>5</v>
      </c>
      <c r="SR33" s="101">
        <v>5</v>
      </c>
      <c r="SS33" s="101">
        <v>5</v>
      </c>
      <c r="ST33" s="101">
        <v>5</v>
      </c>
      <c r="SU33" s="101">
        <v>5</v>
      </c>
      <c r="SV33" s="101">
        <v>5</v>
      </c>
      <c r="SW33" s="101"/>
      <c r="SX33" s="101">
        <v>5</v>
      </c>
      <c r="SY33" s="101">
        <v>5</v>
      </c>
      <c r="SZ33" s="101">
        <v>5</v>
      </c>
      <c r="TA33" s="101">
        <v>5</v>
      </c>
      <c r="TB33" s="101">
        <v>5</v>
      </c>
      <c r="TC33" s="101">
        <v>5</v>
      </c>
      <c r="TD33" s="101"/>
      <c r="TE33" s="101">
        <v>5</v>
      </c>
      <c r="TF33" s="101">
        <v>5</v>
      </c>
      <c r="TG33" s="101">
        <v>5</v>
      </c>
      <c r="TH33" s="101">
        <v>5</v>
      </c>
      <c r="TI33" s="101">
        <v>5</v>
      </c>
      <c r="TJ33" s="101">
        <v>16</v>
      </c>
      <c r="TK33" s="101"/>
      <c r="TL33" s="101">
        <v>16</v>
      </c>
      <c r="TM33" s="101">
        <v>16</v>
      </c>
      <c r="TN33" s="101">
        <v>26</v>
      </c>
      <c r="TO33" s="101">
        <v>26</v>
      </c>
      <c r="TP33" s="101">
        <v>26</v>
      </c>
      <c r="TQ33" s="101">
        <v>26</v>
      </c>
      <c r="TR33" s="101"/>
      <c r="TS33" s="101">
        <v>26</v>
      </c>
      <c r="TT33" s="101">
        <v>26</v>
      </c>
      <c r="TU33" s="101">
        <v>26</v>
      </c>
      <c r="TV33" s="101">
        <v>26</v>
      </c>
      <c r="TW33" s="101">
        <v>26</v>
      </c>
      <c r="TX33" s="101">
        <v>26</v>
      </c>
      <c r="TY33" s="101"/>
      <c r="TZ33" s="101">
        <v>21</v>
      </c>
      <c r="UA33" s="101">
        <v>21</v>
      </c>
      <c r="UB33" s="101">
        <v>21</v>
      </c>
      <c r="UC33" s="101">
        <v>21</v>
      </c>
      <c r="UD33" s="101">
        <v>21</v>
      </c>
      <c r="UE33" s="101">
        <v>21</v>
      </c>
      <c r="UF33" s="101"/>
      <c r="UG33" s="101">
        <v>21</v>
      </c>
      <c r="UH33" s="101">
        <v>21</v>
      </c>
      <c r="UI33" s="101">
        <v>21</v>
      </c>
      <c r="UJ33" s="101">
        <v>21</v>
      </c>
      <c r="UK33" s="101">
        <v>11</v>
      </c>
      <c r="UL33" s="101">
        <v>11</v>
      </c>
      <c r="UM33" s="101"/>
      <c r="UN33" s="101">
        <v>11</v>
      </c>
      <c r="UO33" s="101">
        <v>11</v>
      </c>
      <c r="UP33" s="101">
        <v>11</v>
      </c>
      <c r="UQ33" s="101">
        <v>11</v>
      </c>
      <c r="UR33" s="101">
        <v>11</v>
      </c>
      <c r="US33" s="101">
        <v>28</v>
      </c>
      <c r="UT33" s="101"/>
      <c r="UU33" s="101">
        <v>28</v>
      </c>
      <c r="UV33" s="101">
        <v>28</v>
      </c>
      <c r="UW33" s="101">
        <v>28</v>
      </c>
      <c r="UX33" s="101">
        <v>28</v>
      </c>
      <c r="UY33" s="101">
        <v>28</v>
      </c>
      <c r="UZ33" s="101">
        <v>28</v>
      </c>
      <c r="VA33" s="101"/>
      <c r="VB33" s="101">
        <v>28</v>
      </c>
      <c r="VC33" s="101">
        <v>28</v>
      </c>
      <c r="VD33" s="101">
        <v>28</v>
      </c>
      <c r="VE33" s="101">
        <v>28</v>
      </c>
      <c r="VF33" s="101">
        <v>28</v>
      </c>
      <c r="VG33" s="101">
        <v>28</v>
      </c>
      <c r="VH33" s="101"/>
      <c r="VI33" s="101">
        <v>28</v>
      </c>
      <c r="VJ33" s="101">
        <v>28</v>
      </c>
      <c r="VK33" s="101">
        <v>17</v>
      </c>
      <c r="VL33" s="101">
        <v>17</v>
      </c>
      <c r="VM33" s="101">
        <v>17</v>
      </c>
      <c r="VN33" s="101"/>
      <c r="VO33" s="101"/>
      <c r="VP33" s="101"/>
      <c r="VQ33" s="101"/>
      <c r="VR33" s="101"/>
      <c r="VS33" s="101">
        <v>17</v>
      </c>
      <c r="VT33" s="101">
        <v>17</v>
      </c>
      <c r="VU33" s="101">
        <v>17</v>
      </c>
      <c r="VV33" s="101"/>
      <c r="VW33" s="101">
        <v>17</v>
      </c>
      <c r="VX33" s="101">
        <v>17</v>
      </c>
      <c r="VY33" s="101">
        <v>17</v>
      </c>
      <c r="VZ33" s="101">
        <v>17</v>
      </c>
      <c r="WA33" s="101">
        <v>17</v>
      </c>
      <c r="WB33" s="101">
        <v>17</v>
      </c>
      <c r="WC33" s="101"/>
      <c r="WD33" s="101">
        <v>17</v>
      </c>
      <c r="WE33" s="101">
        <v>17</v>
      </c>
      <c r="WF33" s="101">
        <v>17</v>
      </c>
      <c r="WG33" s="101"/>
      <c r="WH33" s="101"/>
      <c r="WI33" s="101"/>
      <c r="WJ33" s="101"/>
      <c r="WK33" s="101"/>
      <c r="WL33" s="101"/>
      <c r="WM33" s="101"/>
      <c r="WN33" s="101"/>
      <c r="WO33" s="101"/>
      <c r="WP33" s="101"/>
      <c r="WQ33" s="101"/>
      <c r="WR33" s="101"/>
      <c r="WS33" s="101"/>
      <c r="WT33" s="101"/>
      <c r="WU33" s="101"/>
      <c r="WV33" s="101"/>
      <c r="WW33" s="101"/>
      <c r="WX33" s="101"/>
      <c r="WY33" s="101"/>
      <c r="WZ33" s="101"/>
      <c r="XA33" s="101"/>
      <c r="XB33" s="101"/>
      <c r="XC33" s="101"/>
      <c r="XD33" s="101"/>
      <c r="XE33" s="101"/>
      <c r="XF33" s="101"/>
      <c r="XG33" s="101"/>
      <c r="XH33" s="101"/>
      <c r="XI33" s="101"/>
      <c r="XJ33" s="101"/>
      <c r="XK33" s="101"/>
      <c r="XL33" s="101"/>
      <c r="XM33" s="101"/>
      <c r="XN33" s="101"/>
      <c r="XO33" s="101"/>
      <c r="XP33" s="101"/>
      <c r="XQ33" s="101"/>
      <c r="XR33" s="101"/>
      <c r="XS33" s="101"/>
      <c r="XT33" s="101"/>
      <c r="XU33" s="101"/>
      <c r="XV33" s="101"/>
      <c r="XW33" s="101"/>
      <c r="XX33" s="101"/>
      <c r="XY33" s="101"/>
      <c r="XZ33" s="101"/>
      <c r="YA33" s="101"/>
      <c r="YB33" s="101"/>
      <c r="YC33" s="101"/>
      <c r="YD33" s="101"/>
      <c r="YE33" s="101"/>
      <c r="YF33" s="101"/>
      <c r="YG33" s="101"/>
      <c r="YH33" s="101"/>
      <c r="YI33" s="101"/>
      <c r="YJ33" s="101"/>
      <c r="YK33" s="101"/>
      <c r="YL33" s="101"/>
      <c r="YM33" s="101"/>
      <c r="YN33" s="101"/>
      <c r="YO33" s="101"/>
      <c r="YP33" s="101"/>
      <c r="YQ33" s="101"/>
      <c r="YR33" s="101"/>
      <c r="YS33" s="101"/>
      <c r="YT33" s="101"/>
      <c r="YU33" s="101"/>
      <c r="YV33" s="101"/>
      <c r="YW33" s="101"/>
      <c r="YX33" s="101"/>
      <c r="YY33" s="101"/>
      <c r="YZ33" s="101"/>
      <c r="ZA33" s="101"/>
      <c r="ZB33" s="101"/>
      <c r="ZC33" s="101"/>
      <c r="ZD33" s="101"/>
      <c r="ZE33" s="101"/>
      <c r="ZF33" s="101"/>
      <c r="ZG33" s="101"/>
      <c r="ZH33" s="101"/>
    </row>
    <row r="34" spans="1:684">
      <c r="A34" s="75" t="s">
        <v>72</v>
      </c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  <c r="BZ34" s="101"/>
      <c r="CA34" s="101"/>
      <c r="CB34" s="101"/>
      <c r="CC34" s="101"/>
      <c r="CD34" s="101"/>
      <c r="CE34" s="101"/>
      <c r="CF34" s="101"/>
      <c r="CG34" s="101"/>
      <c r="CH34" s="101"/>
      <c r="CI34" s="101"/>
      <c r="CJ34" s="101"/>
      <c r="CK34" s="101"/>
      <c r="CL34" s="101"/>
      <c r="CM34" s="101"/>
      <c r="CN34" s="101"/>
      <c r="CO34" s="101"/>
      <c r="CP34" s="101"/>
      <c r="CQ34" s="101"/>
      <c r="CR34" s="101"/>
      <c r="CS34" s="101"/>
      <c r="CT34" s="101"/>
      <c r="CU34" s="101"/>
      <c r="CV34" s="101"/>
      <c r="CW34" s="101"/>
      <c r="CX34" s="101"/>
      <c r="CY34" s="101"/>
      <c r="CZ34" s="101"/>
      <c r="DA34" s="101"/>
      <c r="DB34" s="101"/>
      <c r="DC34" s="101"/>
      <c r="DD34" s="101"/>
      <c r="DE34" s="101"/>
      <c r="DF34" s="101"/>
      <c r="DG34" s="101"/>
      <c r="DH34" s="101"/>
      <c r="DI34" s="101"/>
      <c r="DJ34" s="101"/>
      <c r="DK34" s="101"/>
      <c r="DL34" s="101"/>
      <c r="DM34" s="101"/>
      <c r="DN34" s="101"/>
      <c r="DO34" s="101"/>
      <c r="DP34" s="101"/>
      <c r="DQ34" s="101"/>
      <c r="DR34" s="101"/>
      <c r="DS34" s="101"/>
      <c r="DT34" s="101"/>
      <c r="DU34" s="101"/>
      <c r="DV34" s="101"/>
      <c r="DW34" s="101"/>
      <c r="DX34" s="101"/>
      <c r="DY34" s="101"/>
      <c r="DZ34" s="101"/>
      <c r="EA34" s="101"/>
      <c r="EB34" s="101"/>
      <c r="EC34" s="101"/>
      <c r="ED34" s="101"/>
      <c r="EE34" s="101"/>
      <c r="EF34" s="101"/>
      <c r="EG34" s="101"/>
      <c r="EH34" s="101"/>
      <c r="EI34" s="101"/>
      <c r="EJ34" s="101"/>
      <c r="EK34" s="101"/>
      <c r="EL34" s="101"/>
      <c r="EM34" s="101"/>
      <c r="EN34" s="101"/>
      <c r="EO34" s="101"/>
      <c r="EP34" s="101"/>
      <c r="EQ34" s="101"/>
      <c r="ER34" s="101"/>
      <c r="ES34" s="101"/>
      <c r="ET34" s="101"/>
      <c r="EU34" s="101"/>
      <c r="EV34" s="101"/>
      <c r="EW34" s="101"/>
      <c r="EX34" s="101"/>
      <c r="EY34" s="101"/>
      <c r="EZ34" s="101"/>
      <c r="FA34" s="101"/>
      <c r="FB34" s="101"/>
      <c r="FC34" s="101"/>
      <c r="FD34" s="101"/>
      <c r="FE34" s="101"/>
      <c r="FF34" s="101"/>
      <c r="FG34" s="101"/>
      <c r="FH34" s="101"/>
      <c r="FI34" s="101"/>
      <c r="FJ34" s="101"/>
      <c r="FK34" s="101"/>
      <c r="FL34" s="101"/>
      <c r="FM34" s="101"/>
      <c r="FN34" s="101"/>
      <c r="FO34" s="101"/>
      <c r="FP34" s="101"/>
      <c r="FQ34" s="101"/>
      <c r="FR34" s="101"/>
      <c r="FS34" s="101"/>
      <c r="FT34" s="101"/>
      <c r="FU34" s="101"/>
      <c r="FV34" s="101"/>
      <c r="FW34" s="101"/>
      <c r="FX34" s="101"/>
      <c r="FY34" s="101"/>
      <c r="FZ34" s="101"/>
      <c r="GA34" s="101"/>
      <c r="GB34" s="101"/>
      <c r="GC34" s="101"/>
      <c r="GD34" s="101"/>
      <c r="GE34" s="101"/>
      <c r="GF34" s="101"/>
      <c r="GG34" s="101"/>
      <c r="GH34" s="101"/>
      <c r="GI34" s="101"/>
      <c r="GJ34" s="101"/>
      <c r="GK34" s="101"/>
      <c r="GL34" s="101"/>
      <c r="GM34" s="101"/>
      <c r="GN34" s="101"/>
      <c r="GO34" s="101"/>
      <c r="GP34" s="101"/>
      <c r="GQ34" s="101"/>
      <c r="GR34" s="101"/>
      <c r="GS34" s="101"/>
      <c r="GT34" s="101"/>
      <c r="GU34" s="101"/>
      <c r="GV34" s="101"/>
      <c r="GW34" s="101"/>
      <c r="GX34" s="101"/>
      <c r="GY34" s="101"/>
      <c r="GZ34" s="101"/>
      <c r="HA34" s="101"/>
      <c r="HB34" s="101"/>
      <c r="HC34" s="101"/>
      <c r="HD34" s="101"/>
      <c r="HE34" s="101"/>
      <c r="HF34" s="101"/>
      <c r="HG34" s="101"/>
      <c r="HH34" s="101"/>
      <c r="HI34" s="101"/>
      <c r="HJ34" s="101"/>
      <c r="HK34" s="101"/>
      <c r="HL34" s="101"/>
      <c r="HM34" s="101"/>
      <c r="HN34" s="101"/>
      <c r="HO34" s="101"/>
      <c r="HP34" s="101"/>
      <c r="HQ34" s="101"/>
      <c r="HR34" s="101"/>
      <c r="HS34" s="101"/>
      <c r="HT34" s="101"/>
      <c r="HU34" s="101"/>
      <c r="HV34" s="101"/>
      <c r="HW34" s="101"/>
      <c r="HX34" s="101"/>
      <c r="HY34" s="101"/>
      <c r="HZ34" s="101"/>
      <c r="IA34" s="101"/>
      <c r="IB34" s="101"/>
      <c r="IC34" s="101"/>
      <c r="ID34" s="101"/>
      <c r="IE34" s="101"/>
      <c r="IF34" s="101"/>
      <c r="IG34" s="101"/>
      <c r="IH34" s="101"/>
      <c r="II34" s="101"/>
      <c r="IJ34" s="101"/>
      <c r="IK34" s="101"/>
      <c r="IL34" s="101"/>
      <c r="IM34" s="101"/>
      <c r="IN34" s="101"/>
      <c r="IO34" s="101"/>
      <c r="IP34" s="101"/>
      <c r="IQ34" s="101"/>
      <c r="IR34" s="101"/>
      <c r="IS34" s="101"/>
      <c r="IT34" s="101"/>
      <c r="IU34" s="101"/>
      <c r="IV34" s="101"/>
      <c r="IW34" s="101"/>
      <c r="IX34" s="101"/>
      <c r="IY34" s="101"/>
      <c r="IZ34" s="101"/>
      <c r="JA34" s="101"/>
      <c r="JB34" s="101"/>
      <c r="JC34" s="101"/>
      <c r="JD34" s="101"/>
      <c r="JE34" s="101"/>
      <c r="JF34" s="101"/>
      <c r="JG34" s="101"/>
      <c r="JH34" s="101"/>
      <c r="JI34" s="101"/>
      <c r="JJ34" s="101"/>
      <c r="JK34" s="101"/>
      <c r="JL34" s="101"/>
      <c r="JM34" s="101"/>
      <c r="JN34" s="101"/>
      <c r="JO34" s="101"/>
      <c r="JP34" s="101"/>
      <c r="JQ34" s="101"/>
      <c r="JR34" s="101"/>
      <c r="JS34" s="101"/>
      <c r="JT34" s="101"/>
      <c r="JU34" s="101"/>
      <c r="JV34" s="101"/>
      <c r="JW34" s="101"/>
      <c r="JX34" s="101"/>
      <c r="JY34" s="101"/>
      <c r="JZ34" s="101"/>
      <c r="KA34" s="101"/>
      <c r="KB34" s="101"/>
      <c r="KC34" s="101"/>
      <c r="KD34" s="101"/>
      <c r="KE34" s="101"/>
      <c r="KF34" s="101"/>
      <c r="KG34" s="101"/>
      <c r="KH34" s="101"/>
      <c r="KI34" s="101"/>
      <c r="KJ34" s="101"/>
      <c r="KK34" s="101"/>
      <c r="KL34" s="101"/>
      <c r="KM34" s="101"/>
      <c r="KN34" s="101"/>
      <c r="KO34" s="101"/>
      <c r="KP34" s="101"/>
      <c r="KQ34" s="101"/>
      <c r="KR34" s="101"/>
      <c r="KS34" s="101"/>
      <c r="KT34" s="101"/>
      <c r="KU34" s="101"/>
      <c r="KV34" s="101"/>
      <c r="KW34" s="101"/>
      <c r="KX34" s="101"/>
      <c r="KY34" s="101"/>
      <c r="KZ34" s="101"/>
      <c r="LA34" s="101"/>
      <c r="LB34" s="101"/>
      <c r="LC34" s="101"/>
      <c r="LD34" s="101"/>
      <c r="LE34" s="101"/>
      <c r="LF34" s="101"/>
      <c r="LG34" s="101"/>
      <c r="LH34" s="101"/>
      <c r="LI34" s="101"/>
      <c r="LJ34" s="101"/>
      <c r="LK34" s="101"/>
      <c r="LL34" s="101"/>
      <c r="LM34" s="101"/>
      <c r="LN34" s="101"/>
      <c r="LO34" s="101"/>
      <c r="LP34" s="101"/>
      <c r="LQ34" s="101"/>
      <c r="LR34" s="101"/>
      <c r="LS34" s="101"/>
      <c r="LT34" s="101"/>
      <c r="LU34" s="101"/>
      <c r="LV34" s="101"/>
      <c r="LW34" s="101"/>
      <c r="LX34" s="101"/>
      <c r="LY34" s="101"/>
      <c r="LZ34" s="101"/>
      <c r="MA34" s="101"/>
      <c r="MB34" s="101"/>
      <c r="MC34" s="101"/>
      <c r="MD34" s="101"/>
      <c r="ME34" s="101"/>
      <c r="MF34" s="101"/>
      <c r="MG34" s="101"/>
      <c r="MH34" s="101"/>
      <c r="MI34" s="101"/>
      <c r="MJ34" s="101"/>
      <c r="MK34" s="101"/>
      <c r="ML34" s="101"/>
      <c r="MM34" s="101"/>
      <c r="MN34" s="101"/>
      <c r="MO34" s="101"/>
      <c r="MP34" s="101"/>
      <c r="MQ34" s="101"/>
      <c r="MR34" s="101"/>
      <c r="MS34" s="101"/>
      <c r="MT34" s="101"/>
      <c r="MU34" s="101"/>
      <c r="MV34" s="101"/>
      <c r="MW34" s="101"/>
      <c r="MX34" s="101"/>
      <c r="MY34" s="101"/>
      <c r="MZ34" s="101"/>
      <c r="NA34" s="101"/>
      <c r="NB34" s="101"/>
      <c r="NC34" s="101"/>
      <c r="ND34" s="101"/>
      <c r="NE34" s="101"/>
      <c r="NF34" s="101"/>
      <c r="NG34" s="101"/>
      <c r="NH34" s="101"/>
      <c r="NI34" s="101"/>
      <c r="NJ34" s="101"/>
      <c r="NK34" s="101"/>
      <c r="NL34" s="101"/>
      <c r="NM34" s="101"/>
      <c r="NN34" s="101"/>
      <c r="NO34" s="101"/>
      <c r="NP34" s="101"/>
      <c r="NQ34" s="101"/>
      <c r="NR34" s="101"/>
      <c r="NS34" s="101"/>
      <c r="NT34" s="101"/>
      <c r="NU34" s="101"/>
      <c r="NV34" s="101"/>
      <c r="NW34" s="101"/>
      <c r="NX34" s="101"/>
      <c r="NY34" s="101"/>
      <c r="NZ34" s="101"/>
      <c r="OA34" s="101"/>
      <c r="OB34" s="101"/>
      <c r="OC34" s="101"/>
      <c r="OD34" s="101"/>
      <c r="OE34" s="101"/>
      <c r="OF34" s="101"/>
      <c r="OG34" s="101"/>
      <c r="OH34" s="101"/>
      <c r="OI34" s="101"/>
      <c r="OJ34" s="101"/>
      <c r="OK34" s="101"/>
      <c r="OL34" s="101"/>
      <c r="OM34" s="101"/>
      <c r="ON34" s="101"/>
      <c r="OO34" s="101"/>
      <c r="OP34" s="101"/>
      <c r="OQ34" s="101"/>
      <c r="OR34" s="101"/>
      <c r="OS34" s="101"/>
      <c r="OT34" s="101"/>
      <c r="OU34" s="101"/>
      <c r="OV34" s="101"/>
      <c r="OW34" s="101"/>
      <c r="OX34" s="101"/>
      <c r="OY34" s="101"/>
      <c r="OZ34" s="101"/>
      <c r="PA34" s="101"/>
      <c r="PB34" s="101"/>
      <c r="PC34" s="101"/>
      <c r="PD34" s="101"/>
      <c r="PE34" s="101"/>
      <c r="PF34" s="101"/>
      <c r="PG34" s="101"/>
      <c r="PH34" s="101"/>
      <c r="PI34" s="101"/>
      <c r="PJ34" s="101"/>
      <c r="PK34" s="101"/>
      <c r="PL34" s="101"/>
      <c r="PM34" s="101"/>
      <c r="PN34" s="101"/>
      <c r="PO34" s="101"/>
      <c r="PP34" s="101"/>
      <c r="PQ34" s="101"/>
      <c r="PR34" s="101"/>
      <c r="PS34" s="101"/>
      <c r="PT34" s="101"/>
      <c r="PU34" s="101"/>
      <c r="PV34" s="101"/>
      <c r="PW34" s="101"/>
      <c r="PX34" s="101"/>
      <c r="PY34" s="101"/>
      <c r="PZ34" s="101"/>
      <c r="QA34" s="101"/>
      <c r="QB34" s="101"/>
      <c r="QC34" s="101"/>
      <c r="QD34" s="101"/>
      <c r="QE34" s="101"/>
      <c r="QF34" s="101"/>
      <c r="QG34" s="101"/>
      <c r="QH34" s="101"/>
      <c r="QI34" s="101"/>
      <c r="QJ34" s="101"/>
      <c r="QK34" s="101"/>
      <c r="QL34" s="101"/>
      <c r="QM34" s="101"/>
      <c r="QN34" s="101"/>
      <c r="QO34" s="101"/>
      <c r="QP34" s="101"/>
      <c r="QQ34" s="101">
        <v>12</v>
      </c>
      <c r="QR34" s="101">
        <v>15</v>
      </c>
      <c r="QS34" s="101"/>
      <c r="QT34" s="101">
        <v>15</v>
      </c>
      <c r="QU34" s="101">
        <v>15</v>
      </c>
      <c r="QV34" s="101">
        <v>15</v>
      </c>
      <c r="QW34" s="101">
        <v>15</v>
      </c>
      <c r="QX34" s="101">
        <v>15</v>
      </c>
      <c r="QY34" s="101">
        <v>15</v>
      </c>
      <c r="QZ34" s="101"/>
      <c r="RA34" s="101">
        <v>15</v>
      </c>
      <c r="RB34" s="101">
        <v>15</v>
      </c>
      <c r="RC34" s="101">
        <v>15</v>
      </c>
      <c r="RD34" s="101">
        <v>15</v>
      </c>
      <c r="RE34" s="101">
        <v>15</v>
      </c>
      <c r="RF34" s="101">
        <v>15</v>
      </c>
      <c r="RG34" s="101"/>
      <c r="RH34" s="101">
        <v>15</v>
      </c>
      <c r="RI34" s="101">
        <v>3</v>
      </c>
      <c r="RJ34" s="101"/>
      <c r="RK34" s="101"/>
      <c r="RL34" s="101"/>
      <c r="RM34" s="101"/>
      <c r="RN34" s="101"/>
      <c r="RO34" s="101"/>
      <c r="RP34" s="101"/>
      <c r="RQ34" s="101"/>
      <c r="RR34" s="101"/>
      <c r="RS34" s="101"/>
      <c r="RT34" s="101"/>
      <c r="RU34" s="101"/>
      <c r="RV34" s="101"/>
      <c r="RW34" s="101"/>
      <c r="RX34" s="101"/>
      <c r="RY34" s="101"/>
      <c r="RZ34" s="101"/>
      <c r="SA34" s="101"/>
      <c r="SB34" s="101"/>
      <c r="SC34" s="101"/>
      <c r="SD34" s="101"/>
      <c r="SE34" s="101"/>
      <c r="SF34" s="101"/>
      <c r="SG34" s="101"/>
      <c r="SH34" s="101"/>
      <c r="SI34" s="101"/>
      <c r="SJ34" s="101"/>
      <c r="SK34" s="101"/>
      <c r="SL34" s="101"/>
      <c r="SM34" s="101"/>
      <c r="SN34" s="101"/>
      <c r="SO34" s="101"/>
      <c r="SP34" s="101"/>
      <c r="SQ34" s="101"/>
      <c r="SR34" s="101"/>
      <c r="SS34" s="101"/>
      <c r="ST34" s="101"/>
      <c r="SU34" s="101"/>
      <c r="SV34" s="101"/>
      <c r="SW34" s="101"/>
      <c r="SX34" s="101"/>
      <c r="SY34" s="101"/>
      <c r="SZ34" s="101"/>
      <c r="TA34" s="101"/>
      <c r="TB34" s="101"/>
      <c r="TC34" s="101"/>
      <c r="TD34" s="101"/>
      <c r="TE34" s="101"/>
      <c r="TF34" s="101"/>
      <c r="TG34" s="101"/>
      <c r="TH34" s="101"/>
      <c r="TI34" s="101"/>
      <c r="TJ34" s="101"/>
      <c r="TK34" s="101"/>
      <c r="TL34" s="101"/>
      <c r="TM34" s="101"/>
      <c r="TN34" s="101"/>
      <c r="TO34" s="101"/>
      <c r="TP34" s="101"/>
      <c r="TQ34" s="101"/>
      <c r="TR34" s="101"/>
      <c r="TS34" s="101"/>
      <c r="TT34" s="101"/>
      <c r="TU34" s="101"/>
      <c r="TV34" s="101"/>
      <c r="TW34" s="101"/>
      <c r="TX34" s="101"/>
      <c r="TY34" s="101"/>
      <c r="TZ34" s="101"/>
      <c r="UA34" s="101"/>
      <c r="UB34" s="101"/>
      <c r="UC34" s="101"/>
      <c r="UD34" s="101"/>
      <c r="UE34" s="101"/>
      <c r="UF34" s="101"/>
      <c r="UG34" s="101"/>
      <c r="UH34" s="101"/>
      <c r="UI34" s="101"/>
      <c r="UJ34" s="101"/>
      <c r="UK34" s="101"/>
      <c r="UL34" s="101"/>
      <c r="UM34" s="101"/>
      <c r="UN34" s="101"/>
      <c r="UO34" s="101"/>
      <c r="UP34" s="101"/>
      <c r="UQ34" s="101"/>
      <c r="UR34" s="101"/>
      <c r="US34" s="101"/>
      <c r="UT34" s="101"/>
      <c r="UU34" s="101"/>
      <c r="UV34" s="101"/>
      <c r="UW34" s="101"/>
      <c r="UX34" s="101"/>
      <c r="UY34" s="101"/>
      <c r="UZ34" s="101"/>
      <c r="VA34" s="101"/>
      <c r="VB34" s="101"/>
      <c r="VC34" s="101"/>
      <c r="VD34" s="101"/>
      <c r="VE34" s="101"/>
      <c r="VF34" s="101"/>
      <c r="VG34" s="101"/>
      <c r="VH34" s="101"/>
      <c r="VI34" s="101"/>
      <c r="VJ34" s="101"/>
      <c r="VK34" s="101"/>
      <c r="VL34" s="101"/>
      <c r="VM34" s="101"/>
      <c r="VN34" s="101"/>
      <c r="VO34" s="101"/>
      <c r="VP34" s="101"/>
      <c r="VQ34" s="101"/>
      <c r="VR34" s="101"/>
      <c r="VS34" s="101"/>
      <c r="VT34" s="101"/>
      <c r="VU34" s="101"/>
      <c r="VV34" s="101"/>
      <c r="VW34" s="101"/>
      <c r="VX34" s="101"/>
      <c r="VY34" s="101"/>
      <c r="VZ34" s="101"/>
      <c r="WA34" s="101"/>
      <c r="WB34" s="101"/>
      <c r="WC34" s="101"/>
      <c r="WD34" s="101"/>
      <c r="WE34" s="101"/>
      <c r="WF34" s="101"/>
      <c r="WG34" s="101"/>
      <c r="WH34" s="101"/>
      <c r="WI34" s="101"/>
      <c r="WJ34" s="101"/>
      <c r="WK34" s="101"/>
      <c r="WL34" s="101"/>
      <c r="WM34" s="101"/>
      <c r="WN34" s="101"/>
      <c r="WO34" s="101"/>
      <c r="WP34" s="101"/>
      <c r="WQ34" s="101"/>
      <c r="WR34" s="101"/>
      <c r="WS34" s="101"/>
      <c r="WT34" s="101"/>
      <c r="WU34" s="101"/>
      <c r="WV34" s="101"/>
      <c r="WW34" s="101"/>
      <c r="WX34" s="101"/>
      <c r="WY34" s="101"/>
      <c r="WZ34" s="101"/>
      <c r="XA34" s="101"/>
      <c r="XB34" s="101"/>
      <c r="XC34" s="101"/>
      <c r="XD34" s="101"/>
      <c r="XE34" s="101"/>
      <c r="XF34" s="101"/>
      <c r="XG34" s="101"/>
      <c r="XH34" s="101"/>
      <c r="XI34" s="101"/>
      <c r="XJ34" s="101"/>
      <c r="XK34" s="101"/>
      <c r="XL34" s="101"/>
      <c r="XM34" s="101"/>
      <c r="XN34" s="101"/>
      <c r="XO34" s="101"/>
      <c r="XP34" s="101"/>
      <c r="XQ34" s="101"/>
      <c r="XR34" s="101"/>
      <c r="XS34" s="101"/>
      <c r="XT34" s="101"/>
      <c r="XU34" s="101"/>
      <c r="XV34" s="101"/>
      <c r="XW34" s="101"/>
      <c r="XX34" s="101"/>
      <c r="XY34" s="101"/>
      <c r="XZ34" s="101"/>
      <c r="YA34" s="101"/>
      <c r="YB34" s="101"/>
      <c r="YC34" s="101"/>
      <c r="YD34" s="101"/>
      <c r="YE34" s="101"/>
      <c r="YF34" s="101"/>
      <c r="YG34" s="101"/>
      <c r="YH34" s="101"/>
      <c r="YI34" s="101"/>
      <c r="YJ34" s="101"/>
      <c r="YK34" s="101"/>
      <c r="YL34" s="101"/>
      <c r="YM34" s="101"/>
      <c r="YN34" s="101"/>
      <c r="YO34" s="101"/>
      <c r="YP34" s="101"/>
      <c r="YQ34" s="101"/>
      <c r="YR34" s="101"/>
      <c r="YS34" s="101"/>
      <c r="YT34" s="101"/>
      <c r="YU34" s="101"/>
      <c r="YV34" s="101"/>
      <c r="YW34" s="101"/>
      <c r="YX34" s="101"/>
      <c r="YY34" s="101"/>
      <c r="YZ34" s="101"/>
      <c r="ZA34" s="101"/>
      <c r="ZB34" s="101"/>
      <c r="ZC34" s="101"/>
      <c r="ZD34" s="101"/>
      <c r="ZE34" s="101"/>
      <c r="ZF34" s="101"/>
      <c r="ZG34" s="101"/>
      <c r="ZH34" s="101"/>
    </row>
    <row r="35" spans="1:684">
      <c r="A35" s="75" t="s">
        <v>73</v>
      </c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1"/>
      <c r="BF35" s="101"/>
      <c r="BG35" s="101"/>
      <c r="BH35" s="101"/>
      <c r="BI35" s="101"/>
      <c r="BJ35" s="101"/>
      <c r="BK35" s="101"/>
      <c r="BL35" s="101"/>
      <c r="BM35" s="101"/>
      <c r="BN35" s="101"/>
      <c r="BO35" s="101"/>
      <c r="BP35" s="101"/>
      <c r="BQ35" s="101"/>
      <c r="BR35" s="101"/>
      <c r="BS35" s="101"/>
      <c r="BT35" s="101"/>
      <c r="BU35" s="101"/>
      <c r="BV35" s="101"/>
      <c r="BW35" s="101"/>
      <c r="BX35" s="101"/>
      <c r="BY35" s="101"/>
      <c r="BZ35" s="101"/>
      <c r="CA35" s="101"/>
      <c r="CB35" s="101"/>
      <c r="CC35" s="101"/>
      <c r="CD35" s="101"/>
      <c r="CE35" s="101"/>
      <c r="CF35" s="101"/>
      <c r="CG35" s="101"/>
      <c r="CH35" s="101"/>
      <c r="CI35" s="101"/>
      <c r="CJ35" s="101"/>
      <c r="CK35" s="101"/>
      <c r="CL35" s="101"/>
      <c r="CM35" s="101"/>
      <c r="CN35" s="101"/>
      <c r="CO35" s="101"/>
      <c r="CP35" s="101"/>
      <c r="CQ35" s="101"/>
      <c r="CR35" s="101"/>
      <c r="CS35" s="101"/>
      <c r="CT35" s="101"/>
      <c r="CU35" s="101"/>
      <c r="CV35" s="101"/>
      <c r="CW35" s="101"/>
      <c r="CX35" s="101"/>
      <c r="CY35" s="101"/>
      <c r="CZ35" s="101"/>
      <c r="DA35" s="101"/>
      <c r="DB35" s="101"/>
      <c r="DC35" s="101"/>
      <c r="DD35" s="101"/>
      <c r="DE35" s="101"/>
      <c r="DF35" s="101"/>
      <c r="DG35" s="101"/>
      <c r="DH35" s="101"/>
      <c r="DI35" s="101"/>
      <c r="DJ35" s="101"/>
      <c r="DK35" s="101"/>
      <c r="DL35" s="101"/>
      <c r="DM35" s="101"/>
      <c r="DN35" s="101"/>
      <c r="DO35" s="101"/>
      <c r="DP35" s="101"/>
      <c r="DQ35" s="101"/>
      <c r="DR35" s="101"/>
      <c r="DS35" s="101"/>
      <c r="DT35" s="101"/>
      <c r="DU35" s="101"/>
      <c r="DV35" s="101"/>
      <c r="DW35" s="101"/>
      <c r="DX35" s="101"/>
      <c r="DY35" s="101"/>
      <c r="DZ35" s="101"/>
      <c r="EA35" s="101"/>
      <c r="EB35" s="101"/>
      <c r="EC35" s="101"/>
      <c r="ED35" s="101"/>
      <c r="EE35" s="101"/>
      <c r="EF35" s="101"/>
      <c r="EG35" s="101"/>
      <c r="EH35" s="101"/>
      <c r="EI35" s="101"/>
      <c r="EJ35" s="101"/>
      <c r="EK35" s="101"/>
      <c r="EL35" s="101"/>
      <c r="EM35" s="101"/>
      <c r="EN35" s="101"/>
      <c r="EO35" s="101"/>
      <c r="EP35" s="101"/>
      <c r="EQ35" s="101"/>
      <c r="ER35" s="101"/>
      <c r="ES35" s="101"/>
      <c r="ET35" s="101"/>
      <c r="EU35" s="101"/>
      <c r="EV35" s="101"/>
      <c r="EW35" s="101"/>
      <c r="EX35" s="101"/>
      <c r="EY35" s="101"/>
      <c r="EZ35" s="101"/>
      <c r="FA35" s="101"/>
      <c r="FB35" s="101"/>
      <c r="FC35" s="101"/>
      <c r="FD35" s="101"/>
      <c r="FE35" s="101"/>
      <c r="FF35" s="101"/>
      <c r="FG35" s="101"/>
      <c r="FH35" s="101"/>
      <c r="FI35" s="101"/>
      <c r="FJ35" s="101"/>
      <c r="FK35" s="101"/>
      <c r="FL35" s="101"/>
      <c r="FM35" s="101"/>
      <c r="FN35" s="101"/>
      <c r="FO35" s="101"/>
      <c r="FP35" s="101"/>
      <c r="FQ35" s="101"/>
      <c r="FR35" s="101"/>
      <c r="FS35" s="101"/>
      <c r="FT35" s="101"/>
      <c r="FU35" s="101"/>
      <c r="FV35" s="101"/>
      <c r="FW35" s="101"/>
      <c r="FX35" s="101"/>
      <c r="FY35" s="101"/>
      <c r="FZ35" s="101"/>
      <c r="GA35" s="101"/>
      <c r="GB35" s="101"/>
      <c r="GC35" s="101"/>
      <c r="GD35" s="101"/>
      <c r="GE35" s="101"/>
      <c r="GF35" s="101"/>
      <c r="GG35" s="101"/>
      <c r="GH35" s="101"/>
      <c r="GI35" s="101"/>
      <c r="GJ35" s="101"/>
      <c r="GK35" s="101"/>
      <c r="GL35" s="101"/>
      <c r="GM35" s="101"/>
      <c r="GN35" s="101"/>
      <c r="GO35" s="101"/>
      <c r="GP35" s="101"/>
      <c r="GQ35" s="101"/>
      <c r="GR35" s="101"/>
      <c r="GS35" s="101"/>
      <c r="GT35" s="101"/>
      <c r="GU35" s="101"/>
      <c r="GV35" s="101"/>
      <c r="GW35" s="101"/>
      <c r="GX35" s="101"/>
      <c r="GY35" s="101"/>
      <c r="GZ35" s="101"/>
      <c r="HA35" s="101"/>
      <c r="HB35" s="101"/>
      <c r="HC35" s="101"/>
      <c r="HD35" s="101"/>
      <c r="HE35" s="101"/>
      <c r="HF35" s="101"/>
      <c r="HG35" s="101"/>
      <c r="HH35" s="101"/>
      <c r="HI35" s="101"/>
      <c r="HJ35" s="101"/>
      <c r="HK35" s="101"/>
      <c r="HL35" s="101"/>
      <c r="HM35" s="101"/>
      <c r="HN35" s="101"/>
      <c r="HO35" s="101"/>
      <c r="HP35" s="101"/>
      <c r="HQ35" s="101"/>
      <c r="HR35" s="101"/>
      <c r="HS35" s="101"/>
      <c r="HT35" s="101"/>
      <c r="HU35" s="101"/>
      <c r="HV35" s="101"/>
      <c r="HW35" s="101"/>
      <c r="HX35" s="101"/>
      <c r="HY35" s="101"/>
      <c r="HZ35" s="101"/>
      <c r="IA35" s="101"/>
      <c r="IB35" s="101"/>
      <c r="IC35" s="101"/>
      <c r="ID35" s="101"/>
      <c r="IE35" s="101"/>
      <c r="IF35" s="101"/>
      <c r="IG35" s="101"/>
      <c r="IH35" s="101"/>
      <c r="II35" s="101"/>
      <c r="IJ35" s="101"/>
      <c r="IK35" s="101"/>
      <c r="IL35" s="101"/>
      <c r="IM35" s="101"/>
      <c r="IN35" s="101"/>
      <c r="IO35" s="101"/>
      <c r="IP35" s="101"/>
      <c r="IQ35" s="101"/>
      <c r="IR35" s="101"/>
      <c r="IS35" s="101"/>
      <c r="IT35" s="101"/>
      <c r="IU35" s="101"/>
      <c r="IV35" s="101"/>
      <c r="IW35" s="101"/>
      <c r="IX35" s="101"/>
      <c r="IY35" s="101"/>
      <c r="IZ35" s="101"/>
      <c r="JA35" s="101"/>
      <c r="JB35" s="101"/>
      <c r="JC35" s="101"/>
      <c r="JD35" s="101"/>
      <c r="JE35" s="101"/>
      <c r="JF35" s="101"/>
      <c r="JG35" s="101"/>
      <c r="JH35" s="101"/>
      <c r="JI35" s="101"/>
      <c r="JJ35" s="101"/>
      <c r="JK35" s="101"/>
      <c r="JL35" s="101"/>
      <c r="JM35" s="101"/>
      <c r="JN35" s="101"/>
      <c r="JO35" s="101"/>
      <c r="JP35" s="101"/>
      <c r="JQ35" s="101"/>
      <c r="JR35" s="101"/>
      <c r="JS35" s="101"/>
      <c r="JT35" s="101"/>
      <c r="JU35" s="101"/>
      <c r="JV35" s="101"/>
      <c r="JW35" s="101"/>
      <c r="JX35" s="101"/>
      <c r="JY35" s="101"/>
      <c r="JZ35" s="101"/>
      <c r="KA35" s="101"/>
      <c r="KB35" s="101"/>
      <c r="KC35" s="101"/>
      <c r="KD35" s="101"/>
      <c r="KE35" s="101"/>
      <c r="KF35" s="101"/>
      <c r="KG35" s="101"/>
      <c r="KH35" s="101"/>
      <c r="KI35" s="101"/>
      <c r="KJ35" s="101"/>
      <c r="KK35" s="101"/>
      <c r="KL35" s="101"/>
      <c r="KM35" s="101"/>
      <c r="KN35" s="101"/>
      <c r="KO35" s="101"/>
      <c r="KP35" s="101"/>
      <c r="KQ35" s="101"/>
      <c r="KR35" s="101"/>
      <c r="KS35" s="101"/>
      <c r="KT35" s="101"/>
      <c r="KU35" s="101"/>
      <c r="KV35" s="101"/>
      <c r="KW35" s="101"/>
      <c r="KX35" s="101"/>
      <c r="KY35" s="101"/>
      <c r="KZ35" s="101"/>
      <c r="LA35" s="101"/>
      <c r="LB35" s="101"/>
      <c r="LC35" s="101"/>
      <c r="LD35" s="101"/>
      <c r="LE35" s="101"/>
      <c r="LF35" s="101"/>
      <c r="LG35" s="101"/>
      <c r="LH35" s="101"/>
      <c r="LI35" s="101"/>
      <c r="LJ35" s="101"/>
      <c r="LK35" s="101"/>
      <c r="LL35" s="101"/>
      <c r="LM35" s="101"/>
      <c r="LN35" s="101"/>
      <c r="LO35" s="101"/>
      <c r="LP35" s="101"/>
      <c r="LQ35" s="101"/>
      <c r="LR35" s="101"/>
      <c r="LS35" s="101"/>
      <c r="LT35" s="101"/>
      <c r="LU35" s="101"/>
      <c r="LV35" s="101"/>
      <c r="LW35" s="101"/>
      <c r="LX35" s="101"/>
      <c r="LY35" s="101"/>
      <c r="LZ35" s="101"/>
      <c r="MA35" s="101"/>
      <c r="MB35" s="101"/>
      <c r="MC35" s="101"/>
      <c r="MD35" s="101"/>
      <c r="ME35" s="101"/>
      <c r="MF35" s="101"/>
      <c r="MG35" s="101"/>
      <c r="MH35" s="101"/>
      <c r="MI35" s="101"/>
      <c r="MJ35" s="101"/>
      <c r="MK35" s="101"/>
      <c r="ML35" s="101"/>
      <c r="MM35" s="101"/>
      <c r="MN35" s="101"/>
      <c r="MO35" s="101"/>
      <c r="MP35" s="101"/>
      <c r="MQ35" s="101"/>
      <c r="MR35" s="101"/>
      <c r="MS35" s="101"/>
      <c r="MT35" s="101"/>
      <c r="MU35" s="101"/>
      <c r="MV35" s="101"/>
      <c r="MW35" s="101"/>
      <c r="MX35" s="101"/>
      <c r="MY35" s="101"/>
      <c r="MZ35" s="101"/>
      <c r="NA35" s="101"/>
      <c r="NB35" s="101"/>
      <c r="NC35" s="101"/>
      <c r="ND35" s="101"/>
      <c r="NE35" s="101"/>
      <c r="NF35" s="101"/>
      <c r="NG35" s="101"/>
      <c r="NH35" s="101"/>
      <c r="NI35" s="101"/>
      <c r="NJ35" s="101"/>
      <c r="NK35" s="101"/>
      <c r="NL35" s="101"/>
      <c r="NM35" s="101"/>
      <c r="NN35" s="101"/>
      <c r="NO35" s="101"/>
      <c r="NP35" s="101"/>
      <c r="NQ35" s="101"/>
      <c r="NR35" s="101"/>
      <c r="NS35" s="101"/>
      <c r="NT35" s="101"/>
      <c r="NU35" s="101"/>
      <c r="NV35" s="101"/>
      <c r="NW35" s="101"/>
      <c r="NX35" s="101"/>
      <c r="NY35" s="101"/>
      <c r="NZ35" s="101"/>
      <c r="OA35" s="101"/>
      <c r="OB35" s="101"/>
      <c r="OC35" s="101"/>
      <c r="OD35" s="101"/>
      <c r="OE35" s="101"/>
      <c r="OF35" s="101"/>
      <c r="OG35" s="101"/>
      <c r="OH35" s="101"/>
      <c r="OI35" s="101"/>
      <c r="OJ35" s="101"/>
      <c r="OK35" s="101"/>
      <c r="OL35" s="101"/>
      <c r="OM35" s="101"/>
      <c r="ON35" s="101"/>
      <c r="OO35" s="101"/>
      <c r="OP35" s="101"/>
      <c r="OQ35" s="101"/>
      <c r="OR35" s="101"/>
      <c r="OS35" s="101"/>
      <c r="OT35" s="101"/>
      <c r="OU35" s="101"/>
      <c r="OV35" s="101"/>
      <c r="OW35" s="101"/>
      <c r="OX35" s="101"/>
      <c r="OY35" s="101"/>
      <c r="OZ35" s="101"/>
      <c r="PA35" s="101"/>
      <c r="PB35" s="101"/>
      <c r="PC35" s="101"/>
      <c r="PD35" s="101"/>
      <c r="PE35" s="101"/>
      <c r="PF35" s="101"/>
      <c r="PG35" s="101"/>
      <c r="PH35" s="101"/>
      <c r="PI35" s="101"/>
      <c r="PJ35" s="101"/>
      <c r="PK35" s="101"/>
      <c r="PL35" s="101"/>
      <c r="PM35" s="101"/>
      <c r="PN35" s="101"/>
      <c r="PO35" s="101"/>
      <c r="PP35" s="101"/>
      <c r="PQ35" s="101"/>
      <c r="PR35" s="101"/>
      <c r="PS35" s="101"/>
      <c r="PT35" s="101"/>
      <c r="PU35" s="101"/>
      <c r="PV35" s="101"/>
      <c r="PW35" s="101"/>
      <c r="PX35" s="101"/>
      <c r="PY35" s="101"/>
      <c r="PZ35" s="101"/>
      <c r="QA35" s="101"/>
      <c r="QB35" s="101"/>
      <c r="QC35" s="101"/>
      <c r="QD35" s="101"/>
      <c r="QE35" s="101"/>
      <c r="QF35" s="101">
        <v>10</v>
      </c>
      <c r="QG35" s="101">
        <v>12</v>
      </c>
      <c r="QH35" s="101">
        <v>12</v>
      </c>
      <c r="QI35" s="101">
        <v>12</v>
      </c>
      <c r="QJ35" s="101">
        <v>12</v>
      </c>
      <c r="QK35" s="101">
        <v>22</v>
      </c>
      <c r="QL35" s="101"/>
      <c r="QM35" s="101">
        <v>24</v>
      </c>
      <c r="QN35" s="101">
        <v>24</v>
      </c>
      <c r="QO35" s="101">
        <v>24</v>
      </c>
      <c r="QP35" s="101">
        <v>24</v>
      </c>
      <c r="QQ35" s="101">
        <v>14</v>
      </c>
      <c r="QR35" s="101">
        <v>12</v>
      </c>
      <c r="QS35" s="101"/>
      <c r="QT35" s="101">
        <v>12</v>
      </c>
      <c r="QU35" s="101">
        <v>12</v>
      </c>
      <c r="QV35" s="101">
        <v>12</v>
      </c>
      <c r="QW35" s="101">
        <v>2</v>
      </c>
      <c r="QX35" s="101"/>
      <c r="QY35" s="101"/>
      <c r="QZ35" s="101"/>
      <c r="RA35" s="101"/>
      <c r="RB35" s="101"/>
      <c r="RC35" s="101"/>
      <c r="RD35" s="101"/>
      <c r="RE35" s="101"/>
      <c r="RF35" s="101"/>
      <c r="RG35" s="101"/>
      <c r="RH35" s="101"/>
      <c r="RI35" s="101"/>
      <c r="RJ35" s="101"/>
      <c r="RK35" s="101"/>
      <c r="RL35" s="101"/>
      <c r="RM35" s="101"/>
      <c r="RN35" s="101"/>
      <c r="RO35" s="101"/>
      <c r="RP35" s="101"/>
      <c r="RQ35" s="101"/>
      <c r="RR35" s="101"/>
      <c r="RS35" s="101"/>
      <c r="RT35" s="101"/>
      <c r="RU35" s="101"/>
      <c r="RV35" s="101"/>
      <c r="RW35" s="101"/>
      <c r="RX35" s="101"/>
      <c r="RY35" s="101"/>
      <c r="RZ35" s="101"/>
      <c r="SA35" s="101"/>
      <c r="SB35" s="101"/>
      <c r="SC35" s="101"/>
      <c r="SD35" s="101"/>
      <c r="SE35" s="101"/>
      <c r="SF35" s="101"/>
      <c r="SG35" s="101"/>
      <c r="SH35" s="101"/>
      <c r="SI35" s="101"/>
      <c r="SJ35" s="101"/>
      <c r="SK35" s="101"/>
      <c r="SL35" s="101"/>
      <c r="SM35" s="101"/>
      <c r="SN35" s="101"/>
      <c r="SO35" s="101"/>
      <c r="SP35" s="101"/>
      <c r="SQ35" s="101"/>
      <c r="SR35" s="101"/>
      <c r="SS35" s="101"/>
      <c r="ST35" s="101"/>
      <c r="SU35" s="101"/>
      <c r="SV35" s="101"/>
      <c r="SW35" s="101"/>
      <c r="SX35" s="101"/>
      <c r="SY35" s="101"/>
      <c r="SZ35" s="101"/>
      <c r="TA35" s="101"/>
      <c r="TB35" s="101"/>
      <c r="TC35" s="101"/>
      <c r="TD35" s="101"/>
      <c r="TE35" s="101"/>
      <c r="TF35" s="101"/>
      <c r="TG35" s="101"/>
      <c r="TH35" s="101"/>
      <c r="TI35" s="101"/>
      <c r="TJ35" s="101"/>
      <c r="TK35" s="101"/>
      <c r="TL35" s="101"/>
      <c r="TM35" s="101"/>
      <c r="TN35" s="101"/>
      <c r="TO35" s="101"/>
      <c r="TP35" s="101"/>
      <c r="TQ35" s="101"/>
      <c r="TR35" s="101"/>
      <c r="TS35" s="101"/>
      <c r="TT35" s="101"/>
      <c r="TU35" s="101"/>
      <c r="TV35" s="101"/>
      <c r="TW35" s="101"/>
      <c r="TX35" s="101"/>
      <c r="TY35" s="101"/>
      <c r="TZ35" s="101"/>
      <c r="UA35" s="101"/>
      <c r="UB35" s="101"/>
      <c r="UC35" s="101"/>
      <c r="UD35" s="101"/>
      <c r="UE35" s="101"/>
      <c r="UF35" s="101"/>
      <c r="UG35" s="101"/>
      <c r="UH35" s="101"/>
      <c r="UI35" s="101"/>
      <c r="UJ35" s="101"/>
      <c r="UK35" s="101"/>
      <c r="UL35" s="101"/>
      <c r="UM35" s="101"/>
      <c r="UN35" s="101"/>
      <c r="UO35" s="101"/>
      <c r="UP35" s="101"/>
      <c r="UQ35" s="101"/>
      <c r="UR35" s="101"/>
      <c r="US35" s="101"/>
      <c r="UT35" s="101"/>
      <c r="UU35" s="101"/>
      <c r="UV35" s="101"/>
      <c r="UW35" s="101"/>
      <c r="UX35" s="101"/>
      <c r="UY35" s="101"/>
      <c r="UZ35" s="101"/>
      <c r="VA35" s="101"/>
      <c r="VB35" s="101"/>
      <c r="VC35" s="101"/>
      <c r="VD35" s="101"/>
      <c r="VE35" s="101"/>
      <c r="VF35" s="101"/>
      <c r="VG35" s="101"/>
      <c r="VH35" s="101"/>
      <c r="VI35" s="101"/>
      <c r="VJ35" s="101"/>
      <c r="VK35" s="101"/>
      <c r="VL35" s="101"/>
      <c r="VM35" s="101"/>
      <c r="VN35" s="101"/>
      <c r="VO35" s="101"/>
      <c r="VP35" s="101"/>
      <c r="VQ35" s="101"/>
      <c r="VR35" s="101"/>
      <c r="VS35" s="101"/>
      <c r="VT35" s="101"/>
      <c r="VU35" s="101"/>
      <c r="VV35" s="101"/>
      <c r="VW35" s="101"/>
      <c r="VX35" s="101"/>
      <c r="VY35" s="101"/>
      <c r="VZ35" s="101"/>
      <c r="WA35" s="101"/>
      <c r="WB35" s="101"/>
      <c r="WC35" s="101"/>
      <c r="WD35" s="101"/>
      <c r="WE35" s="101"/>
      <c r="WF35" s="101"/>
      <c r="WG35" s="101"/>
      <c r="WH35" s="101"/>
      <c r="WI35" s="101"/>
      <c r="WJ35" s="101"/>
      <c r="WK35" s="101"/>
      <c r="WL35" s="101"/>
      <c r="WM35" s="101"/>
      <c r="WN35" s="101"/>
      <c r="WO35" s="101"/>
      <c r="WP35" s="101"/>
      <c r="WQ35" s="101"/>
      <c r="WR35" s="101"/>
      <c r="WS35" s="101"/>
      <c r="WT35" s="101"/>
      <c r="WU35" s="101"/>
      <c r="WV35" s="101"/>
      <c r="WW35" s="101"/>
      <c r="WX35" s="101"/>
      <c r="WY35" s="101"/>
      <c r="WZ35" s="101"/>
      <c r="XA35" s="101"/>
      <c r="XB35" s="101"/>
      <c r="XC35" s="101"/>
      <c r="XD35" s="101"/>
      <c r="XE35" s="101"/>
      <c r="XF35" s="101"/>
      <c r="XG35" s="101"/>
      <c r="XH35" s="101"/>
      <c r="XI35" s="101"/>
      <c r="XJ35" s="101"/>
      <c r="XK35" s="101"/>
      <c r="XL35" s="101"/>
      <c r="XM35" s="101"/>
      <c r="XN35" s="101"/>
      <c r="XO35" s="101"/>
      <c r="XP35" s="101"/>
      <c r="XQ35" s="101"/>
      <c r="XR35" s="101"/>
      <c r="XS35" s="101"/>
      <c r="XT35" s="101"/>
      <c r="XU35" s="101"/>
      <c r="XV35" s="101"/>
      <c r="XW35" s="101"/>
      <c r="XX35" s="101"/>
      <c r="XY35" s="101"/>
      <c r="XZ35" s="101"/>
      <c r="YA35" s="101"/>
      <c r="YB35" s="101"/>
      <c r="YC35" s="101"/>
      <c r="YD35" s="101"/>
      <c r="YE35" s="101"/>
      <c r="YF35" s="101"/>
      <c r="YG35" s="101"/>
      <c r="YH35" s="101"/>
      <c r="YI35" s="101"/>
      <c r="YJ35" s="101"/>
      <c r="YK35" s="101"/>
      <c r="YL35" s="101"/>
      <c r="YM35" s="101"/>
      <c r="YN35" s="101"/>
      <c r="YO35" s="101"/>
      <c r="YP35" s="101"/>
      <c r="YQ35" s="101"/>
      <c r="YR35" s="101"/>
      <c r="YS35" s="101"/>
      <c r="YT35" s="101"/>
      <c r="YU35" s="101"/>
      <c r="YV35" s="101"/>
      <c r="YW35" s="101"/>
      <c r="YX35" s="101"/>
      <c r="YY35" s="101"/>
      <c r="YZ35" s="101"/>
      <c r="ZA35" s="101"/>
      <c r="ZB35" s="101"/>
      <c r="ZC35" s="101"/>
      <c r="ZD35" s="101"/>
      <c r="ZE35" s="101"/>
      <c r="ZF35" s="101"/>
      <c r="ZG35" s="101"/>
      <c r="ZH35" s="101"/>
    </row>
    <row r="36" spans="1:684">
      <c r="A36" s="75" t="s">
        <v>62</v>
      </c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  <c r="BZ36" s="101"/>
      <c r="CA36" s="101"/>
      <c r="CB36" s="101"/>
      <c r="CC36" s="101"/>
      <c r="CD36" s="101"/>
      <c r="CE36" s="101"/>
      <c r="CF36" s="101"/>
      <c r="CG36" s="101"/>
      <c r="CH36" s="101"/>
      <c r="CI36" s="101"/>
      <c r="CJ36" s="101"/>
      <c r="CK36" s="101"/>
      <c r="CL36" s="101"/>
      <c r="CM36" s="101"/>
      <c r="CN36" s="101"/>
      <c r="CO36" s="101"/>
      <c r="CP36" s="101"/>
      <c r="CQ36" s="101"/>
      <c r="CR36" s="101"/>
      <c r="CS36" s="101"/>
      <c r="CT36" s="101"/>
      <c r="CU36" s="101"/>
      <c r="CV36" s="101"/>
      <c r="CW36" s="101"/>
      <c r="CX36" s="101"/>
      <c r="CY36" s="101"/>
      <c r="CZ36" s="101"/>
      <c r="DA36" s="101"/>
      <c r="DB36" s="101"/>
      <c r="DC36" s="101"/>
      <c r="DD36" s="101"/>
      <c r="DE36" s="101"/>
      <c r="DF36" s="101"/>
      <c r="DG36" s="101"/>
      <c r="DH36" s="101"/>
      <c r="DI36" s="101"/>
      <c r="DJ36" s="101"/>
      <c r="DK36" s="101"/>
      <c r="DL36" s="101"/>
      <c r="DM36" s="101"/>
      <c r="DN36" s="101"/>
      <c r="DO36" s="101"/>
      <c r="DP36" s="101"/>
      <c r="DQ36" s="101"/>
      <c r="DR36" s="101"/>
      <c r="DS36" s="101"/>
      <c r="DT36" s="101"/>
      <c r="DU36" s="101"/>
      <c r="DV36" s="101"/>
      <c r="DW36" s="101"/>
      <c r="DX36" s="101"/>
      <c r="DY36" s="101"/>
      <c r="DZ36" s="101"/>
      <c r="EA36" s="101"/>
      <c r="EB36" s="101"/>
      <c r="EC36" s="101"/>
      <c r="ED36" s="101"/>
      <c r="EE36" s="101"/>
      <c r="EF36" s="101"/>
      <c r="EG36" s="101"/>
      <c r="EH36" s="101"/>
      <c r="EI36" s="101"/>
      <c r="EJ36" s="101"/>
      <c r="EK36" s="101"/>
      <c r="EL36" s="101"/>
      <c r="EM36" s="101"/>
      <c r="EN36" s="101"/>
      <c r="EO36" s="101"/>
      <c r="EP36" s="101"/>
      <c r="EQ36" s="101"/>
      <c r="ER36" s="101"/>
      <c r="ES36" s="101"/>
      <c r="ET36" s="101"/>
      <c r="EU36" s="101"/>
      <c r="EV36" s="101"/>
      <c r="EW36" s="101"/>
      <c r="EX36" s="101"/>
      <c r="EY36" s="101"/>
      <c r="EZ36" s="101"/>
      <c r="FA36" s="101"/>
      <c r="FB36" s="101"/>
      <c r="FC36" s="101"/>
      <c r="FD36" s="101"/>
      <c r="FE36" s="101"/>
      <c r="FF36" s="101"/>
      <c r="FG36" s="101"/>
      <c r="FH36" s="101"/>
      <c r="FI36" s="101"/>
      <c r="FJ36" s="101"/>
      <c r="FK36" s="101"/>
      <c r="FL36" s="101"/>
      <c r="FM36" s="101"/>
      <c r="FN36" s="101"/>
      <c r="FO36" s="101"/>
      <c r="FP36" s="101"/>
      <c r="FQ36" s="101"/>
      <c r="FR36" s="101"/>
      <c r="FS36" s="101"/>
      <c r="FT36" s="101"/>
      <c r="FU36" s="101"/>
      <c r="FV36" s="101"/>
      <c r="FW36" s="101"/>
      <c r="FX36" s="101"/>
      <c r="FY36" s="101"/>
      <c r="FZ36" s="101"/>
      <c r="GA36" s="101"/>
      <c r="GB36" s="101"/>
      <c r="GC36" s="101"/>
      <c r="GD36" s="101"/>
      <c r="GE36" s="101"/>
      <c r="GF36" s="101"/>
      <c r="GG36" s="101"/>
      <c r="GH36" s="101"/>
      <c r="GI36" s="101"/>
      <c r="GJ36" s="101"/>
      <c r="GK36" s="101"/>
      <c r="GL36" s="101"/>
      <c r="GM36" s="101"/>
      <c r="GN36" s="101"/>
      <c r="GO36" s="101"/>
      <c r="GP36" s="101"/>
      <c r="GQ36" s="101"/>
      <c r="GR36" s="101"/>
      <c r="GS36" s="101"/>
      <c r="GT36" s="101"/>
      <c r="GU36" s="101"/>
      <c r="GV36" s="101"/>
      <c r="GW36" s="101"/>
      <c r="GX36" s="101"/>
      <c r="GY36" s="101"/>
      <c r="GZ36" s="101"/>
      <c r="HA36" s="101"/>
      <c r="HB36" s="101"/>
      <c r="HC36" s="101"/>
      <c r="HD36" s="101"/>
      <c r="HE36" s="101"/>
      <c r="HF36" s="101"/>
      <c r="HG36" s="101"/>
      <c r="HH36" s="101"/>
      <c r="HI36" s="101"/>
      <c r="HJ36" s="101"/>
      <c r="HK36" s="101"/>
      <c r="HL36" s="101"/>
      <c r="HM36" s="101"/>
      <c r="HN36" s="101"/>
      <c r="HO36" s="101"/>
      <c r="HP36" s="101"/>
      <c r="HQ36" s="101"/>
      <c r="HR36" s="101"/>
      <c r="HS36" s="101"/>
      <c r="HT36" s="101"/>
      <c r="HU36" s="101"/>
      <c r="HV36" s="101"/>
      <c r="HW36" s="101"/>
      <c r="HX36" s="101"/>
      <c r="HY36" s="101"/>
      <c r="HZ36" s="101"/>
      <c r="IA36" s="101"/>
      <c r="IB36" s="101"/>
      <c r="IC36" s="101"/>
      <c r="ID36" s="101"/>
      <c r="IE36" s="101"/>
      <c r="IF36" s="101"/>
      <c r="IG36" s="101"/>
      <c r="IH36" s="101"/>
      <c r="II36" s="101"/>
      <c r="IJ36" s="101"/>
      <c r="IK36" s="101"/>
      <c r="IL36" s="101"/>
      <c r="IM36" s="101"/>
      <c r="IN36" s="101"/>
      <c r="IO36" s="101"/>
      <c r="IP36" s="101"/>
      <c r="IQ36" s="101"/>
      <c r="IR36" s="101"/>
      <c r="IS36" s="101"/>
      <c r="IT36" s="101"/>
      <c r="IU36" s="101"/>
      <c r="IV36" s="101"/>
      <c r="IW36" s="101"/>
      <c r="IX36" s="101"/>
      <c r="IY36" s="101"/>
      <c r="IZ36" s="101"/>
      <c r="JA36" s="101"/>
      <c r="JB36" s="101"/>
      <c r="JC36" s="101"/>
      <c r="JD36" s="101"/>
      <c r="JE36" s="101"/>
      <c r="JF36" s="101"/>
      <c r="JG36" s="101"/>
      <c r="JH36" s="101"/>
      <c r="JI36" s="101"/>
      <c r="JJ36" s="101"/>
      <c r="JK36" s="101"/>
      <c r="JL36" s="101"/>
      <c r="JM36" s="101"/>
      <c r="JN36" s="101"/>
      <c r="JO36" s="101"/>
      <c r="JP36" s="101"/>
      <c r="JQ36" s="101"/>
      <c r="JR36" s="101"/>
      <c r="JS36" s="101"/>
      <c r="JT36" s="101"/>
      <c r="JU36" s="101"/>
      <c r="JV36" s="101"/>
      <c r="JW36" s="101"/>
      <c r="JX36" s="101"/>
      <c r="JY36" s="101"/>
      <c r="JZ36" s="101"/>
      <c r="KA36" s="101"/>
      <c r="KB36" s="101"/>
      <c r="KC36" s="101"/>
      <c r="KD36" s="101"/>
      <c r="KE36" s="101"/>
      <c r="KF36" s="101"/>
      <c r="KG36" s="101"/>
      <c r="KH36" s="101"/>
      <c r="KI36" s="101"/>
      <c r="KJ36" s="101"/>
      <c r="KK36" s="101"/>
      <c r="KL36" s="101"/>
      <c r="KM36" s="101"/>
      <c r="KN36" s="101"/>
      <c r="KO36" s="101"/>
      <c r="KP36" s="101"/>
      <c r="KQ36" s="101"/>
      <c r="KR36" s="101"/>
      <c r="KS36" s="101"/>
      <c r="KT36" s="101"/>
      <c r="KU36" s="101"/>
      <c r="KV36" s="101"/>
      <c r="KW36" s="101"/>
      <c r="KX36" s="101"/>
      <c r="KY36" s="101"/>
      <c r="KZ36" s="101"/>
      <c r="LA36" s="101"/>
      <c r="LB36" s="101"/>
      <c r="LC36" s="101"/>
      <c r="LD36" s="101"/>
      <c r="LE36" s="101"/>
      <c r="LF36" s="101"/>
      <c r="LG36" s="101"/>
      <c r="LH36" s="101"/>
      <c r="LI36" s="101"/>
      <c r="LJ36" s="101"/>
      <c r="LK36" s="101"/>
      <c r="LL36" s="101"/>
      <c r="LM36" s="101"/>
      <c r="LN36" s="101"/>
      <c r="LO36" s="101"/>
      <c r="LP36" s="101"/>
      <c r="LQ36" s="101"/>
      <c r="LR36" s="101"/>
      <c r="LS36" s="101"/>
      <c r="LT36" s="101"/>
      <c r="LU36" s="101"/>
      <c r="LV36" s="101"/>
      <c r="LW36" s="101"/>
      <c r="LX36" s="101"/>
      <c r="LY36" s="101"/>
      <c r="LZ36" s="101"/>
      <c r="MA36" s="101"/>
      <c r="MB36" s="101"/>
      <c r="MC36" s="101"/>
      <c r="MD36" s="101"/>
      <c r="ME36" s="101"/>
      <c r="MF36" s="101"/>
      <c r="MG36" s="101"/>
      <c r="MH36" s="101"/>
      <c r="MI36" s="101"/>
      <c r="MJ36" s="101"/>
      <c r="MK36" s="101"/>
      <c r="ML36" s="101"/>
      <c r="MM36" s="101"/>
      <c r="MN36" s="101"/>
      <c r="MO36" s="101"/>
      <c r="MP36" s="101"/>
      <c r="MQ36" s="101"/>
      <c r="MR36" s="101"/>
      <c r="MS36" s="101"/>
      <c r="MT36" s="101"/>
      <c r="MU36" s="101"/>
      <c r="MV36" s="101"/>
      <c r="MW36" s="101"/>
      <c r="MX36" s="101"/>
      <c r="MY36" s="101"/>
      <c r="MZ36" s="101"/>
      <c r="NA36" s="101"/>
      <c r="NB36" s="101"/>
      <c r="NC36" s="101"/>
      <c r="ND36" s="101"/>
      <c r="NE36" s="101"/>
      <c r="NF36" s="101"/>
      <c r="NG36" s="101"/>
      <c r="NH36" s="101"/>
      <c r="NI36" s="101"/>
      <c r="NJ36" s="101"/>
      <c r="NK36" s="101"/>
      <c r="NL36" s="101"/>
      <c r="NM36" s="101"/>
      <c r="NN36" s="101"/>
      <c r="NO36" s="101"/>
      <c r="NP36" s="101"/>
      <c r="NQ36" s="101"/>
      <c r="NR36" s="101"/>
      <c r="NS36" s="101"/>
      <c r="NT36" s="101"/>
      <c r="NU36" s="101"/>
      <c r="NV36" s="101"/>
      <c r="NW36" s="101"/>
      <c r="NX36" s="101"/>
      <c r="NY36" s="101"/>
      <c r="NZ36" s="101"/>
      <c r="OA36" s="101"/>
      <c r="OB36" s="101"/>
      <c r="OC36" s="101"/>
      <c r="OD36" s="101"/>
      <c r="OE36" s="101"/>
      <c r="OF36" s="101"/>
      <c r="OG36" s="101"/>
      <c r="OH36" s="101"/>
      <c r="OI36" s="101"/>
      <c r="OJ36" s="101"/>
      <c r="OK36" s="101"/>
      <c r="OL36" s="101"/>
      <c r="OM36" s="101"/>
      <c r="ON36" s="101"/>
      <c r="OO36" s="101"/>
      <c r="OP36" s="101"/>
      <c r="OQ36" s="101"/>
      <c r="OR36" s="101"/>
      <c r="OS36" s="101"/>
      <c r="OT36" s="101"/>
      <c r="OU36" s="101"/>
      <c r="OV36" s="101"/>
      <c r="OW36" s="101"/>
      <c r="OX36" s="101"/>
      <c r="OY36" s="101"/>
      <c r="OZ36" s="101"/>
      <c r="PA36" s="101"/>
      <c r="PB36" s="101"/>
      <c r="PC36" s="101"/>
      <c r="PD36" s="101"/>
      <c r="PE36" s="101"/>
      <c r="PF36" s="101"/>
      <c r="PG36" s="101"/>
      <c r="PH36" s="101"/>
      <c r="PI36" s="101"/>
      <c r="PJ36" s="101"/>
      <c r="PK36" s="101"/>
      <c r="PL36" s="101"/>
      <c r="PM36" s="101"/>
      <c r="PN36" s="101"/>
      <c r="PO36" s="101"/>
      <c r="PP36" s="101"/>
      <c r="PQ36" s="101"/>
      <c r="PR36" s="101"/>
      <c r="PS36" s="101"/>
      <c r="PT36" s="101"/>
      <c r="PU36" s="101"/>
      <c r="PV36" s="101"/>
      <c r="PW36" s="101"/>
      <c r="PX36" s="101"/>
      <c r="PY36" s="101"/>
      <c r="PZ36" s="101">
        <v>5</v>
      </c>
      <c r="QA36" s="101">
        <v>5</v>
      </c>
      <c r="QB36" s="101">
        <v>13</v>
      </c>
      <c r="QC36" s="101">
        <v>13</v>
      </c>
      <c r="QD36" s="101">
        <v>13</v>
      </c>
      <c r="QE36" s="101"/>
      <c r="QF36" s="101">
        <v>13</v>
      </c>
      <c r="QG36" s="101">
        <v>13</v>
      </c>
      <c r="QH36" s="101">
        <v>13</v>
      </c>
      <c r="QI36" s="101">
        <v>13</v>
      </c>
      <c r="QJ36" s="101">
        <v>13</v>
      </c>
      <c r="QK36" s="101">
        <v>15</v>
      </c>
      <c r="QL36" s="101"/>
      <c r="QM36" s="101">
        <v>15</v>
      </c>
      <c r="QN36" s="101">
        <v>19</v>
      </c>
      <c r="QO36" s="101">
        <v>19</v>
      </c>
      <c r="QP36" s="101">
        <v>19</v>
      </c>
      <c r="QQ36" s="101">
        <v>24</v>
      </c>
      <c r="QR36" s="101">
        <v>24</v>
      </c>
      <c r="QS36" s="101"/>
      <c r="QT36" s="101">
        <v>24</v>
      </c>
      <c r="QU36" s="101">
        <v>24</v>
      </c>
      <c r="QV36" s="101">
        <v>24</v>
      </c>
      <c r="QW36" s="101">
        <v>24</v>
      </c>
      <c r="QX36" s="101">
        <v>24</v>
      </c>
      <c r="QY36" s="101">
        <v>24</v>
      </c>
      <c r="QZ36" s="101"/>
      <c r="RA36" s="101">
        <v>34</v>
      </c>
      <c r="RB36" s="101">
        <v>34</v>
      </c>
      <c r="RC36" s="101">
        <v>34</v>
      </c>
      <c r="RD36" s="101">
        <v>34</v>
      </c>
      <c r="RE36" s="101">
        <v>34</v>
      </c>
      <c r="RF36" s="101">
        <v>34</v>
      </c>
      <c r="RG36" s="101">
        <v>10</v>
      </c>
      <c r="RH36" s="101">
        <v>34</v>
      </c>
      <c r="RI36" s="101">
        <v>4</v>
      </c>
      <c r="RJ36" s="101">
        <v>4</v>
      </c>
      <c r="RK36" s="101">
        <v>4</v>
      </c>
      <c r="RL36" s="101">
        <v>4</v>
      </c>
      <c r="RM36" s="101">
        <v>14</v>
      </c>
      <c r="RN36" s="101">
        <v>10</v>
      </c>
      <c r="RO36" s="101">
        <v>14</v>
      </c>
      <c r="RP36" s="101">
        <v>14</v>
      </c>
      <c r="RQ36" s="101">
        <v>14</v>
      </c>
      <c r="RR36" s="101">
        <v>14</v>
      </c>
      <c r="RS36" s="101">
        <v>10</v>
      </c>
      <c r="RT36" s="101">
        <v>20</v>
      </c>
      <c r="RU36" s="101">
        <v>10</v>
      </c>
      <c r="RV36" s="101">
        <v>20</v>
      </c>
      <c r="RW36" s="101">
        <v>20</v>
      </c>
      <c r="RX36" s="101">
        <v>20</v>
      </c>
      <c r="RY36" s="101">
        <v>20</v>
      </c>
      <c r="RZ36" s="101">
        <v>20</v>
      </c>
      <c r="SA36" s="101">
        <v>20</v>
      </c>
      <c r="SB36" s="101"/>
      <c r="SC36" s="101">
        <v>10</v>
      </c>
      <c r="SD36" s="101">
        <v>10</v>
      </c>
      <c r="SE36" s="101">
        <v>10</v>
      </c>
      <c r="SF36" s="101">
        <v>16</v>
      </c>
      <c r="SG36" s="101">
        <v>16</v>
      </c>
      <c r="SH36" s="101">
        <v>16</v>
      </c>
      <c r="SI36" s="101"/>
      <c r="SJ36" s="101">
        <v>16</v>
      </c>
      <c r="SK36" s="101">
        <v>16</v>
      </c>
      <c r="SL36" s="101">
        <v>16</v>
      </c>
      <c r="SM36" s="101">
        <v>16</v>
      </c>
      <c r="SN36" s="101">
        <v>16</v>
      </c>
      <c r="SO36" s="101">
        <v>16</v>
      </c>
      <c r="SP36" s="101"/>
      <c r="SQ36" s="101">
        <v>16</v>
      </c>
      <c r="SR36" s="101">
        <v>16</v>
      </c>
      <c r="SS36" s="101">
        <v>16</v>
      </c>
      <c r="ST36" s="101">
        <v>16</v>
      </c>
      <c r="SU36" s="101">
        <v>16</v>
      </c>
      <c r="SV36" s="101">
        <v>16</v>
      </c>
      <c r="SW36" s="101"/>
      <c r="SX36" s="101">
        <v>16</v>
      </c>
      <c r="SY36" s="101">
        <v>16</v>
      </c>
      <c r="SZ36" s="101">
        <v>16</v>
      </c>
      <c r="TA36" s="101">
        <v>16</v>
      </c>
      <c r="TB36" s="101">
        <v>16</v>
      </c>
      <c r="TC36" s="101">
        <v>16</v>
      </c>
      <c r="TD36" s="101"/>
      <c r="TE36" s="101">
        <v>16</v>
      </c>
      <c r="TF36" s="101">
        <v>16</v>
      </c>
      <c r="TG36" s="101">
        <v>16</v>
      </c>
      <c r="TH36" s="101">
        <v>16</v>
      </c>
      <c r="TI36" s="101">
        <v>16</v>
      </c>
      <c r="TJ36" s="101">
        <v>16</v>
      </c>
      <c r="TK36" s="101"/>
      <c r="TL36" s="101">
        <v>16</v>
      </c>
      <c r="TM36" s="101">
        <v>16</v>
      </c>
      <c r="TN36" s="101">
        <v>16</v>
      </c>
      <c r="TO36" s="101">
        <v>16</v>
      </c>
      <c r="TP36" s="101">
        <v>16</v>
      </c>
      <c r="TQ36" s="101">
        <v>16</v>
      </c>
      <c r="TR36" s="101"/>
      <c r="TS36" s="101">
        <v>16</v>
      </c>
      <c r="TT36" s="101">
        <v>16</v>
      </c>
      <c r="TU36" s="101">
        <v>16</v>
      </c>
      <c r="TV36" s="101">
        <v>16</v>
      </c>
      <c r="TW36" s="101">
        <v>16</v>
      </c>
      <c r="TX36" s="101">
        <v>16</v>
      </c>
      <c r="TY36" s="101"/>
      <c r="TZ36" s="101">
        <v>16</v>
      </c>
      <c r="UA36" s="101">
        <v>16</v>
      </c>
      <c r="UB36" s="101">
        <v>16</v>
      </c>
      <c r="UC36" s="101">
        <v>16</v>
      </c>
      <c r="UD36" s="101">
        <v>16</v>
      </c>
      <c r="UE36" s="101">
        <v>16</v>
      </c>
      <c r="UF36" s="101"/>
      <c r="UG36" s="101">
        <v>16</v>
      </c>
      <c r="UH36" s="101">
        <v>16</v>
      </c>
      <c r="UI36" s="101">
        <v>16</v>
      </c>
      <c r="UJ36" s="101">
        <v>16</v>
      </c>
      <c r="UK36" s="101">
        <v>16</v>
      </c>
      <c r="UL36" s="101">
        <v>16</v>
      </c>
      <c r="UM36" s="101"/>
      <c r="UN36" s="101">
        <v>16</v>
      </c>
      <c r="UO36" s="101">
        <v>16</v>
      </c>
      <c r="UP36" s="101">
        <v>16</v>
      </c>
      <c r="UQ36" s="101">
        <v>16</v>
      </c>
      <c r="UR36" s="101">
        <v>16</v>
      </c>
      <c r="US36" s="101">
        <v>16</v>
      </c>
      <c r="UT36" s="101"/>
      <c r="UU36" s="101">
        <v>16</v>
      </c>
      <c r="UV36" s="101">
        <v>16</v>
      </c>
      <c r="UW36" s="101">
        <v>16</v>
      </c>
      <c r="UX36" s="101">
        <v>16</v>
      </c>
      <c r="UY36" s="101">
        <v>16</v>
      </c>
      <c r="UZ36" s="101">
        <v>16</v>
      </c>
      <c r="VA36" s="101"/>
      <c r="VB36" s="101">
        <v>16</v>
      </c>
      <c r="VC36" s="101">
        <v>16</v>
      </c>
      <c r="VD36" s="101">
        <v>16</v>
      </c>
      <c r="VE36" s="101">
        <v>16</v>
      </c>
      <c r="VF36" s="101">
        <v>16</v>
      </c>
      <c r="VG36" s="101">
        <v>16</v>
      </c>
      <c r="VH36" s="101"/>
      <c r="VI36" s="101">
        <v>16</v>
      </c>
      <c r="VJ36" s="101">
        <v>16</v>
      </c>
      <c r="VK36" s="101">
        <v>16</v>
      </c>
      <c r="VL36" s="101">
        <v>16</v>
      </c>
      <c r="VM36" s="101">
        <v>16</v>
      </c>
      <c r="VN36" s="101"/>
      <c r="VO36" s="101"/>
      <c r="VP36" s="101"/>
      <c r="VQ36" s="101"/>
      <c r="VR36" s="101"/>
      <c r="VS36" s="101">
        <v>16</v>
      </c>
      <c r="VT36" s="101">
        <v>18</v>
      </c>
      <c r="VU36" s="101">
        <v>18</v>
      </c>
      <c r="VV36" s="101"/>
      <c r="VW36" s="101">
        <v>18</v>
      </c>
      <c r="VX36" s="101">
        <v>18</v>
      </c>
      <c r="VY36" s="101">
        <v>18</v>
      </c>
      <c r="VZ36" s="101">
        <v>19</v>
      </c>
      <c r="WA36" s="101">
        <v>19</v>
      </c>
      <c r="WB36" s="101">
        <v>19</v>
      </c>
      <c r="WC36" s="101"/>
      <c r="WD36" s="101">
        <v>19</v>
      </c>
      <c r="WE36" s="101">
        <v>19</v>
      </c>
      <c r="WF36" s="101">
        <v>37</v>
      </c>
      <c r="WG36" s="101">
        <v>37</v>
      </c>
      <c r="WH36" s="101">
        <v>37</v>
      </c>
      <c r="WI36" s="101">
        <v>37</v>
      </c>
      <c r="WJ36" s="101"/>
      <c r="WK36" s="101">
        <v>37</v>
      </c>
      <c r="WL36" s="101">
        <v>37</v>
      </c>
      <c r="WM36" s="101">
        <v>37</v>
      </c>
      <c r="WN36" s="101">
        <v>37</v>
      </c>
      <c r="WO36" s="101">
        <v>37</v>
      </c>
      <c r="WP36" s="101">
        <v>37</v>
      </c>
      <c r="WQ36" s="101"/>
      <c r="WR36" s="101">
        <v>30</v>
      </c>
      <c r="WS36" s="101">
        <v>30</v>
      </c>
      <c r="WT36" s="101">
        <v>30</v>
      </c>
      <c r="WU36" s="101">
        <v>30</v>
      </c>
      <c r="WV36" s="101">
        <v>30</v>
      </c>
      <c r="WW36" s="101">
        <v>13</v>
      </c>
      <c r="WX36" s="101"/>
      <c r="WY36" s="101">
        <v>13</v>
      </c>
      <c r="WZ36" s="101">
        <v>13</v>
      </c>
      <c r="XA36" s="101">
        <v>13</v>
      </c>
      <c r="XB36" s="101">
        <v>13</v>
      </c>
      <c r="XC36" s="101">
        <v>13</v>
      </c>
      <c r="XD36" s="101">
        <v>13</v>
      </c>
      <c r="XE36" s="101"/>
      <c r="XF36" s="101">
        <v>13</v>
      </c>
      <c r="XG36" s="101">
        <v>20</v>
      </c>
      <c r="XH36" s="101">
        <v>20</v>
      </c>
      <c r="XI36" s="101">
        <v>10</v>
      </c>
      <c r="XJ36" s="101">
        <v>10</v>
      </c>
      <c r="XK36" s="101">
        <v>10</v>
      </c>
      <c r="XL36" s="101"/>
      <c r="XM36" s="101">
        <v>10</v>
      </c>
      <c r="XN36" s="101">
        <v>10</v>
      </c>
      <c r="XO36" s="101">
        <v>10</v>
      </c>
      <c r="XP36" s="101">
        <v>10</v>
      </c>
      <c r="XQ36" s="101">
        <v>10</v>
      </c>
      <c r="XR36" s="101">
        <v>13</v>
      </c>
      <c r="XS36" s="101"/>
      <c r="XT36" s="101">
        <v>13</v>
      </c>
      <c r="XU36" s="101">
        <v>13</v>
      </c>
      <c r="XV36" s="101">
        <v>13</v>
      </c>
      <c r="XW36" s="101">
        <v>13</v>
      </c>
      <c r="XX36" s="101">
        <v>3</v>
      </c>
      <c r="XY36" s="101"/>
      <c r="XZ36" s="101"/>
      <c r="YA36" s="101"/>
      <c r="YB36" s="101"/>
      <c r="YC36" s="101"/>
      <c r="YD36" s="101">
        <v>3</v>
      </c>
      <c r="YE36" s="101">
        <v>3</v>
      </c>
      <c r="YF36" s="101">
        <v>3</v>
      </c>
      <c r="YG36" s="101"/>
      <c r="YH36" s="101">
        <v>3</v>
      </c>
      <c r="YI36" s="101">
        <v>4</v>
      </c>
      <c r="YJ36" s="101">
        <v>4</v>
      </c>
      <c r="YK36" s="101">
        <v>4</v>
      </c>
      <c r="YL36" s="101">
        <v>4</v>
      </c>
      <c r="YM36" s="101">
        <v>4</v>
      </c>
      <c r="YN36" s="101"/>
      <c r="YO36" s="101">
        <v>4</v>
      </c>
      <c r="YP36" s="101">
        <v>4</v>
      </c>
      <c r="YQ36" s="101">
        <v>4</v>
      </c>
      <c r="YR36" s="101"/>
      <c r="YS36" s="101"/>
      <c r="YT36" s="101"/>
      <c r="YU36" s="101"/>
      <c r="YV36" s="101"/>
      <c r="YW36" s="101"/>
      <c r="YX36" s="101"/>
      <c r="YY36" s="101"/>
      <c r="YZ36" s="101"/>
      <c r="ZA36" s="101"/>
      <c r="ZB36" s="101"/>
      <c r="ZC36" s="101"/>
      <c r="ZD36" s="101"/>
      <c r="ZE36" s="101"/>
      <c r="ZF36" s="101"/>
      <c r="ZG36" s="101"/>
      <c r="ZH36" s="101"/>
    </row>
    <row r="37" spans="1:684">
      <c r="A37" s="75" t="s">
        <v>74</v>
      </c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01"/>
      <c r="AT37" s="101"/>
      <c r="AU37" s="101"/>
      <c r="AV37" s="101"/>
      <c r="AW37" s="101"/>
      <c r="AX37" s="101"/>
      <c r="AY37" s="101"/>
      <c r="AZ37" s="101"/>
      <c r="BA37" s="101"/>
      <c r="BB37" s="101"/>
      <c r="BC37" s="101"/>
      <c r="BD37" s="101"/>
      <c r="BE37" s="101"/>
      <c r="BF37" s="101"/>
      <c r="BG37" s="101"/>
      <c r="BH37" s="101"/>
      <c r="BI37" s="101"/>
      <c r="BJ37" s="101"/>
      <c r="BK37" s="101"/>
      <c r="BL37" s="101"/>
      <c r="BM37" s="101"/>
      <c r="BN37" s="101"/>
      <c r="BO37" s="101"/>
      <c r="BP37" s="101"/>
      <c r="BQ37" s="101"/>
      <c r="BR37" s="101"/>
      <c r="BS37" s="101"/>
      <c r="BT37" s="101"/>
      <c r="BU37" s="101"/>
      <c r="BV37" s="101"/>
      <c r="BW37" s="101"/>
      <c r="BX37" s="101"/>
      <c r="BY37" s="101"/>
      <c r="BZ37" s="101"/>
      <c r="CA37" s="101"/>
      <c r="CB37" s="101"/>
      <c r="CC37" s="101"/>
      <c r="CD37" s="101"/>
      <c r="CE37" s="101"/>
      <c r="CF37" s="101"/>
      <c r="CG37" s="101"/>
      <c r="CH37" s="101"/>
      <c r="CI37" s="101"/>
      <c r="CJ37" s="101"/>
      <c r="CK37" s="101"/>
      <c r="CL37" s="101"/>
      <c r="CM37" s="101"/>
      <c r="CN37" s="101"/>
      <c r="CO37" s="101"/>
      <c r="CP37" s="101"/>
      <c r="CQ37" s="101"/>
      <c r="CR37" s="101"/>
      <c r="CS37" s="101"/>
      <c r="CT37" s="101"/>
      <c r="CU37" s="101"/>
      <c r="CV37" s="101"/>
      <c r="CW37" s="101"/>
      <c r="CX37" s="101"/>
      <c r="CY37" s="101"/>
      <c r="CZ37" s="101"/>
      <c r="DA37" s="101"/>
      <c r="DB37" s="101"/>
      <c r="DC37" s="101"/>
      <c r="DD37" s="101"/>
      <c r="DE37" s="101"/>
      <c r="DF37" s="101"/>
      <c r="DG37" s="101"/>
      <c r="DH37" s="101"/>
      <c r="DI37" s="101"/>
      <c r="DJ37" s="101"/>
      <c r="DK37" s="101"/>
      <c r="DL37" s="101"/>
      <c r="DM37" s="101"/>
      <c r="DN37" s="101"/>
      <c r="DO37" s="101"/>
      <c r="DP37" s="101"/>
      <c r="DQ37" s="101"/>
      <c r="DR37" s="101"/>
      <c r="DS37" s="101"/>
      <c r="DT37" s="101"/>
      <c r="DU37" s="101"/>
      <c r="DV37" s="101"/>
      <c r="DW37" s="101"/>
      <c r="DX37" s="101"/>
      <c r="DY37" s="101"/>
      <c r="DZ37" s="101"/>
      <c r="EA37" s="101"/>
      <c r="EB37" s="101"/>
      <c r="EC37" s="101"/>
      <c r="ED37" s="101"/>
      <c r="EE37" s="101"/>
      <c r="EF37" s="101"/>
      <c r="EG37" s="101"/>
      <c r="EH37" s="101"/>
      <c r="EI37" s="101"/>
      <c r="EJ37" s="101"/>
      <c r="EK37" s="101"/>
      <c r="EL37" s="101"/>
      <c r="EM37" s="101"/>
      <c r="EN37" s="101"/>
      <c r="EO37" s="101"/>
      <c r="EP37" s="101"/>
      <c r="EQ37" s="101"/>
      <c r="ER37" s="101"/>
      <c r="ES37" s="101"/>
      <c r="ET37" s="101"/>
      <c r="EU37" s="101"/>
      <c r="EV37" s="101"/>
      <c r="EW37" s="101"/>
      <c r="EX37" s="101"/>
      <c r="EY37" s="101"/>
      <c r="EZ37" s="101"/>
      <c r="FA37" s="101"/>
      <c r="FB37" s="101"/>
      <c r="FC37" s="101"/>
      <c r="FD37" s="101"/>
      <c r="FE37" s="101"/>
      <c r="FF37" s="101"/>
      <c r="FG37" s="101"/>
      <c r="FH37" s="101"/>
      <c r="FI37" s="101"/>
      <c r="FJ37" s="101"/>
      <c r="FK37" s="101"/>
      <c r="FL37" s="101"/>
      <c r="FM37" s="101"/>
      <c r="FN37" s="101"/>
      <c r="FO37" s="101"/>
      <c r="FP37" s="101"/>
      <c r="FQ37" s="101"/>
      <c r="FR37" s="101"/>
      <c r="FS37" s="101"/>
      <c r="FT37" s="101"/>
      <c r="FU37" s="101"/>
      <c r="FV37" s="101"/>
      <c r="FW37" s="101"/>
      <c r="FX37" s="101"/>
      <c r="FY37" s="101"/>
      <c r="FZ37" s="101"/>
      <c r="GA37" s="101"/>
      <c r="GB37" s="101"/>
      <c r="GC37" s="101"/>
      <c r="GD37" s="101"/>
      <c r="GE37" s="101"/>
      <c r="GF37" s="101"/>
      <c r="GG37" s="101"/>
      <c r="GH37" s="101"/>
      <c r="GI37" s="101"/>
      <c r="GJ37" s="101"/>
      <c r="GK37" s="101"/>
      <c r="GL37" s="101"/>
      <c r="GM37" s="101"/>
      <c r="GN37" s="101"/>
      <c r="GO37" s="101"/>
      <c r="GP37" s="101"/>
      <c r="GQ37" s="101"/>
      <c r="GR37" s="101"/>
      <c r="GS37" s="101"/>
      <c r="GT37" s="101"/>
      <c r="GU37" s="101"/>
      <c r="GV37" s="101"/>
      <c r="GW37" s="101"/>
      <c r="GX37" s="101"/>
      <c r="GY37" s="101"/>
      <c r="GZ37" s="101"/>
      <c r="HA37" s="101"/>
      <c r="HB37" s="101"/>
      <c r="HC37" s="101"/>
      <c r="HD37" s="101"/>
      <c r="HE37" s="101"/>
      <c r="HF37" s="101"/>
      <c r="HG37" s="101"/>
      <c r="HH37" s="101"/>
      <c r="HI37" s="101"/>
      <c r="HJ37" s="101"/>
      <c r="HK37" s="101"/>
      <c r="HL37" s="101"/>
      <c r="HM37" s="101"/>
      <c r="HN37" s="101"/>
      <c r="HO37" s="101"/>
      <c r="HP37" s="101"/>
      <c r="HQ37" s="101"/>
      <c r="HR37" s="101"/>
      <c r="HS37" s="101"/>
      <c r="HT37" s="101"/>
      <c r="HU37" s="101"/>
      <c r="HV37" s="101"/>
      <c r="HW37" s="101"/>
      <c r="HX37" s="101"/>
      <c r="HY37" s="101"/>
      <c r="HZ37" s="101"/>
      <c r="IA37" s="101"/>
      <c r="IB37" s="101"/>
      <c r="IC37" s="101"/>
      <c r="ID37" s="101"/>
      <c r="IE37" s="101"/>
      <c r="IF37" s="101"/>
      <c r="IG37" s="101"/>
      <c r="IH37" s="101"/>
      <c r="II37" s="101"/>
      <c r="IJ37" s="101"/>
      <c r="IK37" s="101"/>
      <c r="IL37" s="101"/>
      <c r="IM37" s="101"/>
      <c r="IN37" s="101"/>
      <c r="IO37" s="101"/>
      <c r="IP37" s="101"/>
      <c r="IQ37" s="101"/>
      <c r="IR37" s="101"/>
      <c r="IS37" s="101"/>
      <c r="IT37" s="101"/>
      <c r="IU37" s="101"/>
      <c r="IV37" s="101"/>
      <c r="IW37" s="101"/>
      <c r="IX37" s="101"/>
      <c r="IY37" s="101"/>
      <c r="IZ37" s="101"/>
      <c r="JA37" s="101"/>
      <c r="JB37" s="101"/>
      <c r="JC37" s="101"/>
      <c r="JD37" s="101"/>
      <c r="JE37" s="101"/>
      <c r="JF37" s="101"/>
      <c r="JG37" s="101"/>
      <c r="JH37" s="101"/>
      <c r="JI37" s="101"/>
      <c r="JJ37" s="101"/>
      <c r="JK37" s="101"/>
      <c r="JL37" s="101"/>
      <c r="JM37" s="101"/>
      <c r="JN37" s="101"/>
      <c r="JO37" s="101"/>
      <c r="JP37" s="101"/>
      <c r="JQ37" s="101"/>
      <c r="JR37" s="101"/>
      <c r="JS37" s="101"/>
      <c r="JT37" s="101"/>
      <c r="JU37" s="101"/>
      <c r="JV37" s="101"/>
      <c r="JW37" s="101"/>
      <c r="JX37" s="101"/>
      <c r="JY37" s="101"/>
      <c r="JZ37" s="101"/>
      <c r="KA37" s="101"/>
      <c r="KB37" s="101"/>
      <c r="KC37" s="101"/>
      <c r="KD37" s="101"/>
      <c r="KE37" s="101"/>
      <c r="KF37" s="101"/>
      <c r="KG37" s="101"/>
      <c r="KH37" s="101"/>
      <c r="KI37" s="101"/>
      <c r="KJ37" s="101"/>
      <c r="KK37" s="101"/>
      <c r="KL37" s="101"/>
      <c r="KM37" s="101"/>
      <c r="KN37" s="101"/>
      <c r="KO37" s="101"/>
      <c r="KP37" s="101"/>
      <c r="KQ37" s="101"/>
      <c r="KR37" s="101"/>
      <c r="KS37" s="101"/>
      <c r="KT37" s="101"/>
      <c r="KU37" s="101"/>
      <c r="KV37" s="101"/>
      <c r="KW37" s="101"/>
      <c r="KX37" s="101"/>
      <c r="KY37" s="101"/>
      <c r="KZ37" s="101"/>
      <c r="LA37" s="101"/>
      <c r="LB37" s="101"/>
      <c r="LC37" s="101"/>
      <c r="LD37" s="101"/>
      <c r="LE37" s="101"/>
      <c r="LF37" s="101"/>
      <c r="LG37" s="101"/>
      <c r="LH37" s="101"/>
      <c r="LI37" s="101"/>
      <c r="LJ37" s="101"/>
      <c r="LK37" s="101"/>
      <c r="LL37" s="101"/>
      <c r="LM37" s="101"/>
      <c r="LN37" s="101"/>
      <c r="LO37" s="101"/>
      <c r="LP37" s="101"/>
      <c r="LQ37" s="101"/>
      <c r="LR37" s="101"/>
      <c r="LS37" s="101"/>
      <c r="LT37" s="101"/>
      <c r="LU37" s="101"/>
      <c r="LV37" s="101"/>
      <c r="LW37" s="101"/>
      <c r="LX37" s="101"/>
      <c r="LY37" s="101"/>
      <c r="LZ37" s="101"/>
      <c r="MA37" s="101"/>
      <c r="MB37" s="101"/>
      <c r="MC37" s="101"/>
      <c r="MD37" s="101"/>
      <c r="ME37" s="101"/>
      <c r="MF37" s="101"/>
      <c r="MG37" s="101"/>
      <c r="MH37" s="101"/>
      <c r="MI37" s="101"/>
      <c r="MJ37" s="101"/>
      <c r="MK37" s="101"/>
      <c r="ML37" s="101"/>
      <c r="MM37" s="101"/>
      <c r="MN37" s="101"/>
      <c r="MO37" s="101"/>
      <c r="MP37" s="101"/>
      <c r="MQ37" s="101"/>
      <c r="MR37" s="101"/>
      <c r="MS37" s="101"/>
      <c r="MT37" s="101"/>
      <c r="MU37" s="101"/>
      <c r="MV37" s="101"/>
      <c r="MW37" s="101"/>
      <c r="MX37" s="101"/>
      <c r="MY37" s="101"/>
      <c r="MZ37" s="101"/>
      <c r="NA37" s="101"/>
      <c r="NB37" s="101"/>
      <c r="NC37" s="101"/>
      <c r="ND37" s="101"/>
      <c r="NE37" s="101"/>
      <c r="NF37" s="101"/>
      <c r="NG37" s="101"/>
      <c r="NH37" s="101"/>
      <c r="NI37" s="101"/>
      <c r="NJ37" s="101"/>
      <c r="NK37" s="101"/>
      <c r="NL37" s="101"/>
      <c r="NM37" s="101"/>
      <c r="NN37" s="101"/>
      <c r="NO37" s="101"/>
      <c r="NP37" s="101"/>
      <c r="NQ37" s="101"/>
      <c r="NR37" s="101"/>
      <c r="NS37" s="101"/>
      <c r="NT37" s="101"/>
      <c r="NU37" s="101"/>
      <c r="NV37" s="101"/>
      <c r="NW37" s="101"/>
      <c r="NX37" s="101"/>
      <c r="NY37" s="101"/>
      <c r="NZ37" s="101"/>
      <c r="OA37" s="101"/>
      <c r="OB37" s="101"/>
      <c r="OC37" s="101"/>
      <c r="OD37" s="101"/>
      <c r="OE37" s="101"/>
      <c r="OF37" s="101"/>
      <c r="OG37" s="101"/>
      <c r="OH37" s="101"/>
      <c r="OI37" s="101"/>
      <c r="OJ37" s="101"/>
      <c r="OK37" s="101"/>
      <c r="OL37" s="101"/>
      <c r="OM37" s="101"/>
      <c r="ON37" s="101"/>
      <c r="OO37" s="101"/>
      <c r="OP37" s="101"/>
      <c r="OQ37" s="101"/>
      <c r="OR37" s="101"/>
      <c r="OS37" s="101"/>
      <c r="OT37" s="101"/>
      <c r="OU37" s="101"/>
      <c r="OV37" s="101"/>
      <c r="OW37" s="101">
        <v>20</v>
      </c>
      <c r="OX37" s="101">
        <v>20</v>
      </c>
      <c r="OY37" s="101">
        <v>20</v>
      </c>
      <c r="OZ37" s="101">
        <v>20</v>
      </c>
      <c r="PA37" s="101">
        <v>20</v>
      </c>
      <c r="PB37" s="101">
        <v>20</v>
      </c>
      <c r="PC37" s="101"/>
      <c r="PD37" s="101">
        <v>20</v>
      </c>
      <c r="PE37" s="101">
        <v>20</v>
      </c>
      <c r="PF37" s="101">
        <v>20</v>
      </c>
      <c r="PG37" s="101">
        <v>20</v>
      </c>
      <c r="PH37" s="101"/>
      <c r="PI37" s="101"/>
      <c r="PJ37" s="101"/>
      <c r="PK37" s="101"/>
      <c r="PL37" s="101"/>
      <c r="PM37" s="101"/>
      <c r="PN37" s="101">
        <v>10</v>
      </c>
      <c r="PO37" s="101">
        <v>10</v>
      </c>
      <c r="PP37" s="101">
        <v>10</v>
      </c>
      <c r="PQ37" s="101"/>
      <c r="PR37" s="101">
        <v>10</v>
      </c>
      <c r="PS37" s="101">
        <v>10</v>
      </c>
      <c r="PT37" s="101">
        <v>10</v>
      </c>
      <c r="PU37" s="101">
        <v>10</v>
      </c>
      <c r="PV37" s="101">
        <v>10</v>
      </c>
      <c r="PW37" s="101">
        <v>10</v>
      </c>
      <c r="PX37" s="101"/>
      <c r="PY37" s="101">
        <v>10</v>
      </c>
      <c r="PZ37" s="101"/>
      <c r="QA37" s="101"/>
      <c r="QB37" s="101"/>
      <c r="QC37" s="101"/>
      <c r="QD37" s="101"/>
      <c r="QE37" s="101"/>
      <c r="QF37" s="101"/>
      <c r="QG37" s="101"/>
      <c r="QH37" s="101"/>
      <c r="QI37" s="101"/>
      <c r="QJ37" s="101"/>
      <c r="QK37" s="101"/>
      <c r="QL37" s="101"/>
      <c r="QM37" s="101"/>
      <c r="QN37" s="101"/>
      <c r="QO37" s="101"/>
      <c r="QP37" s="101"/>
      <c r="QQ37" s="101"/>
      <c r="QR37" s="101"/>
      <c r="QS37" s="101"/>
      <c r="QT37" s="101"/>
      <c r="QU37" s="101"/>
      <c r="QV37" s="101"/>
      <c r="QW37" s="101"/>
      <c r="QX37" s="101"/>
      <c r="QY37" s="101"/>
      <c r="QZ37" s="101"/>
      <c r="RA37" s="101"/>
      <c r="RB37" s="101"/>
      <c r="RC37" s="101"/>
      <c r="RD37" s="101"/>
      <c r="RE37" s="101"/>
      <c r="RF37" s="101"/>
      <c r="RG37" s="101"/>
      <c r="RH37" s="101"/>
      <c r="RI37" s="101"/>
      <c r="RJ37" s="101"/>
      <c r="RK37" s="101"/>
      <c r="RL37" s="101"/>
      <c r="RM37" s="101"/>
      <c r="RN37" s="101"/>
      <c r="RO37" s="101"/>
      <c r="RP37" s="101"/>
      <c r="RQ37" s="101"/>
      <c r="RR37" s="101"/>
      <c r="RS37" s="101"/>
      <c r="RT37" s="101"/>
      <c r="RU37" s="101"/>
      <c r="RV37" s="101"/>
      <c r="RW37" s="101"/>
      <c r="RX37" s="101"/>
      <c r="RY37" s="101"/>
      <c r="RZ37" s="101"/>
      <c r="SA37" s="101"/>
      <c r="SB37" s="101"/>
      <c r="SC37" s="101"/>
      <c r="SD37" s="101"/>
      <c r="SE37" s="101"/>
      <c r="SF37" s="101"/>
      <c r="SG37" s="101"/>
      <c r="SH37" s="101"/>
      <c r="SI37" s="101"/>
      <c r="SJ37" s="101"/>
      <c r="SK37" s="101"/>
      <c r="SL37" s="101"/>
      <c r="SM37" s="101"/>
      <c r="SN37" s="101"/>
      <c r="SO37" s="101"/>
      <c r="SP37" s="101"/>
      <c r="SQ37" s="101"/>
      <c r="SR37" s="101"/>
      <c r="SS37" s="101"/>
      <c r="ST37" s="101"/>
      <c r="SU37" s="101"/>
      <c r="SV37" s="101"/>
      <c r="SW37" s="101"/>
      <c r="SX37" s="101">
        <v>10</v>
      </c>
      <c r="SY37" s="101">
        <v>10</v>
      </c>
      <c r="SZ37" s="101">
        <v>10</v>
      </c>
      <c r="TA37" s="101">
        <v>10</v>
      </c>
      <c r="TB37" s="101">
        <v>10</v>
      </c>
      <c r="TC37" s="101">
        <v>10</v>
      </c>
      <c r="TD37" s="101"/>
      <c r="TE37" s="101">
        <v>10</v>
      </c>
      <c r="TF37" s="101">
        <v>10</v>
      </c>
      <c r="TG37" s="101">
        <v>10</v>
      </c>
      <c r="TH37" s="101">
        <v>10</v>
      </c>
      <c r="TI37" s="101">
        <v>10</v>
      </c>
      <c r="TJ37" s="101">
        <v>10</v>
      </c>
      <c r="TK37" s="101"/>
      <c r="TL37" s="101">
        <v>10</v>
      </c>
      <c r="TM37" s="101">
        <v>10</v>
      </c>
      <c r="TN37" s="101">
        <v>10</v>
      </c>
      <c r="TO37" s="101">
        <v>10</v>
      </c>
      <c r="TP37" s="101">
        <v>10</v>
      </c>
      <c r="TQ37" s="101">
        <v>10</v>
      </c>
      <c r="TR37" s="101"/>
      <c r="TS37" s="101">
        <v>12</v>
      </c>
      <c r="TT37" s="101">
        <v>20</v>
      </c>
      <c r="TU37" s="101">
        <v>20</v>
      </c>
      <c r="TV37" s="101">
        <v>20</v>
      </c>
      <c r="TW37" s="101">
        <v>20</v>
      </c>
      <c r="TX37" s="101">
        <v>20</v>
      </c>
      <c r="TY37" s="101"/>
      <c r="TZ37" s="101">
        <v>20</v>
      </c>
      <c r="UA37" s="101">
        <v>10</v>
      </c>
      <c r="UB37" s="101">
        <v>20</v>
      </c>
      <c r="UC37" s="101">
        <v>20</v>
      </c>
      <c r="UD37" s="101">
        <v>20</v>
      </c>
      <c r="UE37" s="101">
        <v>20</v>
      </c>
      <c r="UF37" s="101">
        <v>10</v>
      </c>
      <c r="UG37" s="101">
        <v>20</v>
      </c>
      <c r="UH37" s="101">
        <v>20</v>
      </c>
      <c r="UI37" s="101">
        <v>20</v>
      </c>
      <c r="UJ37" s="101">
        <v>20</v>
      </c>
      <c r="UK37" s="101">
        <v>20</v>
      </c>
      <c r="UL37" s="101">
        <v>20</v>
      </c>
      <c r="UM37" s="101"/>
      <c r="UN37" s="101">
        <v>20</v>
      </c>
      <c r="UO37" s="101">
        <v>20</v>
      </c>
      <c r="UP37" s="101">
        <v>21</v>
      </c>
      <c r="UQ37" s="101">
        <v>26</v>
      </c>
      <c r="UR37" s="101">
        <v>26</v>
      </c>
      <c r="US37" s="101">
        <v>30</v>
      </c>
      <c r="UT37" s="101"/>
      <c r="UU37" s="101">
        <v>30</v>
      </c>
      <c r="UV37" s="101">
        <v>30</v>
      </c>
      <c r="UW37" s="101">
        <v>30</v>
      </c>
      <c r="UX37" s="101">
        <v>20</v>
      </c>
      <c r="UY37" s="101">
        <v>20</v>
      </c>
      <c r="UZ37" s="101">
        <v>20</v>
      </c>
      <c r="VA37" s="101"/>
      <c r="VB37" s="101">
        <v>18</v>
      </c>
      <c r="VC37" s="101">
        <v>8</v>
      </c>
      <c r="VD37" s="101">
        <v>8</v>
      </c>
      <c r="VE37" s="101">
        <v>8</v>
      </c>
      <c r="VF37" s="101">
        <v>8</v>
      </c>
      <c r="VG37" s="101">
        <v>8</v>
      </c>
      <c r="VH37" s="101"/>
      <c r="VI37" s="101">
        <v>8</v>
      </c>
      <c r="VJ37" s="101">
        <v>8</v>
      </c>
      <c r="VK37" s="101">
        <v>8</v>
      </c>
      <c r="VL37" s="101">
        <v>8</v>
      </c>
      <c r="VM37" s="101">
        <v>7</v>
      </c>
      <c r="VN37" s="101"/>
      <c r="VO37" s="101"/>
      <c r="VP37" s="101"/>
      <c r="VQ37" s="101"/>
      <c r="VR37" s="101"/>
      <c r="VS37" s="101">
        <v>2</v>
      </c>
      <c r="VT37" s="101">
        <v>2</v>
      </c>
      <c r="VU37" s="101">
        <v>2</v>
      </c>
      <c r="VV37" s="101"/>
      <c r="VW37" s="101">
        <v>2</v>
      </c>
      <c r="VX37" s="101">
        <v>2</v>
      </c>
      <c r="VY37" s="101">
        <v>2</v>
      </c>
      <c r="VZ37" s="101">
        <v>2</v>
      </c>
      <c r="WA37" s="101">
        <v>2</v>
      </c>
      <c r="WB37" s="101">
        <v>2</v>
      </c>
      <c r="WC37" s="101"/>
      <c r="WD37" s="101">
        <v>2</v>
      </c>
      <c r="WE37" s="101"/>
      <c r="WF37" s="101"/>
      <c r="WG37" s="101"/>
      <c r="WH37" s="101"/>
      <c r="WI37" s="101"/>
      <c r="WJ37" s="101"/>
      <c r="WK37" s="101"/>
      <c r="WL37" s="101"/>
      <c r="WM37" s="101"/>
      <c r="WN37" s="101"/>
      <c r="WO37" s="101"/>
      <c r="WP37" s="101"/>
      <c r="WQ37" s="101"/>
      <c r="WR37" s="101"/>
      <c r="WS37" s="101"/>
      <c r="WT37" s="101"/>
      <c r="WU37" s="101"/>
      <c r="WV37" s="101"/>
      <c r="WW37" s="101"/>
      <c r="WX37" s="101"/>
      <c r="WY37" s="101"/>
      <c r="WZ37" s="101"/>
      <c r="XA37" s="101"/>
      <c r="XB37" s="101"/>
      <c r="XC37" s="101"/>
      <c r="XD37" s="101"/>
      <c r="XE37" s="101"/>
      <c r="XF37" s="101"/>
      <c r="XG37" s="101"/>
      <c r="XH37" s="101"/>
      <c r="XI37" s="101"/>
      <c r="XJ37" s="101"/>
      <c r="XK37" s="101"/>
      <c r="XL37" s="101"/>
      <c r="XM37" s="101"/>
      <c r="XN37" s="101"/>
      <c r="XO37" s="101"/>
      <c r="XP37" s="101"/>
      <c r="XQ37" s="101"/>
      <c r="XR37" s="101"/>
      <c r="XS37" s="101"/>
      <c r="XT37" s="101"/>
      <c r="XU37" s="101"/>
      <c r="XV37" s="101"/>
      <c r="XW37" s="101"/>
      <c r="XX37" s="101"/>
      <c r="XY37" s="101"/>
      <c r="XZ37" s="101"/>
      <c r="YA37" s="101"/>
      <c r="YB37" s="101"/>
      <c r="YC37" s="101"/>
      <c r="YD37" s="101"/>
      <c r="YE37" s="101"/>
      <c r="YF37" s="101"/>
      <c r="YG37" s="101"/>
      <c r="YH37" s="101"/>
      <c r="YI37" s="101"/>
      <c r="YJ37" s="101"/>
      <c r="YK37" s="101"/>
      <c r="YL37" s="101"/>
      <c r="YM37" s="101"/>
      <c r="YN37" s="101"/>
      <c r="YO37" s="101"/>
      <c r="YP37" s="101"/>
      <c r="YQ37" s="101"/>
      <c r="YR37" s="101"/>
      <c r="YS37" s="101"/>
      <c r="YT37" s="101"/>
      <c r="YU37" s="101"/>
      <c r="YV37" s="101"/>
      <c r="YW37" s="101"/>
      <c r="YX37" s="101"/>
      <c r="YY37" s="101"/>
      <c r="YZ37" s="101"/>
      <c r="ZA37" s="101"/>
      <c r="ZB37" s="101"/>
      <c r="ZC37" s="101"/>
      <c r="ZD37" s="101"/>
      <c r="ZE37" s="101"/>
      <c r="ZF37" s="101"/>
      <c r="ZG37" s="101"/>
      <c r="ZH37" s="10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172"/>
  <sheetViews>
    <sheetView workbookViewId="0">
      <pane xSplit="3" ySplit="1" topLeftCell="D170" activePane="bottomRight" state="frozen"/>
      <selection pane="topRight" activeCell="D1" sqref="D1"/>
      <selection pane="bottomLeft" activeCell="A2" sqref="A2"/>
      <selection pane="bottomRight" activeCell="I15" sqref="I15"/>
    </sheetView>
  </sheetViews>
  <sheetFormatPr defaultRowHeight="15"/>
  <cols>
    <col min="1" max="1" width="15.28515625" customWidth="1"/>
    <col min="2" max="2" width="45.28515625" customWidth="1"/>
    <col min="3" max="3" width="13.5703125" hidden="1" customWidth="1"/>
    <col min="19" max="19" width="9.140625" style="90"/>
  </cols>
  <sheetData>
    <row r="1" spans="1:108">
      <c r="A1" s="75" t="s">
        <v>39</v>
      </c>
      <c r="B1" s="75" t="s">
        <v>32</v>
      </c>
      <c r="C1" s="75" t="s">
        <v>75</v>
      </c>
      <c r="D1" s="77">
        <v>41924</v>
      </c>
      <c r="E1" s="77">
        <v>41931</v>
      </c>
      <c r="F1" s="77">
        <v>41938</v>
      </c>
      <c r="G1" s="77">
        <v>41945</v>
      </c>
      <c r="H1" s="77">
        <v>41952</v>
      </c>
      <c r="I1" s="77">
        <v>41959</v>
      </c>
      <c r="J1" s="77">
        <v>41966</v>
      </c>
      <c r="K1" s="77">
        <v>41973</v>
      </c>
      <c r="L1" s="77">
        <v>41980</v>
      </c>
      <c r="M1" s="77">
        <v>41987</v>
      </c>
      <c r="N1" s="77">
        <v>41994</v>
      </c>
      <c r="O1" s="77">
        <v>42001</v>
      </c>
      <c r="P1" s="77">
        <v>42008</v>
      </c>
      <c r="Q1" s="77">
        <v>42015</v>
      </c>
      <c r="R1" s="77">
        <v>42022</v>
      </c>
      <c r="S1" s="87">
        <v>42029</v>
      </c>
      <c r="T1" s="77">
        <v>42036</v>
      </c>
      <c r="U1" s="77">
        <v>42043</v>
      </c>
      <c r="V1" s="77">
        <v>42050</v>
      </c>
      <c r="W1" s="77">
        <v>42057</v>
      </c>
      <c r="X1" s="77">
        <v>42064</v>
      </c>
      <c r="Y1" s="77">
        <v>42071</v>
      </c>
      <c r="Z1" s="77">
        <v>42078</v>
      </c>
      <c r="AA1" s="77">
        <v>42085</v>
      </c>
      <c r="AB1" s="77">
        <v>42092</v>
      </c>
      <c r="AC1" s="77">
        <v>42099</v>
      </c>
      <c r="AD1" s="77">
        <v>42106</v>
      </c>
      <c r="AE1" s="77">
        <v>42113</v>
      </c>
      <c r="AF1" s="77">
        <v>42120</v>
      </c>
      <c r="AG1" s="77">
        <v>42127</v>
      </c>
      <c r="AH1" s="77">
        <v>42134</v>
      </c>
      <c r="AI1" s="77">
        <v>42141</v>
      </c>
      <c r="AJ1" s="77">
        <v>42148</v>
      </c>
      <c r="AK1" s="77">
        <v>42155</v>
      </c>
      <c r="AL1" s="77">
        <v>42162</v>
      </c>
      <c r="AM1" s="77">
        <v>42169</v>
      </c>
      <c r="AN1" s="77">
        <v>42176</v>
      </c>
      <c r="AO1" s="77">
        <v>42183</v>
      </c>
      <c r="AP1" s="77">
        <v>42190</v>
      </c>
      <c r="AQ1" s="77">
        <v>42197</v>
      </c>
      <c r="AR1" s="77">
        <v>42204</v>
      </c>
      <c r="AS1" s="77">
        <v>42211</v>
      </c>
      <c r="AT1" s="77">
        <v>42218</v>
      </c>
      <c r="AU1" s="77">
        <v>42225</v>
      </c>
      <c r="AV1" s="77">
        <v>42232</v>
      </c>
      <c r="AW1" s="77">
        <v>42239</v>
      </c>
      <c r="AX1" s="77">
        <v>42246</v>
      </c>
      <c r="AY1" s="77">
        <v>42253</v>
      </c>
      <c r="AZ1" s="77">
        <v>42260</v>
      </c>
      <c r="BA1" s="77">
        <v>42267</v>
      </c>
      <c r="BB1" s="77">
        <v>42274</v>
      </c>
      <c r="BC1" s="77">
        <v>42281</v>
      </c>
      <c r="BD1" s="77">
        <v>42288</v>
      </c>
      <c r="BE1" s="77">
        <v>42295</v>
      </c>
      <c r="BF1" s="77">
        <v>42302</v>
      </c>
      <c r="BG1" s="77">
        <v>42309</v>
      </c>
      <c r="BH1" s="77">
        <v>42316</v>
      </c>
      <c r="BI1" s="77">
        <v>42323</v>
      </c>
      <c r="BJ1" s="77">
        <v>42330</v>
      </c>
      <c r="BK1" s="77">
        <v>42337</v>
      </c>
      <c r="BL1" s="77">
        <v>42344</v>
      </c>
      <c r="BM1" s="77">
        <v>42351</v>
      </c>
      <c r="BN1" s="77">
        <v>42358</v>
      </c>
      <c r="BO1" s="77">
        <v>42365</v>
      </c>
      <c r="BP1" s="77">
        <v>42372</v>
      </c>
      <c r="BQ1" s="77">
        <v>42379</v>
      </c>
      <c r="BR1" s="77">
        <v>42386</v>
      </c>
      <c r="BS1" s="77">
        <v>42393</v>
      </c>
      <c r="BT1" s="77">
        <v>42400</v>
      </c>
      <c r="BU1" s="77">
        <v>42407</v>
      </c>
      <c r="BV1" s="77">
        <v>42414</v>
      </c>
      <c r="BW1" s="77">
        <v>42421</v>
      </c>
      <c r="BX1" s="77">
        <v>42428</v>
      </c>
      <c r="BY1" s="77">
        <v>42435</v>
      </c>
      <c r="BZ1" s="77">
        <v>42442</v>
      </c>
      <c r="CA1" s="77">
        <v>42449</v>
      </c>
      <c r="CB1" s="77">
        <v>42456</v>
      </c>
      <c r="CC1" s="77">
        <v>42463</v>
      </c>
      <c r="CD1" s="77">
        <v>42470</v>
      </c>
      <c r="CE1" s="77">
        <v>42477</v>
      </c>
      <c r="CF1" s="77">
        <v>42484</v>
      </c>
      <c r="CG1" s="77">
        <v>42491</v>
      </c>
      <c r="CH1" s="77">
        <v>42498</v>
      </c>
      <c r="CI1" s="77">
        <v>42505</v>
      </c>
      <c r="CJ1" s="77">
        <v>42512</v>
      </c>
      <c r="CK1" s="77">
        <v>42519</v>
      </c>
      <c r="CL1" s="77">
        <v>42526</v>
      </c>
      <c r="CM1" s="77">
        <v>42533</v>
      </c>
      <c r="CN1" s="77">
        <v>42540</v>
      </c>
      <c r="CO1" s="77">
        <v>42547</v>
      </c>
      <c r="CP1" s="77">
        <v>42554</v>
      </c>
      <c r="CQ1" s="77">
        <v>42561</v>
      </c>
      <c r="CR1" s="77">
        <v>42568</v>
      </c>
      <c r="CS1" s="77">
        <v>42575</v>
      </c>
      <c r="CT1" s="77">
        <v>42582</v>
      </c>
      <c r="CU1" s="77">
        <v>42589</v>
      </c>
      <c r="CV1" s="77">
        <v>42596</v>
      </c>
      <c r="CW1" s="77">
        <v>42603</v>
      </c>
      <c r="CX1" s="77">
        <v>42610</v>
      </c>
      <c r="CY1" s="77">
        <v>42617</v>
      </c>
      <c r="CZ1" s="77">
        <v>42624</v>
      </c>
      <c r="DA1" s="77">
        <v>42631</v>
      </c>
      <c r="DB1" s="77">
        <v>42638</v>
      </c>
      <c r="DC1" s="77">
        <v>42645</v>
      </c>
      <c r="DD1" s="77">
        <v>42652</v>
      </c>
    </row>
    <row r="2" spans="1:108">
      <c r="A2" s="75" t="s">
        <v>35</v>
      </c>
      <c r="B2" s="75"/>
      <c r="C2" s="75"/>
      <c r="D2" s="78">
        <v>47671</v>
      </c>
      <c r="E2" s="78">
        <v>138809</v>
      </c>
      <c r="F2" s="78">
        <v>612326</v>
      </c>
      <c r="G2" s="78">
        <v>798040</v>
      </c>
      <c r="H2" s="78">
        <v>1084524</v>
      </c>
      <c r="I2" s="78">
        <v>83425</v>
      </c>
      <c r="J2" s="78">
        <v>83425</v>
      </c>
      <c r="K2" s="78">
        <v>83425</v>
      </c>
      <c r="L2" s="78">
        <v>83425</v>
      </c>
      <c r="M2" s="78">
        <v>83425</v>
      </c>
      <c r="N2" s="78">
        <v>83425</v>
      </c>
      <c r="O2" s="78">
        <v>83425</v>
      </c>
      <c r="P2" s="78">
        <v>83425</v>
      </c>
      <c r="Q2" s="78">
        <v>83425</v>
      </c>
      <c r="R2" s="78">
        <v>83425</v>
      </c>
      <c r="S2" s="88">
        <v>83425</v>
      </c>
      <c r="T2" s="78">
        <v>83425</v>
      </c>
      <c r="U2" s="78">
        <v>83425</v>
      </c>
      <c r="V2" s="78">
        <v>83425</v>
      </c>
      <c r="W2" s="78">
        <v>83425</v>
      </c>
      <c r="X2" s="78">
        <v>83425</v>
      </c>
      <c r="Y2" s="78">
        <v>83425</v>
      </c>
      <c r="Z2" s="78">
        <v>83425</v>
      </c>
      <c r="AA2" s="78">
        <v>83425</v>
      </c>
      <c r="AB2" s="78">
        <v>83425</v>
      </c>
      <c r="AC2" s="78">
        <v>83425</v>
      </c>
      <c r="AD2" s="78">
        <v>83425</v>
      </c>
      <c r="AE2" s="78">
        <v>83425</v>
      </c>
      <c r="AF2" s="78">
        <v>83425</v>
      </c>
      <c r="AG2" s="78">
        <v>83425</v>
      </c>
      <c r="AH2" s="78">
        <v>83425</v>
      </c>
      <c r="AI2" s="78">
        <v>83425</v>
      </c>
      <c r="AJ2" s="78">
        <v>83425</v>
      </c>
      <c r="AK2" s="78">
        <v>83425</v>
      </c>
      <c r="AL2" s="78">
        <v>83425</v>
      </c>
      <c r="AM2" s="78">
        <v>83425</v>
      </c>
      <c r="AN2" s="78">
        <v>83425</v>
      </c>
      <c r="AO2" s="78">
        <v>83425</v>
      </c>
      <c r="AP2" s="78">
        <v>83425</v>
      </c>
      <c r="AQ2" s="78">
        <v>83425</v>
      </c>
      <c r="AR2" s="78">
        <v>83425</v>
      </c>
      <c r="AS2" s="78">
        <v>83425</v>
      </c>
      <c r="AT2" s="78">
        <v>83425</v>
      </c>
      <c r="AU2" s="78">
        <v>83425</v>
      </c>
      <c r="AV2" s="78">
        <v>83425</v>
      </c>
      <c r="AW2" s="78">
        <v>83425</v>
      </c>
      <c r="AX2" s="78">
        <v>83425</v>
      </c>
      <c r="AY2" s="78">
        <v>83425</v>
      </c>
      <c r="AZ2" s="78">
        <v>83425</v>
      </c>
      <c r="BA2" s="78">
        <v>83425</v>
      </c>
      <c r="BB2" s="78">
        <v>83425</v>
      </c>
      <c r="BC2" s="78">
        <v>83425</v>
      </c>
      <c r="BD2" s="78">
        <v>83425</v>
      </c>
      <c r="BE2" s="78">
        <v>83425</v>
      </c>
      <c r="BF2" s="78">
        <v>83425</v>
      </c>
      <c r="BG2" s="78">
        <v>83425</v>
      </c>
      <c r="BH2" s="78">
        <v>83425</v>
      </c>
      <c r="BI2" s="78">
        <v>83425</v>
      </c>
      <c r="BJ2" s="78">
        <v>83425</v>
      </c>
      <c r="BK2" s="78">
        <v>83425</v>
      </c>
      <c r="BL2" s="78">
        <v>83425</v>
      </c>
      <c r="BM2" s="78">
        <v>83425</v>
      </c>
      <c r="BN2" s="78">
        <v>83425</v>
      </c>
      <c r="BO2" s="78">
        <v>83425</v>
      </c>
      <c r="BP2" s="78">
        <v>83425</v>
      </c>
      <c r="BQ2" s="78">
        <v>83425</v>
      </c>
      <c r="BR2" s="78">
        <v>83425</v>
      </c>
      <c r="BS2" s="78">
        <v>83425</v>
      </c>
      <c r="BT2" s="78">
        <v>83425</v>
      </c>
      <c r="BU2" s="78">
        <v>83425</v>
      </c>
      <c r="BV2" s="78">
        <v>83425</v>
      </c>
      <c r="BW2" s="78">
        <v>83425</v>
      </c>
      <c r="BX2" s="78">
        <v>83425</v>
      </c>
      <c r="BY2" s="78">
        <v>83425</v>
      </c>
      <c r="BZ2" s="78">
        <v>83425</v>
      </c>
      <c r="CA2" s="78">
        <v>83425</v>
      </c>
      <c r="CB2" s="78">
        <v>83425</v>
      </c>
      <c r="CC2" s="78">
        <v>83425</v>
      </c>
      <c r="CD2" s="78">
        <v>83425</v>
      </c>
      <c r="CE2" s="78">
        <v>83425</v>
      </c>
      <c r="CF2" s="78">
        <v>83425</v>
      </c>
      <c r="CG2" s="78">
        <v>83425</v>
      </c>
      <c r="CH2" s="78">
        <v>83425</v>
      </c>
      <c r="CI2" s="78">
        <v>83425</v>
      </c>
      <c r="CJ2" s="78">
        <v>83425</v>
      </c>
      <c r="CK2" s="78">
        <v>83425</v>
      </c>
      <c r="CL2" s="78">
        <v>83425</v>
      </c>
      <c r="CM2" s="78">
        <v>83425</v>
      </c>
      <c r="CN2" s="78">
        <v>83425</v>
      </c>
      <c r="CO2" s="78">
        <v>83425</v>
      </c>
      <c r="CP2" s="78">
        <v>83425</v>
      </c>
      <c r="CQ2" s="78">
        <v>83425</v>
      </c>
      <c r="CR2" s="78">
        <v>83425</v>
      </c>
      <c r="CS2" s="78">
        <v>83425</v>
      </c>
      <c r="CT2" s="78">
        <v>83425</v>
      </c>
      <c r="CU2" s="78">
        <v>83425</v>
      </c>
      <c r="CV2" s="78">
        <v>83425</v>
      </c>
      <c r="CW2" s="78">
        <v>83425</v>
      </c>
      <c r="CX2" s="78">
        <v>83425</v>
      </c>
      <c r="CY2" s="78">
        <v>83425</v>
      </c>
      <c r="CZ2" s="78">
        <v>83425</v>
      </c>
      <c r="DA2" s="78">
        <v>83425</v>
      </c>
      <c r="DB2" s="78">
        <v>83425</v>
      </c>
      <c r="DC2" s="78">
        <v>83425</v>
      </c>
      <c r="DD2" s="78">
        <v>59589</v>
      </c>
    </row>
    <row r="3" spans="1:108">
      <c r="A3" s="75" t="s">
        <v>128</v>
      </c>
      <c r="B3" s="75" t="s">
        <v>129</v>
      </c>
      <c r="C3" s="75" t="s">
        <v>130</v>
      </c>
      <c r="D3" s="78">
        <v>47671</v>
      </c>
      <c r="E3" s="78">
        <v>83425</v>
      </c>
      <c r="F3" s="78">
        <v>83425</v>
      </c>
      <c r="G3" s="78">
        <v>83425</v>
      </c>
      <c r="H3" s="78">
        <v>83425</v>
      </c>
      <c r="I3" s="78">
        <v>83425</v>
      </c>
      <c r="J3" s="78">
        <v>83425</v>
      </c>
      <c r="K3" s="78">
        <v>83425</v>
      </c>
      <c r="L3" s="78">
        <v>83425</v>
      </c>
      <c r="M3" s="78">
        <v>83425</v>
      </c>
      <c r="N3" s="78">
        <v>83425</v>
      </c>
      <c r="O3" s="78">
        <v>83425</v>
      </c>
      <c r="P3" s="78">
        <v>83425</v>
      </c>
      <c r="Q3" s="78">
        <v>83425</v>
      </c>
      <c r="R3" s="78">
        <v>83425</v>
      </c>
      <c r="S3" s="88">
        <v>83425</v>
      </c>
      <c r="T3" s="78">
        <v>83425</v>
      </c>
      <c r="U3" s="78">
        <v>83425</v>
      </c>
      <c r="V3" s="78">
        <v>83425</v>
      </c>
      <c r="W3" s="78">
        <v>83425</v>
      </c>
      <c r="X3" s="78">
        <v>83425</v>
      </c>
      <c r="Y3" s="78">
        <v>83425</v>
      </c>
      <c r="Z3" s="78">
        <v>83425</v>
      </c>
      <c r="AA3" s="78">
        <v>83425</v>
      </c>
      <c r="AB3" s="78">
        <v>83425</v>
      </c>
      <c r="AC3" s="78">
        <v>83425</v>
      </c>
      <c r="AD3" s="78">
        <v>83425</v>
      </c>
      <c r="AE3" s="78">
        <v>83425</v>
      </c>
      <c r="AF3" s="78">
        <v>83425</v>
      </c>
      <c r="AG3" s="78">
        <v>83425</v>
      </c>
      <c r="AH3" s="78">
        <v>83425</v>
      </c>
      <c r="AI3" s="78">
        <v>83425</v>
      </c>
      <c r="AJ3" s="78">
        <v>83425</v>
      </c>
      <c r="AK3" s="78">
        <v>83425</v>
      </c>
      <c r="AL3" s="78">
        <v>83425</v>
      </c>
      <c r="AM3" s="78">
        <v>83425</v>
      </c>
      <c r="AN3" s="78">
        <v>83425</v>
      </c>
      <c r="AO3" s="78">
        <v>83425</v>
      </c>
      <c r="AP3" s="78">
        <v>83425</v>
      </c>
      <c r="AQ3" s="78">
        <v>83425</v>
      </c>
      <c r="AR3" s="78">
        <v>83425</v>
      </c>
      <c r="AS3" s="78">
        <v>83425</v>
      </c>
      <c r="AT3" s="78">
        <v>83425</v>
      </c>
      <c r="AU3" s="78">
        <v>83425</v>
      </c>
      <c r="AV3" s="78">
        <v>83425</v>
      </c>
      <c r="AW3" s="78">
        <v>83425</v>
      </c>
      <c r="AX3" s="78">
        <v>83425</v>
      </c>
      <c r="AY3" s="78">
        <v>83425</v>
      </c>
      <c r="AZ3" s="78">
        <v>83425</v>
      </c>
      <c r="BA3" s="78">
        <v>83425</v>
      </c>
      <c r="BB3" s="78">
        <v>83425</v>
      </c>
      <c r="BC3" s="78">
        <v>83425</v>
      </c>
      <c r="BD3" s="78">
        <v>83425</v>
      </c>
      <c r="BE3" s="78">
        <v>83425</v>
      </c>
      <c r="BF3" s="78">
        <v>83425</v>
      </c>
      <c r="BG3" s="78">
        <v>83425</v>
      </c>
      <c r="BH3" s="78">
        <v>83425</v>
      </c>
      <c r="BI3" s="78">
        <v>83425</v>
      </c>
      <c r="BJ3" s="78">
        <v>83425</v>
      </c>
      <c r="BK3" s="78">
        <v>83425</v>
      </c>
      <c r="BL3" s="78">
        <v>83425</v>
      </c>
      <c r="BM3" s="78">
        <v>83425</v>
      </c>
      <c r="BN3" s="78">
        <v>83425</v>
      </c>
      <c r="BO3" s="78">
        <v>83425</v>
      </c>
      <c r="BP3" s="78">
        <v>83425</v>
      </c>
      <c r="BQ3" s="78">
        <v>83425</v>
      </c>
      <c r="BR3" s="78">
        <v>83425</v>
      </c>
      <c r="BS3" s="78">
        <v>83425</v>
      </c>
      <c r="BT3" s="78">
        <v>83425</v>
      </c>
      <c r="BU3" s="78">
        <v>83425</v>
      </c>
      <c r="BV3" s="78">
        <v>83425</v>
      </c>
      <c r="BW3" s="78">
        <v>83425</v>
      </c>
      <c r="BX3" s="78">
        <v>83425</v>
      </c>
      <c r="BY3" s="78">
        <v>83425</v>
      </c>
      <c r="BZ3" s="78">
        <v>83425</v>
      </c>
      <c r="CA3" s="78">
        <v>83425</v>
      </c>
      <c r="CB3" s="78">
        <v>83425</v>
      </c>
      <c r="CC3" s="78">
        <v>83425</v>
      </c>
      <c r="CD3" s="78">
        <v>83425</v>
      </c>
      <c r="CE3" s="78">
        <v>83425</v>
      </c>
      <c r="CF3" s="78">
        <v>83425</v>
      </c>
      <c r="CG3" s="78">
        <v>83425</v>
      </c>
      <c r="CH3" s="78">
        <v>83425</v>
      </c>
      <c r="CI3" s="78">
        <v>83425</v>
      </c>
      <c r="CJ3" s="78">
        <v>83425</v>
      </c>
      <c r="CK3" s="78">
        <v>83425</v>
      </c>
      <c r="CL3" s="78">
        <v>83425</v>
      </c>
      <c r="CM3" s="78">
        <v>83425</v>
      </c>
      <c r="CN3" s="78">
        <v>83425</v>
      </c>
      <c r="CO3" s="78">
        <v>83425</v>
      </c>
      <c r="CP3" s="78">
        <v>83425</v>
      </c>
      <c r="CQ3" s="78">
        <v>83425</v>
      </c>
      <c r="CR3" s="78">
        <v>83425</v>
      </c>
      <c r="CS3" s="78">
        <v>83425</v>
      </c>
      <c r="CT3" s="78">
        <v>83425</v>
      </c>
      <c r="CU3" s="78">
        <v>83425</v>
      </c>
      <c r="CV3" s="78">
        <v>83425</v>
      </c>
      <c r="CW3" s="78">
        <v>83425</v>
      </c>
      <c r="CX3" s="78">
        <v>83425</v>
      </c>
      <c r="CY3" s="78">
        <v>83425</v>
      </c>
      <c r="CZ3" s="78">
        <v>83425</v>
      </c>
      <c r="DA3" s="78">
        <v>83425</v>
      </c>
      <c r="DB3" s="78">
        <v>83425</v>
      </c>
      <c r="DC3" s="78">
        <v>83425</v>
      </c>
      <c r="DD3" s="78">
        <v>59589</v>
      </c>
    </row>
    <row r="4" spans="1:108">
      <c r="A4" s="75" t="s">
        <v>131</v>
      </c>
      <c r="B4" s="75" t="s">
        <v>132</v>
      </c>
      <c r="C4" s="75" t="s">
        <v>130</v>
      </c>
      <c r="D4" s="75"/>
      <c r="E4" s="78"/>
      <c r="F4" s="78"/>
      <c r="G4" s="78"/>
      <c r="H4" s="78">
        <v>760000</v>
      </c>
      <c r="I4" s="78"/>
      <c r="J4" s="78"/>
      <c r="K4" s="78"/>
      <c r="L4" s="78"/>
      <c r="M4" s="78"/>
      <c r="N4" s="78"/>
      <c r="O4" s="78"/>
      <c r="P4" s="78"/>
      <c r="Q4" s="78"/>
      <c r="R4" s="78"/>
      <c r="S4" s="8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5"/>
      <c r="BF4" s="75"/>
      <c r="BG4" s="75"/>
      <c r="BH4" s="75"/>
      <c r="BI4" s="75"/>
      <c r="BJ4" s="75"/>
      <c r="BK4" s="75"/>
      <c r="BL4" s="75"/>
      <c r="BM4" s="75"/>
      <c r="BN4" s="75"/>
      <c r="BO4" s="75"/>
      <c r="BP4" s="75"/>
      <c r="BQ4" s="75"/>
      <c r="BR4" s="75"/>
      <c r="BS4" s="75"/>
      <c r="BT4" s="75"/>
      <c r="BU4" s="75"/>
      <c r="BV4" s="75"/>
      <c r="BW4" s="75"/>
      <c r="BX4" s="75"/>
      <c r="BY4" s="75"/>
      <c r="BZ4" s="75"/>
      <c r="CA4" s="75"/>
      <c r="CB4" s="75"/>
      <c r="CC4" s="75"/>
      <c r="CD4" s="75"/>
      <c r="CE4" s="75"/>
      <c r="CF4" s="75"/>
      <c r="CG4" s="75"/>
      <c r="CH4" s="75"/>
      <c r="CI4" s="75"/>
      <c r="CJ4" s="75"/>
      <c r="CK4" s="75"/>
      <c r="CL4" s="75"/>
      <c r="CM4" s="75"/>
      <c r="CN4" s="75"/>
      <c r="CO4" s="75"/>
      <c r="CP4" s="75"/>
      <c r="CQ4" s="75"/>
      <c r="CR4" s="75"/>
      <c r="CS4" s="75"/>
      <c r="CT4" s="75"/>
      <c r="CU4" s="75"/>
      <c r="CV4" s="75"/>
      <c r="CW4" s="75"/>
      <c r="CX4" s="75"/>
      <c r="CY4" s="75"/>
      <c r="CZ4" s="75"/>
      <c r="DA4" s="75"/>
      <c r="DB4" s="75"/>
      <c r="DC4" s="75"/>
      <c r="DD4" s="75"/>
    </row>
    <row r="5" spans="1:108">
      <c r="A5" s="75" t="s">
        <v>133</v>
      </c>
      <c r="B5" s="75" t="s">
        <v>134</v>
      </c>
      <c r="C5" s="75" t="s">
        <v>85</v>
      </c>
      <c r="D5" s="75"/>
      <c r="E5" s="78">
        <v>55385</v>
      </c>
      <c r="F5" s="78">
        <v>64615</v>
      </c>
      <c r="G5" s="78">
        <v>64615</v>
      </c>
      <c r="H5" s="78">
        <v>55385</v>
      </c>
      <c r="I5" s="78"/>
      <c r="J5" s="78"/>
      <c r="K5" s="78"/>
      <c r="L5" s="78"/>
      <c r="M5" s="78"/>
      <c r="N5" s="78"/>
      <c r="O5" s="78"/>
      <c r="P5" s="78"/>
      <c r="Q5" s="78"/>
      <c r="R5" s="78"/>
      <c r="S5" s="8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5"/>
      <c r="BL5" s="75"/>
      <c r="BM5" s="75"/>
      <c r="BN5" s="75"/>
      <c r="BO5" s="75"/>
      <c r="BP5" s="75"/>
      <c r="BQ5" s="75"/>
      <c r="BR5" s="75"/>
      <c r="BS5" s="75"/>
      <c r="BT5" s="75"/>
      <c r="BU5" s="75"/>
      <c r="BV5" s="75"/>
      <c r="BW5" s="75"/>
      <c r="BX5" s="75"/>
      <c r="BY5" s="75"/>
      <c r="BZ5" s="75"/>
      <c r="CA5" s="75"/>
      <c r="CB5" s="75"/>
      <c r="CC5" s="75"/>
      <c r="CD5" s="75"/>
      <c r="CE5" s="75"/>
      <c r="CF5" s="75"/>
      <c r="CG5" s="75"/>
      <c r="CH5" s="75"/>
      <c r="CI5" s="75"/>
      <c r="CJ5" s="75"/>
      <c r="CK5" s="75"/>
      <c r="CL5" s="75"/>
      <c r="CM5" s="75"/>
      <c r="CN5" s="75"/>
      <c r="CO5" s="75"/>
      <c r="CP5" s="75"/>
      <c r="CQ5" s="75"/>
      <c r="CR5" s="75"/>
      <c r="CS5" s="75"/>
      <c r="CT5" s="75"/>
      <c r="CU5" s="75"/>
      <c r="CV5" s="75"/>
      <c r="CW5" s="75"/>
      <c r="CX5" s="75"/>
      <c r="CY5" s="75"/>
      <c r="CZ5" s="75"/>
      <c r="DA5" s="75"/>
      <c r="DB5" s="75"/>
      <c r="DC5" s="75"/>
      <c r="DD5" s="75"/>
    </row>
    <row r="6" spans="1:108">
      <c r="A6" s="75" t="s">
        <v>135</v>
      </c>
      <c r="B6" s="75" t="s">
        <v>136</v>
      </c>
      <c r="C6" s="75" t="s">
        <v>85</v>
      </c>
      <c r="D6" s="75"/>
      <c r="E6" s="78"/>
      <c r="F6" s="78">
        <v>464286</v>
      </c>
      <c r="G6" s="78">
        <v>650000</v>
      </c>
      <c r="H6" s="78">
        <v>185714</v>
      </c>
      <c r="I6" s="78"/>
      <c r="J6" s="78"/>
      <c r="K6" s="78"/>
      <c r="L6" s="78"/>
      <c r="M6" s="78"/>
      <c r="N6" s="78"/>
      <c r="O6" s="78"/>
      <c r="P6" s="78"/>
      <c r="Q6" s="78"/>
      <c r="R6" s="78"/>
      <c r="S6" s="88"/>
      <c r="T6" s="78"/>
      <c r="U6" s="78"/>
      <c r="V6" s="78"/>
      <c r="W6" s="78"/>
      <c r="X6" s="78"/>
      <c r="Y6" s="78"/>
      <c r="Z6" s="78"/>
      <c r="AA6" s="78"/>
      <c r="AB6" s="78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5"/>
      <c r="BO6" s="75"/>
      <c r="BP6" s="75"/>
      <c r="BQ6" s="75"/>
      <c r="BR6" s="75"/>
      <c r="BS6" s="75"/>
      <c r="BT6" s="75"/>
      <c r="BU6" s="75"/>
      <c r="BV6" s="75"/>
      <c r="BW6" s="75"/>
      <c r="BX6" s="75"/>
      <c r="BY6" s="75"/>
      <c r="BZ6" s="75"/>
      <c r="CA6" s="75"/>
      <c r="CB6" s="75"/>
      <c r="CC6" s="75"/>
      <c r="CD6" s="75"/>
      <c r="CE6" s="75"/>
      <c r="CF6" s="75"/>
      <c r="CG6" s="75"/>
      <c r="CH6" s="75"/>
      <c r="CI6" s="75"/>
      <c r="CJ6" s="75"/>
      <c r="CK6" s="75"/>
      <c r="CL6" s="75"/>
      <c r="CM6" s="75"/>
      <c r="CN6" s="75"/>
      <c r="CO6" s="75"/>
      <c r="CP6" s="75"/>
      <c r="CQ6" s="75"/>
      <c r="CR6" s="75"/>
      <c r="CS6" s="75"/>
      <c r="CT6" s="75"/>
      <c r="CU6" s="75"/>
      <c r="CV6" s="75"/>
      <c r="CW6" s="75"/>
      <c r="CX6" s="75"/>
      <c r="CY6" s="75"/>
      <c r="CZ6" s="75"/>
      <c r="DA6" s="75"/>
      <c r="DB6" s="75"/>
      <c r="DC6" s="75"/>
      <c r="DD6" s="75"/>
    </row>
    <row r="7" spans="1:108">
      <c r="A7" s="75" t="s">
        <v>36</v>
      </c>
      <c r="B7" s="75"/>
      <c r="C7" s="75"/>
      <c r="D7" s="75"/>
      <c r="E7" s="78"/>
      <c r="F7" s="78"/>
      <c r="G7" s="78"/>
      <c r="H7" s="78">
        <v>2653</v>
      </c>
      <c r="I7" s="78">
        <v>15919</v>
      </c>
      <c r="J7" s="78">
        <v>15919</v>
      </c>
      <c r="K7" s="78">
        <v>20733</v>
      </c>
      <c r="L7" s="78">
        <v>18718</v>
      </c>
      <c r="M7" s="78">
        <v>16468</v>
      </c>
      <c r="N7" s="78">
        <v>24977</v>
      </c>
      <c r="O7" s="78">
        <v>49534</v>
      </c>
      <c r="P7" s="78">
        <v>92024</v>
      </c>
      <c r="Q7" s="78">
        <v>257161</v>
      </c>
      <c r="R7" s="78">
        <v>204227</v>
      </c>
      <c r="S7" s="88">
        <v>157810</v>
      </c>
      <c r="T7" s="78">
        <v>153488</v>
      </c>
      <c r="U7" s="78">
        <v>81069</v>
      </c>
      <c r="V7" s="78">
        <v>178638</v>
      </c>
      <c r="W7" s="78">
        <v>286447</v>
      </c>
      <c r="X7" s="78">
        <v>200753</v>
      </c>
      <c r="Y7" s="78">
        <v>306450</v>
      </c>
      <c r="Z7" s="78">
        <v>178856</v>
      </c>
      <c r="AA7" s="78">
        <v>99168</v>
      </c>
      <c r="AB7" s="78">
        <v>155313</v>
      </c>
      <c r="AC7" s="78">
        <v>205776</v>
      </c>
      <c r="AD7" s="78">
        <v>363456</v>
      </c>
      <c r="AE7" s="78">
        <v>345155</v>
      </c>
      <c r="AF7" s="78">
        <v>376691</v>
      </c>
      <c r="AG7" s="78">
        <v>559816</v>
      </c>
      <c r="AH7" s="78">
        <v>617044</v>
      </c>
      <c r="AI7" s="78">
        <v>452621</v>
      </c>
      <c r="AJ7" s="78">
        <v>616763</v>
      </c>
      <c r="AK7" s="78">
        <v>796700</v>
      </c>
      <c r="AL7" s="78">
        <v>738425</v>
      </c>
      <c r="AM7" s="78">
        <v>748528</v>
      </c>
      <c r="AN7" s="78">
        <v>862492</v>
      </c>
      <c r="AO7" s="78">
        <v>798091</v>
      </c>
      <c r="AP7" s="78">
        <v>779777</v>
      </c>
      <c r="AQ7" s="78">
        <v>638349</v>
      </c>
      <c r="AR7" s="78">
        <v>529684</v>
      </c>
      <c r="AS7" s="78">
        <v>749348</v>
      </c>
      <c r="AT7" s="78">
        <v>642106</v>
      </c>
      <c r="AU7" s="78">
        <v>403986</v>
      </c>
      <c r="AV7" s="78">
        <v>505067</v>
      </c>
      <c r="AW7" s="78">
        <v>860354</v>
      </c>
      <c r="AX7" s="78">
        <v>318042</v>
      </c>
      <c r="AY7" s="78">
        <v>297005</v>
      </c>
      <c r="AZ7" s="78">
        <v>415203</v>
      </c>
      <c r="BA7" s="78">
        <v>247561</v>
      </c>
      <c r="BB7" s="78">
        <v>376678</v>
      </c>
      <c r="BC7" s="78">
        <v>547533</v>
      </c>
      <c r="BD7" s="78">
        <v>807022</v>
      </c>
      <c r="BE7" s="78">
        <v>1194633</v>
      </c>
      <c r="BF7" s="78">
        <v>1300891</v>
      </c>
      <c r="BG7" s="78">
        <v>1565978</v>
      </c>
      <c r="BH7" s="78">
        <v>1887499</v>
      </c>
      <c r="BI7" s="78">
        <v>1959139</v>
      </c>
      <c r="BJ7" s="78">
        <v>1962861</v>
      </c>
      <c r="BK7" s="78">
        <v>1855170</v>
      </c>
      <c r="BL7" s="78">
        <v>2095381</v>
      </c>
      <c r="BM7" s="78">
        <v>2154428</v>
      </c>
      <c r="BN7" s="78">
        <v>2013407</v>
      </c>
      <c r="BO7" s="78">
        <v>2145904</v>
      </c>
      <c r="BP7" s="78">
        <v>2258889</v>
      </c>
      <c r="BQ7" s="78">
        <v>2607463</v>
      </c>
      <c r="BR7" s="78">
        <v>2592894</v>
      </c>
      <c r="BS7" s="78">
        <v>2681643</v>
      </c>
      <c r="BT7" s="78">
        <v>2683028</v>
      </c>
      <c r="BU7" s="78">
        <v>3215943</v>
      </c>
      <c r="BV7" s="78">
        <v>3075652</v>
      </c>
      <c r="BW7" s="78">
        <v>3641146</v>
      </c>
      <c r="BX7" s="78">
        <v>3285954</v>
      </c>
      <c r="BY7" s="78">
        <v>3041314</v>
      </c>
      <c r="BZ7" s="78">
        <v>2510434</v>
      </c>
      <c r="CA7" s="78">
        <v>2174295</v>
      </c>
      <c r="CB7" s="78">
        <v>1695551</v>
      </c>
      <c r="CC7" s="78">
        <v>1697115</v>
      </c>
      <c r="CD7" s="78">
        <v>1856594</v>
      </c>
      <c r="CE7" s="78">
        <v>1792348</v>
      </c>
      <c r="CF7" s="78">
        <v>1661248</v>
      </c>
      <c r="CG7" s="78">
        <v>1456273</v>
      </c>
      <c r="CH7" s="78">
        <v>1238168</v>
      </c>
      <c r="CI7" s="78">
        <v>1133437</v>
      </c>
      <c r="CJ7" s="78">
        <v>1051539</v>
      </c>
      <c r="CK7" s="78">
        <v>901613</v>
      </c>
      <c r="CL7" s="78">
        <v>779954</v>
      </c>
      <c r="CM7" s="78">
        <v>755098</v>
      </c>
      <c r="CN7" s="78">
        <v>620792</v>
      </c>
      <c r="CO7" s="78">
        <v>320693</v>
      </c>
      <c r="CP7" s="78">
        <v>144983</v>
      </c>
      <c r="CQ7" s="78">
        <v>136353</v>
      </c>
      <c r="CR7" s="78">
        <v>130105</v>
      </c>
      <c r="CS7" s="78">
        <v>110476</v>
      </c>
      <c r="CT7" s="78">
        <v>75879</v>
      </c>
      <c r="CU7" s="78">
        <v>74054</v>
      </c>
      <c r="CV7" s="78">
        <v>36396</v>
      </c>
      <c r="CW7" s="78">
        <v>10963</v>
      </c>
      <c r="CX7" s="78">
        <v>43585</v>
      </c>
      <c r="CY7" s="78">
        <v>26593</v>
      </c>
      <c r="CZ7" s="78">
        <v>24483</v>
      </c>
      <c r="DA7" s="75"/>
      <c r="DB7" s="75"/>
      <c r="DC7" s="75"/>
      <c r="DD7" s="75"/>
    </row>
    <row r="8" spans="1:108">
      <c r="A8" s="75" t="s">
        <v>37</v>
      </c>
      <c r="B8" s="75"/>
      <c r="C8" s="75"/>
      <c r="D8" s="75"/>
      <c r="E8" s="75"/>
      <c r="F8" s="75"/>
      <c r="G8" s="75"/>
      <c r="H8" s="78">
        <v>2653</v>
      </c>
      <c r="I8" s="78">
        <v>15919</v>
      </c>
      <c r="J8" s="78">
        <v>15919</v>
      </c>
      <c r="K8" s="78">
        <v>20733</v>
      </c>
      <c r="L8" s="78">
        <v>18718</v>
      </c>
      <c r="M8" s="78">
        <v>16468</v>
      </c>
      <c r="N8" s="78">
        <v>24977</v>
      </c>
      <c r="O8" s="78">
        <v>49534</v>
      </c>
      <c r="P8" s="78">
        <v>92024</v>
      </c>
      <c r="Q8" s="78">
        <v>257161</v>
      </c>
      <c r="R8" s="78">
        <v>204227</v>
      </c>
      <c r="S8" s="88">
        <v>157810</v>
      </c>
      <c r="T8" s="78">
        <v>153488</v>
      </c>
      <c r="U8" s="78">
        <v>81069</v>
      </c>
      <c r="V8" s="78">
        <v>178638</v>
      </c>
      <c r="W8" s="78">
        <v>286447</v>
      </c>
      <c r="X8" s="78">
        <v>200753</v>
      </c>
      <c r="Y8" s="78">
        <v>306450</v>
      </c>
      <c r="Z8" s="78">
        <v>178856</v>
      </c>
      <c r="AA8" s="78">
        <v>99168</v>
      </c>
      <c r="AB8" s="78">
        <v>155313</v>
      </c>
      <c r="AC8" s="78">
        <v>205776</v>
      </c>
      <c r="AD8" s="78">
        <v>363456</v>
      </c>
      <c r="AE8" s="78">
        <v>150518</v>
      </c>
      <c r="AF8" s="78">
        <v>74919</v>
      </c>
      <c r="AG8" s="78">
        <v>86814</v>
      </c>
      <c r="AH8" s="78">
        <v>68209</v>
      </c>
      <c r="AI8" s="78">
        <v>183429</v>
      </c>
      <c r="AJ8" s="78">
        <v>4740</v>
      </c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5"/>
      <c r="BF8" s="75"/>
      <c r="BG8" s="75"/>
      <c r="BH8" s="75"/>
      <c r="BI8" s="75"/>
      <c r="BJ8" s="75"/>
      <c r="BK8" s="75"/>
      <c r="BL8" s="75"/>
      <c r="BM8" s="75"/>
      <c r="BN8" s="75"/>
      <c r="BO8" s="75"/>
      <c r="BP8" s="75"/>
      <c r="BQ8" s="75"/>
      <c r="BR8" s="75"/>
      <c r="BS8" s="75"/>
      <c r="BT8" s="75"/>
      <c r="BU8" s="75"/>
      <c r="BV8" s="75"/>
      <c r="BW8" s="75"/>
      <c r="BX8" s="75"/>
      <c r="BY8" s="75"/>
      <c r="BZ8" s="75"/>
      <c r="CA8" s="75"/>
      <c r="CB8" s="75"/>
      <c r="CC8" s="75"/>
      <c r="CD8" s="75"/>
      <c r="CE8" s="75"/>
      <c r="CF8" s="75"/>
      <c r="CG8" s="75"/>
      <c r="CH8" s="75"/>
      <c r="CI8" s="75"/>
      <c r="CJ8" s="75"/>
      <c r="CK8" s="75"/>
      <c r="CL8" s="75"/>
      <c r="CM8" s="75"/>
      <c r="CN8" s="75"/>
      <c r="CO8" s="75"/>
      <c r="CP8" s="75"/>
      <c r="CQ8" s="75"/>
      <c r="CR8" s="75"/>
      <c r="CS8" s="75"/>
      <c r="CT8" s="75"/>
      <c r="CU8" s="75"/>
      <c r="CV8" s="75"/>
      <c r="CW8" s="75"/>
      <c r="CX8" s="75"/>
      <c r="CY8" s="75"/>
      <c r="CZ8" s="75"/>
      <c r="DA8" s="75"/>
      <c r="DB8" s="75"/>
      <c r="DC8" s="75"/>
      <c r="DD8" s="75"/>
    </row>
    <row r="9" spans="1:108">
      <c r="A9" s="75" t="s">
        <v>76</v>
      </c>
      <c r="B9" s="75"/>
      <c r="C9" s="75"/>
      <c r="D9" s="75"/>
      <c r="E9" s="75"/>
      <c r="F9" s="75"/>
      <c r="G9" s="75"/>
      <c r="H9" s="78">
        <v>2653</v>
      </c>
      <c r="I9" s="78">
        <v>15919</v>
      </c>
      <c r="J9" s="78">
        <v>15919</v>
      </c>
      <c r="K9" s="78">
        <v>20733</v>
      </c>
      <c r="L9" s="78">
        <v>18718</v>
      </c>
      <c r="M9" s="78">
        <v>16468</v>
      </c>
      <c r="N9" s="78">
        <v>24977</v>
      </c>
      <c r="O9" s="78">
        <v>49534</v>
      </c>
      <c r="P9" s="78">
        <v>92024</v>
      </c>
      <c r="Q9" s="78">
        <v>257161</v>
      </c>
      <c r="R9" s="78">
        <v>204227</v>
      </c>
      <c r="S9" s="88">
        <v>157810</v>
      </c>
      <c r="T9" s="78">
        <v>153488</v>
      </c>
      <c r="U9" s="78">
        <v>81069</v>
      </c>
      <c r="V9" s="78">
        <v>178638</v>
      </c>
      <c r="W9" s="78">
        <v>286447</v>
      </c>
      <c r="X9" s="78">
        <v>200753</v>
      </c>
      <c r="Y9" s="78">
        <v>300168</v>
      </c>
      <c r="Z9" s="78">
        <v>160011</v>
      </c>
      <c r="AA9" s="78">
        <v>80322</v>
      </c>
      <c r="AB9" s="78">
        <v>127829</v>
      </c>
      <c r="AC9" s="78">
        <v>189286</v>
      </c>
      <c r="AD9" s="78">
        <v>360315</v>
      </c>
      <c r="AE9" s="78">
        <v>131673</v>
      </c>
      <c r="AF9" s="78">
        <v>56074</v>
      </c>
      <c r="AG9" s="78">
        <v>83674</v>
      </c>
      <c r="AH9" s="78">
        <v>68209</v>
      </c>
      <c r="AI9" s="78">
        <v>183429</v>
      </c>
      <c r="AJ9" s="78">
        <v>4740</v>
      </c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5"/>
      <c r="BF9" s="75"/>
      <c r="BG9" s="75"/>
      <c r="BH9" s="75"/>
      <c r="BI9" s="75"/>
      <c r="BJ9" s="75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  <c r="BV9" s="75"/>
      <c r="BW9" s="75"/>
      <c r="BX9" s="75"/>
      <c r="BY9" s="75"/>
      <c r="BZ9" s="75"/>
      <c r="CA9" s="75"/>
      <c r="CB9" s="75"/>
      <c r="CC9" s="75"/>
      <c r="CD9" s="75"/>
      <c r="CE9" s="75"/>
      <c r="CF9" s="75"/>
      <c r="CG9" s="75"/>
      <c r="CH9" s="75"/>
      <c r="CI9" s="75"/>
      <c r="CJ9" s="75"/>
      <c r="CK9" s="75"/>
      <c r="CL9" s="75"/>
      <c r="CM9" s="75"/>
      <c r="CN9" s="75"/>
      <c r="CO9" s="75"/>
      <c r="CP9" s="75"/>
      <c r="CQ9" s="75"/>
      <c r="CR9" s="75"/>
      <c r="CS9" s="75"/>
      <c r="CT9" s="75"/>
      <c r="CU9" s="75"/>
      <c r="CV9" s="75"/>
      <c r="CW9" s="75"/>
      <c r="CX9" s="75"/>
      <c r="CY9" s="75"/>
      <c r="CZ9" s="75"/>
      <c r="DA9" s="75"/>
      <c r="DB9" s="75"/>
      <c r="DC9" s="75"/>
      <c r="DD9" s="75"/>
    </row>
    <row r="10" spans="1:108">
      <c r="A10" s="75" t="s">
        <v>77</v>
      </c>
      <c r="B10" s="75"/>
      <c r="C10" s="75"/>
      <c r="D10" s="75"/>
      <c r="E10" s="78"/>
      <c r="F10" s="78"/>
      <c r="G10" s="78"/>
      <c r="H10" s="78">
        <v>2653</v>
      </c>
      <c r="I10" s="78">
        <v>15919</v>
      </c>
      <c r="J10" s="78">
        <v>15919</v>
      </c>
      <c r="K10" s="78">
        <v>20733</v>
      </c>
      <c r="L10" s="78">
        <v>9874</v>
      </c>
      <c r="M10" s="78">
        <v>6017</v>
      </c>
      <c r="N10" s="78">
        <v>8657</v>
      </c>
      <c r="O10" s="78">
        <v>28792</v>
      </c>
      <c r="P10" s="78">
        <v>65145</v>
      </c>
      <c r="Q10" s="78">
        <v>221123</v>
      </c>
      <c r="R10" s="78">
        <v>173706</v>
      </c>
      <c r="S10" s="88">
        <v>81300</v>
      </c>
      <c r="T10" s="78">
        <v>111970</v>
      </c>
      <c r="U10" s="78">
        <v>20678</v>
      </c>
      <c r="V10" s="78">
        <v>13327</v>
      </c>
      <c r="W10" s="78">
        <v>16552</v>
      </c>
      <c r="X10" s="78">
        <v>102465</v>
      </c>
      <c r="Y10" s="78">
        <v>163919</v>
      </c>
      <c r="Z10" s="78">
        <v>63925</v>
      </c>
      <c r="AA10" s="78">
        <v>46622</v>
      </c>
      <c r="AB10" s="78">
        <v>73701</v>
      </c>
      <c r="AC10" s="78">
        <v>68941</v>
      </c>
      <c r="AD10" s="78">
        <v>183429</v>
      </c>
      <c r="AE10" s="78">
        <v>4740</v>
      </c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5"/>
      <c r="BF10" s="75"/>
      <c r="BG10" s="75"/>
      <c r="BH10" s="75"/>
      <c r="BI10" s="75"/>
      <c r="BJ10" s="75"/>
      <c r="BK10" s="75"/>
      <c r="BL10" s="75"/>
      <c r="BM10" s="75"/>
      <c r="BN10" s="75"/>
      <c r="BO10" s="75"/>
      <c r="BP10" s="75"/>
      <c r="BQ10" s="75"/>
      <c r="BR10" s="75"/>
      <c r="BS10" s="75"/>
      <c r="BT10" s="75"/>
      <c r="BU10" s="75"/>
      <c r="BV10" s="75"/>
      <c r="BW10" s="75"/>
      <c r="BX10" s="75"/>
      <c r="BY10" s="75"/>
      <c r="BZ10" s="75"/>
      <c r="CA10" s="75"/>
      <c r="CB10" s="75"/>
      <c r="CC10" s="75"/>
      <c r="CD10" s="75"/>
      <c r="CE10" s="75"/>
      <c r="CF10" s="75"/>
      <c r="CG10" s="75"/>
      <c r="CH10" s="75"/>
      <c r="CI10" s="75"/>
      <c r="CJ10" s="75"/>
      <c r="CK10" s="75"/>
      <c r="CL10" s="75"/>
      <c r="CM10" s="75"/>
      <c r="CN10" s="75"/>
      <c r="CO10" s="75"/>
      <c r="CP10" s="75"/>
      <c r="CQ10" s="75"/>
      <c r="CR10" s="75"/>
      <c r="CS10" s="75"/>
      <c r="CT10" s="75"/>
      <c r="CU10" s="75"/>
      <c r="CV10" s="75"/>
      <c r="CW10" s="75"/>
      <c r="CX10" s="75"/>
      <c r="CY10" s="75"/>
      <c r="CZ10" s="75"/>
      <c r="DA10" s="75"/>
      <c r="DB10" s="75"/>
      <c r="DC10" s="75"/>
      <c r="DD10" s="75"/>
    </row>
    <row r="11" spans="1:108">
      <c r="A11" s="75" t="s">
        <v>78</v>
      </c>
      <c r="B11" s="75"/>
      <c r="C11" s="75"/>
      <c r="D11" s="75"/>
      <c r="E11" s="75"/>
      <c r="F11" s="75"/>
      <c r="G11" s="75"/>
      <c r="H11" s="78">
        <v>2653</v>
      </c>
      <c r="I11" s="78">
        <v>15919</v>
      </c>
      <c r="J11" s="78">
        <v>15919</v>
      </c>
      <c r="K11" s="78">
        <v>20733</v>
      </c>
      <c r="L11" s="78">
        <v>9874</v>
      </c>
      <c r="M11" s="78">
        <v>6017</v>
      </c>
      <c r="N11" s="78">
        <v>8657</v>
      </c>
      <c r="O11" s="78">
        <v>2640</v>
      </c>
      <c r="P11" s="75"/>
      <c r="Q11" s="75"/>
      <c r="R11" s="75"/>
      <c r="S11" s="89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5"/>
      <c r="BF11" s="75"/>
      <c r="BG11" s="75"/>
      <c r="BH11" s="75"/>
      <c r="BI11" s="75"/>
      <c r="BJ11" s="75"/>
      <c r="BK11" s="75"/>
      <c r="BL11" s="75"/>
      <c r="BM11" s="75"/>
      <c r="BN11" s="75"/>
      <c r="BO11" s="75"/>
      <c r="BP11" s="75"/>
      <c r="BQ11" s="75"/>
      <c r="BR11" s="75"/>
      <c r="BS11" s="75"/>
      <c r="BT11" s="75"/>
      <c r="BU11" s="75"/>
      <c r="BV11" s="75"/>
      <c r="BW11" s="75"/>
      <c r="BX11" s="75"/>
      <c r="BY11" s="75"/>
      <c r="BZ11" s="75"/>
      <c r="CA11" s="75"/>
      <c r="CB11" s="75"/>
      <c r="CC11" s="75"/>
      <c r="CD11" s="75"/>
      <c r="CE11" s="75"/>
      <c r="CF11" s="75"/>
      <c r="CG11" s="75"/>
      <c r="CH11" s="75"/>
      <c r="CI11" s="75"/>
      <c r="CJ11" s="75"/>
      <c r="CK11" s="75"/>
      <c r="CL11" s="75"/>
      <c r="CM11" s="75"/>
      <c r="CN11" s="75"/>
      <c r="CO11" s="75"/>
      <c r="CP11" s="75"/>
      <c r="CQ11" s="75"/>
      <c r="CR11" s="75"/>
      <c r="CS11" s="75"/>
      <c r="CT11" s="75"/>
      <c r="CU11" s="75"/>
      <c r="CV11" s="75"/>
      <c r="CW11" s="75"/>
      <c r="CX11" s="75"/>
      <c r="CY11" s="75"/>
      <c r="CZ11" s="75"/>
      <c r="DA11" s="75"/>
      <c r="DB11" s="75"/>
      <c r="DC11" s="75"/>
      <c r="DD11" s="75"/>
    </row>
    <row r="12" spans="1:108">
      <c r="A12" s="75" t="s">
        <v>83</v>
      </c>
      <c r="B12" s="75" t="s">
        <v>84</v>
      </c>
      <c r="C12" s="75" t="s">
        <v>85</v>
      </c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8">
        <v>2640</v>
      </c>
      <c r="O12" s="78">
        <v>2640</v>
      </c>
      <c r="P12" s="75"/>
      <c r="Q12" s="78"/>
      <c r="R12" s="78"/>
      <c r="S12" s="89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5"/>
      <c r="BF12" s="75"/>
      <c r="BG12" s="75"/>
      <c r="BH12" s="75"/>
      <c r="BI12" s="75"/>
      <c r="BJ12" s="75"/>
      <c r="BK12" s="75"/>
      <c r="BL12" s="75"/>
      <c r="BM12" s="75"/>
      <c r="BN12" s="75"/>
      <c r="BO12" s="75"/>
      <c r="BP12" s="75"/>
      <c r="BQ12" s="75"/>
      <c r="BR12" s="75"/>
      <c r="BS12" s="75"/>
      <c r="BT12" s="75"/>
      <c r="BU12" s="75"/>
      <c r="BV12" s="75"/>
      <c r="BW12" s="75"/>
      <c r="BX12" s="75"/>
      <c r="BY12" s="75"/>
      <c r="BZ12" s="75"/>
      <c r="CA12" s="75"/>
      <c r="CB12" s="75"/>
      <c r="CC12" s="75"/>
      <c r="CD12" s="75"/>
      <c r="CE12" s="75"/>
      <c r="CF12" s="75"/>
      <c r="CG12" s="75"/>
      <c r="CH12" s="75"/>
      <c r="CI12" s="75"/>
      <c r="CJ12" s="75"/>
      <c r="CK12" s="75"/>
      <c r="CL12" s="75"/>
      <c r="CM12" s="75"/>
      <c r="CN12" s="75"/>
      <c r="CO12" s="75"/>
      <c r="CP12" s="75"/>
      <c r="CQ12" s="75"/>
      <c r="CR12" s="75"/>
      <c r="CS12" s="75"/>
      <c r="CT12" s="75"/>
      <c r="CU12" s="75"/>
      <c r="CV12" s="75"/>
      <c r="CW12" s="75"/>
      <c r="CX12" s="75"/>
      <c r="CY12" s="75"/>
      <c r="CZ12" s="75"/>
      <c r="DA12" s="75"/>
      <c r="DB12" s="75"/>
      <c r="DC12" s="75"/>
      <c r="DD12" s="75"/>
    </row>
    <row r="13" spans="1:108">
      <c r="A13" s="75" t="s">
        <v>81</v>
      </c>
      <c r="B13" s="75" t="s">
        <v>82</v>
      </c>
      <c r="C13" s="75" t="s">
        <v>85</v>
      </c>
      <c r="D13" s="78"/>
      <c r="E13" s="75"/>
      <c r="F13" s="75"/>
      <c r="G13" s="75"/>
      <c r="H13" s="75"/>
      <c r="I13" s="75"/>
      <c r="J13" s="75"/>
      <c r="K13" s="78">
        <v>4814</v>
      </c>
      <c r="L13" s="78">
        <v>7220</v>
      </c>
      <c r="M13" s="78">
        <v>6017</v>
      </c>
      <c r="N13" s="78">
        <v>6017</v>
      </c>
      <c r="O13" s="75"/>
      <c r="P13" s="75"/>
      <c r="Q13" s="78"/>
      <c r="R13" s="78"/>
      <c r="S13" s="89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5"/>
      <c r="BF13" s="75"/>
      <c r="BG13" s="75"/>
      <c r="BH13" s="75"/>
      <c r="BI13" s="75"/>
      <c r="BJ13" s="75"/>
      <c r="BK13" s="75"/>
      <c r="BL13" s="75"/>
      <c r="BM13" s="75"/>
      <c r="BN13" s="75"/>
      <c r="BO13" s="75"/>
      <c r="BP13" s="75"/>
      <c r="BQ13" s="75"/>
      <c r="BR13" s="75"/>
      <c r="BS13" s="75"/>
      <c r="BT13" s="75"/>
      <c r="BU13" s="75"/>
      <c r="BV13" s="75"/>
      <c r="BW13" s="75"/>
      <c r="BX13" s="75"/>
      <c r="BY13" s="75"/>
      <c r="BZ13" s="75"/>
      <c r="CA13" s="75"/>
      <c r="CB13" s="75"/>
      <c r="CC13" s="75"/>
      <c r="CD13" s="75"/>
      <c r="CE13" s="75"/>
      <c r="CF13" s="75"/>
      <c r="CG13" s="75"/>
      <c r="CH13" s="75"/>
      <c r="CI13" s="75"/>
      <c r="CJ13" s="75"/>
      <c r="CK13" s="75"/>
      <c r="CL13" s="75"/>
      <c r="CM13" s="75"/>
      <c r="CN13" s="75"/>
      <c r="CO13" s="75"/>
      <c r="CP13" s="75"/>
      <c r="CQ13" s="75"/>
      <c r="CR13" s="75"/>
      <c r="CS13" s="75"/>
      <c r="CT13" s="75"/>
      <c r="CU13" s="75"/>
      <c r="CV13" s="75"/>
      <c r="CW13" s="75"/>
      <c r="CX13" s="75"/>
      <c r="CY13" s="75"/>
      <c r="CZ13" s="75"/>
      <c r="DA13" s="75"/>
      <c r="DB13" s="75"/>
      <c r="DC13" s="75"/>
      <c r="DD13" s="75"/>
    </row>
    <row r="14" spans="1:108">
      <c r="A14" s="75" t="s">
        <v>79</v>
      </c>
      <c r="B14" s="75" t="s">
        <v>80</v>
      </c>
      <c r="C14" s="75" t="s">
        <v>85</v>
      </c>
      <c r="D14" s="78"/>
      <c r="E14" s="75"/>
      <c r="F14" s="75"/>
      <c r="G14" s="75"/>
      <c r="H14" s="78">
        <v>2653</v>
      </c>
      <c r="I14" s="78">
        <v>15919</v>
      </c>
      <c r="J14" s="78">
        <v>15919</v>
      </c>
      <c r="K14" s="78">
        <v>15919</v>
      </c>
      <c r="L14" s="78">
        <v>2653</v>
      </c>
      <c r="M14" s="75"/>
      <c r="N14" s="75"/>
      <c r="O14" s="75"/>
      <c r="P14" s="75"/>
      <c r="Q14" s="75"/>
      <c r="R14" s="75"/>
      <c r="S14" s="89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5"/>
      <c r="BF14" s="75"/>
      <c r="BG14" s="75"/>
      <c r="BH14" s="75"/>
      <c r="BI14" s="75"/>
      <c r="BJ14" s="75"/>
      <c r="BK14" s="75"/>
      <c r="BL14" s="75"/>
      <c r="BM14" s="75"/>
      <c r="BN14" s="75"/>
      <c r="BO14" s="75"/>
      <c r="BP14" s="75"/>
      <c r="BQ14" s="75"/>
      <c r="BR14" s="75"/>
      <c r="BS14" s="75"/>
      <c r="BT14" s="75"/>
      <c r="BU14" s="75"/>
      <c r="BV14" s="75"/>
      <c r="BW14" s="75"/>
      <c r="BX14" s="75"/>
      <c r="BY14" s="75"/>
      <c r="BZ14" s="75"/>
      <c r="CA14" s="75"/>
      <c r="CB14" s="75"/>
      <c r="CC14" s="75"/>
      <c r="CD14" s="75"/>
      <c r="CE14" s="75"/>
      <c r="CF14" s="75"/>
      <c r="CG14" s="75"/>
      <c r="CH14" s="75"/>
      <c r="CI14" s="75"/>
      <c r="CJ14" s="75"/>
      <c r="CK14" s="75"/>
      <c r="CL14" s="75"/>
      <c r="CM14" s="75"/>
      <c r="CN14" s="75"/>
      <c r="CO14" s="75"/>
      <c r="CP14" s="75"/>
      <c r="CQ14" s="75"/>
      <c r="CR14" s="75"/>
      <c r="CS14" s="75"/>
      <c r="CT14" s="75"/>
      <c r="CU14" s="75"/>
      <c r="CV14" s="75"/>
      <c r="CW14" s="75"/>
      <c r="CX14" s="75"/>
      <c r="CY14" s="75"/>
      <c r="CZ14" s="75"/>
      <c r="DA14" s="75"/>
      <c r="DB14" s="75"/>
      <c r="DC14" s="75"/>
      <c r="DD14" s="75"/>
    </row>
    <row r="15" spans="1:108">
      <c r="A15" s="75" t="s">
        <v>86</v>
      </c>
      <c r="B15" s="75"/>
      <c r="C15" s="75"/>
      <c r="D15" s="78"/>
      <c r="E15" s="78"/>
      <c r="F15" s="75"/>
      <c r="G15" s="75"/>
      <c r="H15" s="75"/>
      <c r="I15" s="75"/>
      <c r="J15" s="75"/>
      <c r="K15" s="75"/>
      <c r="L15" s="75"/>
      <c r="M15" s="75"/>
      <c r="N15" s="75"/>
      <c r="O15" s="78">
        <v>26152</v>
      </c>
      <c r="P15" s="78">
        <v>65145</v>
      </c>
      <c r="Q15" s="78">
        <v>221123</v>
      </c>
      <c r="R15" s="78">
        <v>151675</v>
      </c>
      <c r="S15" s="89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5"/>
      <c r="BF15" s="75"/>
      <c r="BG15" s="75"/>
      <c r="BH15" s="75"/>
      <c r="BI15" s="75"/>
      <c r="BJ15" s="75"/>
      <c r="BK15" s="75"/>
      <c r="BL15" s="75"/>
      <c r="BM15" s="75"/>
      <c r="BN15" s="75"/>
      <c r="BO15" s="75"/>
      <c r="BP15" s="75"/>
      <c r="BQ15" s="75"/>
      <c r="BR15" s="75"/>
      <c r="BS15" s="75"/>
      <c r="BT15" s="75"/>
      <c r="BU15" s="75"/>
      <c r="BV15" s="75"/>
      <c r="BW15" s="75"/>
      <c r="BX15" s="75"/>
      <c r="BY15" s="75"/>
      <c r="BZ15" s="75"/>
      <c r="CA15" s="75"/>
      <c r="CB15" s="75"/>
      <c r="CC15" s="75"/>
      <c r="CD15" s="75"/>
      <c r="CE15" s="75"/>
      <c r="CF15" s="75"/>
      <c r="CG15" s="75"/>
      <c r="CH15" s="75"/>
      <c r="CI15" s="75"/>
      <c r="CJ15" s="75"/>
      <c r="CK15" s="75"/>
      <c r="CL15" s="75"/>
      <c r="CM15" s="75"/>
      <c r="CN15" s="75"/>
      <c r="CO15" s="75"/>
      <c r="CP15" s="75"/>
      <c r="CQ15" s="75"/>
      <c r="CR15" s="75"/>
      <c r="CS15" s="75"/>
      <c r="CT15" s="75"/>
      <c r="CU15" s="75"/>
      <c r="CV15" s="75"/>
      <c r="CW15" s="75"/>
      <c r="CX15" s="75"/>
      <c r="CY15" s="75"/>
      <c r="CZ15" s="75"/>
      <c r="DA15" s="75"/>
      <c r="DB15" s="75"/>
      <c r="DC15" s="75"/>
      <c r="DD15" s="75"/>
    </row>
    <row r="16" spans="1:108">
      <c r="A16" s="75" t="s">
        <v>95</v>
      </c>
      <c r="B16" s="75" t="s">
        <v>137</v>
      </c>
      <c r="C16" s="75" t="s">
        <v>85</v>
      </c>
      <c r="D16" s="75"/>
      <c r="E16" s="75"/>
      <c r="F16" s="75"/>
      <c r="G16" s="75"/>
      <c r="H16" s="75"/>
      <c r="I16" s="75"/>
      <c r="J16" s="78"/>
      <c r="K16" s="78"/>
      <c r="L16" s="78"/>
      <c r="M16" s="75"/>
      <c r="N16" s="75"/>
      <c r="O16" s="78">
        <v>1098</v>
      </c>
      <c r="P16" s="78">
        <v>6588</v>
      </c>
      <c r="Q16" s="75"/>
      <c r="R16" s="75"/>
      <c r="S16" s="89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5"/>
      <c r="BF16" s="75"/>
      <c r="BG16" s="75"/>
      <c r="BH16" s="75"/>
      <c r="BI16" s="75"/>
      <c r="BJ16" s="75"/>
      <c r="BK16" s="75"/>
      <c r="BL16" s="75"/>
      <c r="BM16" s="75"/>
      <c r="BN16" s="75"/>
      <c r="BO16" s="75"/>
      <c r="BP16" s="75"/>
      <c r="BQ16" s="75"/>
      <c r="BR16" s="75"/>
      <c r="BS16" s="75"/>
      <c r="BT16" s="75"/>
      <c r="BU16" s="75"/>
      <c r="BV16" s="75"/>
      <c r="BW16" s="75"/>
      <c r="BX16" s="75"/>
      <c r="BY16" s="75"/>
      <c r="BZ16" s="75"/>
      <c r="CA16" s="75"/>
      <c r="CB16" s="75"/>
      <c r="CC16" s="75"/>
      <c r="CD16" s="75"/>
      <c r="CE16" s="75"/>
      <c r="CF16" s="75"/>
      <c r="CG16" s="75"/>
      <c r="CH16" s="75"/>
      <c r="CI16" s="75"/>
      <c r="CJ16" s="75"/>
      <c r="CK16" s="75"/>
      <c r="CL16" s="75"/>
      <c r="CM16" s="75"/>
      <c r="CN16" s="75"/>
      <c r="CO16" s="75"/>
      <c r="CP16" s="75"/>
      <c r="CQ16" s="75"/>
      <c r="CR16" s="75"/>
      <c r="CS16" s="75"/>
      <c r="CT16" s="75"/>
      <c r="CU16" s="75"/>
      <c r="CV16" s="75"/>
      <c r="CW16" s="75"/>
      <c r="CX16" s="75"/>
      <c r="CY16" s="75"/>
      <c r="CZ16" s="75"/>
      <c r="DA16" s="75"/>
      <c r="DB16" s="75"/>
      <c r="DC16" s="75"/>
      <c r="DD16" s="75"/>
    </row>
    <row r="17" spans="1:108">
      <c r="A17" s="75" t="s">
        <v>87</v>
      </c>
      <c r="B17" s="75" t="s">
        <v>88</v>
      </c>
      <c r="C17" s="75" t="s">
        <v>85</v>
      </c>
      <c r="D17" s="75"/>
      <c r="E17" s="75"/>
      <c r="F17" s="75"/>
      <c r="G17" s="75"/>
      <c r="H17" s="75"/>
      <c r="I17" s="75"/>
      <c r="J17" s="75"/>
      <c r="K17" s="75"/>
      <c r="L17" s="75"/>
      <c r="M17" s="78"/>
      <c r="N17" s="75"/>
      <c r="O17" s="78">
        <v>25054</v>
      </c>
      <c r="P17" s="75"/>
      <c r="Q17" s="75"/>
      <c r="R17" s="75"/>
      <c r="S17" s="89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5"/>
      <c r="BK17" s="75"/>
      <c r="BL17" s="75"/>
      <c r="BM17" s="75"/>
      <c r="BN17" s="75"/>
      <c r="BO17" s="75"/>
      <c r="BP17" s="75"/>
      <c r="BQ17" s="75"/>
      <c r="BR17" s="75"/>
      <c r="BS17" s="75"/>
      <c r="BT17" s="75"/>
      <c r="BU17" s="75"/>
      <c r="BV17" s="75"/>
      <c r="BW17" s="75"/>
      <c r="BX17" s="75"/>
      <c r="BY17" s="75"/>
      <c r="BZ17" s="75"/>
      <c r="CA17" s="75"/>
      <c r="CB17" s="75"/>
      <c r="CC17" s="75"/>
      <c r="CD17" s="75"/>
      <c r="CE17" s="75"/>
      <c r="CF17" s="75"/>
      <c r="CG17" s="75"/>
      <c r="CH17" s="75"/>
      <c r="CI17" s="75"/>
      <c r="CJ17" s="75"/>
      <c r="CK17" s="75"/>
      <c r="CL17" s="75"/>
      <c r="CM17" s="75"/>
      <c r="CN17" s="75"/>
      <c r="CO17" s="75"/>
      <c r="CP17" s="75"/>
      <c r="CQ17" s="75"/>
      <c r="CR17" s="75"/>
      <c r="CS17" s="75"/>
      <c r="CT17" s="75"/>
      <c r="CU17" s="75"/>
      <c r="CV17" s="75"/>
      <c r="CW17" s="75"/>
      <c r="CX17" s="75"/>
      <c r="CY17" s="75"/>
      <c r="CZ17" s="75"/>
      <c r="DA17" s="75"/>
      <c r="DB17" s="75"/>
      <c r="DC17" s="75"/>
      <c r="DD17" s="75"/>
    </row>
    <row r="18" spans="1:108">
      <c r="A18" s="75" t="s">
        <v>91</v>
      </c>
      <c r="B18" s="75" t="s">
        <v>94</v>
      </c>
      <c r="C18" s="75" t="s">
        <v>85</v>
      </c>
      <c r="D18" s="75"/>
      <c r="E18" s="75"/>
      <c r="F18" s="75"/>
      <c r="G18" s="75"/>
      <c r="H18" s="75"/>
      <c r="I18" s="78"/>
      <c r="J18" s="78"/>
      <c r="K18" s="78"/>
      <c r="L18" s="75"/>
      <c r="M18" s="75"/>
      <c r="N18" s="75"/>
      <c r="O18" s="75"/>
      <c r="P18" s="78">
        <v>14600</v>
      </c>
      <c r="Q18" s="78">
        <v>29201</v>
      </c>
      <c r="R18" s="78">
        <v>4867</v>
      </c>
      <c r="S18" s="89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5"/>
      <c r="BF18" s="75"/>
      <c r="BG18" s="75"/>
      <c r="BH18" s="75"/>
      <c r="BI18" s="75"/>
      <c r="BJ18" s="75"/>
      <c r="BK18" s="75"/>
      <c r="BL18" s="75"/>
      <c r="BM18" s="75"/>
      <c r="BN18" s="75"/>
      <c r="BO18" s="75"/>
      <c r="BP18" s="75"/>
      <c r="BQ18" s="75"/>
      <c r="BR18" s="75"/>
      <c r="BS18" s="75"/>
      <c r="BT18" s="75"/>
      <c r="BU18" s="75"/>
      <c r="BV18" s="75"/>
      <c r="BW18" s="75"/>
      <c r="BX18" s="75"/>
      <c r="BY18" s="75"/>
      <c r="BZ18" s="75"/>
      <c r="CA18" s="75"/>
      <c r="CB18" s="75"/>
      <c r="CC18" s="75"/>
      <c r="CD18" s="75"/>
      <c r="CE18" s="75"/>
      <c r="CF18" s="75"/>
      <c r="CG18" s="75"/>
      <c r="CH18" s="75"/>
      <c r="CI18" s="75"/>
      <c r="CJ18" s="75"/>
      <c r="CK18" s="75"/>
      <c r="CL18" s="75"/>
      <c r="CM18" s="75"/>
      <c r="CN18" s="75"/>
      <c r="CO18" s="75"/>
      <c r="CP18" s="75"/>
      <c r="CQ18" s="75"/>
      <c r="CR18" s="75"/>
      <c r="CS18" s="75"/>
      <c r="CT18" s="75"/>
      <c r="CU18" s="75"/>
      <c r="CV18" s="75"/>
      <c r="CW18" s="75"/>
      <c r="CX18" s="75"/>
      <c r="CY18" s="75"/>
      <c r="CZ18" s="75"/>
      <c r="DA18" s="75"/>
      <c r="DB18" s="75"/>
      <c r="DC18" s="75"/>
      <c r="DD18" s="75"/>
    </row>
    <row r="19" spans="1:108">
      <c r="A19" s="75" t="s">
        <v>91</v>
      </c>
      <c r="B19" s="75" t="s">
        <v>94</v>
      </c>
      <c r="C19" s="75" t="s">
        <v>85</v>
      </c>
      <c r="D19" s="75"/>
      <c r="E19" s="75"/>
      <c r="F19" s="75"/>
      <c r="G19" s="75"/>
      <c r="H19" s="75"/>
      <c r="I19" s="75"/>
      <c r="J19" s="75"/>
      <c r="K19" s="75"/>
      <c r="L19" s="75"/>
      <c r="M19" s="78"/>
      <c r="N19" s="78"/>
      <c r="O19" s="78"/>
      <c r="P19" s="78">
        <v>2352</v>
      </c>
      <c r="Q19" s="78">
        <v>4705</v>
      </c>
      <c r="R19" s="75">
        <v>784</v>
      </c>
      <c r="S19" s="89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5"/>
      <c r="BF19" s="75"/>
      <c r="BG19" s="75"/>
      <c r="BH19" s="75"/>
      <c r="BI19" s="75"/>
      <c r="BJ19" s="75"/>
      <c r="BK19" s="75"/>
      <c r="BL19" s="75"/>
      <c r="BM19" s="75"/>
      <c r="BN19" s="75"/>
      <c r="BO19" s="75"/>
      <c r="BP19" s="75"/>
      <c r="BQ19" s="75"/>
      <c r="BR19" s="75"/>
      <c r="BS19" s="75"/>
      <c r="BT19" s="75"/>
      <c r="BU19" s="75"/>
      <c r="BV19" s="75"/>
      <c r="BW19" s="75"/>
      <c r="BX19" s="75"/>
      <c r="BY19" s="75"/>
      <c r="BZ19" s="75"/>
      <c r="CA19" s="75"/>
      <c r="CB19" s="75"/>
      <c r="CC19" s="75"/>
      <c r="CD19" s="75"/>
      <c r="CE19" s="75"/>
      <c r="CF19" s="75"/>
      <c r="CG19" s="75"/>
      <c r="CH19" s="75"/>
      <c r="CI19" s="75"/>
      <c r="CJ19" s="75"/>
      <c r="CK19" s="75"/>
      <c r="CL19" s="75"/>
      <c r="CM19" s="75"/>
      <c r="CN19" s="75"/>
      <c r="CO19" s="75"/>
      <c r="CP19" s="75"/>
      <c r="CQ19" s="75"/>
      <c r="CR19" s="75"/>
      <c r="CS19" s="75"/>
      <c r="CT19" s="75"/>
      <c r="CU19" s="75"/>
      <c r="CV19" s="75"/>
      <c r="CW19" s="75"/>
      <c r="CX19" s="75"/>
      <c r="CY19" s="75"/>
      <c r="CZ19" s="75"/>
      <c r="DA19" s="75"/>
      <c r="DB19" s="75"/>
      <c r="DC19" s="75"/>
      <c r="DD19" s="75"/>
    </row>
    <row r="20" spans="1:108">
      <c r="A20" s="75" t="s">
        <v>91</v>
      </c>
      <c r="B20" s="75" t="s">
        <v>94</v>
      </c>
      <c r="C20" s="75" t="s">
        <v>85</v>
      </c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8"/>
      <c r="O20" s="75"/>
      <c r="P20" s="75">
        <v>344</v>
      </c>
      <c r="Q20" s="75">
        <v>689</v>
      </c>
      <c r="R20" s="75">
        <v>115</v>
      </c>
      <c r="S20" s="89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75"/>
      <c r="BF20" s="75"/>
      <c r="BG20" s="75"/>
      <c r="BH20" s="75"/>
      <c r="BI20" s="75"/>
      <c r="BJ20" s="75"/>
      <c r="BK20" s="75"/>
      <c r="BL20" s="75"/>
      <c r="BM20" s="75"/>
      <c r="BN20" s="75"/>
      <c r="BO20" s="75"/>
      <c r="BP20" s="75"/>
      <c r="BQ20" s="75"/>
      <c r="BR20" s="75"/>
      <c r="BS20" s="75"/>
      <c r="BT20" s="75"/>
      <c r="BU20" s="75"/>
      <c r="BV20" s="75"/>
      <c r="BW20" s="75"/>
      <c r="BX20" s="75"/>
      <c r="BY20" s="75"/>
      <c r="BZ20" s="75"/>
      <c r="CA20" s="75"/>
      <c r="CB20" s="75"/>
      <c r="CC20" s="75"/>
      <c r="CD20" s="75"/>
      <c r="CE20" s="75"/>
      <c r="CF20" s="75"/>
      <c r="CG20" s="75"/>
      <c r="CH20" s="75"/>
      <c r="CI20" s="75"/>
      <c r="CJ20" s="75"/>
      <c r="CK20" s="75"/>
      <c r="CL20" s="75"/>
      <c r="CM20" s="75"/>
      <c r="CN20" s="75"/>
      <c r="CO20" s="75"/>
      <c r="CP20" s="75"/>
      <c r="CQ20" s="75"/>
      <c r="CR20" s="75"/>
      <c r="CS20" s="75"/>
      <c r="CT20" s="75"/>
      <c r="CU20" s="75"/>
      <c r="CV20" s="75"/>
      <c r="CW20" s="75"/>
      <c r="CX20" s="75"/>
      <c r="CY20" s="75"/>
      <c r="CZ20" s="75"/>
      <c r="DA20" s="75"/>
      <c r="DB20" s="75"/>
      <c r="DC20" s="75"/>
      <c r="DD20" s="75"/>
    </row>
    <row r="21" spans="1:108">
      <c r="A21" s="75" t="s">
        <v>89</v>
      </c>
      <c r="B21" s="75" t="s">
        <v>92</v>
      </c>
      <c r="C21" s="75" t="s">
        <v>85</v>
      </c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8">
        <v>33929</v>
      </c>
      <c r="Q21" s="78">
        <v>67859</v>
      </c>
      <c r="R21" s="78">
        <v>33929</v>
      </c>
      <c r="S21" s="89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5"/>
      <c r="BF21" s="75"/>
      <c r="BG21" s="75"/>
      <c r="BH21" s="75"/>
      <c r="BI21" s="75"/>
      <c r="BJ21" s="75"/>
      <c r="BK21" s="75"/>
      <c r="BL21" s="75"/>
      <c r="BM21" s="75"/>
      <c r="BN21" s="75"/>
      <c r="BO21" s="75"/>
      <c r="BP21" s="75"/>
      <c r="BQ21" s="75"/>
      <c r="BR21" s="75"/>
      <c r="BS21" s="75"/>
      <c r="BT21" s="75"/>
      <c r="BU21" s="75"/>
      <c r="BV21" s="75"/>
      <c r="BW21" s="75"/>
      <c r="BX21" s="75"/>
      <c r="BY21" s="75"/>
      <c r="BZ21" s="75"/>
      <c r="CA21" s="75"/>
      <c r="CB21" s="75"/>
      <c r="CC21" s="75"/>
      <c r="CD21" s="75"/>
      <c r="CE21" s="75"/>
      <c r="CF21" s="75"/>
      <c r="CG21" s="75"/>
      <c r="CH21" s="75"/>
      <c r="CI21" s="75"/>
      <c r="CJ21" s="75"/>
      <c r="CK21" s="75"/>
      <c r="CL21" s="75"/>
      <c r="CM21" s="75"/>
      <c r="CN21" s="75"/>
      <c r="CO21" s="75"/>
      <c r="CP21" s="75"/>
      <c r="CQ21" s="75"/>
      <c r="CR21" s="75"/>
      <c r="CS21" s="75"/>
      <c r="CT21" s="75"/>
      <c r="CU21" s="75"/>
      <c r="CV21" s="75"/>
      <c r="CW21" s="75"/>
      <c r="CX21" s="75"/>
      <c r="CY21" s="75"/>
      <c r="CZ21" s="75"/>
      <c r="DA21" s="75"/>
      <c r="DB21" s="75"/>
      <c r="DC21" s="75"/>
      <c r="DD21" s="75"/>
    </row>
    <row r="22" spans="1:108">
      <c r="A22" s="75" t="s">
        <v>89</v>
      </c>
      <c r="B22" s="75" t="s">
        <v>92</v>
      </c>
      <c r="C22" s="75" t="s">
        <v>85</v>
      </c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8">
        <v>3208</v>
      </c>
      <c r="Q22" s="78">
        <v>6415</v>
      </c>
      <c r="R22" s="78">
        <v>3207</v>
      </c>
      <c r="S22" s="89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  <c r="BE22" s="75"/>
      <c r="BF22" s="75"/>
      <c r="BG22" s="75"/>
      <c r="BH22" s="75"/>
      <c r="BI22" s="75"/>
      <c r="BJ22" s="75"/>
      <c r="BK22" s="75"/>
      <c r="BL22" s="75"/>
      <c r="BM22" s="75"/>
      <c r="BN22" s="75"/>
      <c r="BO22" s="75"/>
      <c r="BP22" s="75"/>
      <c r="BQ22" s="75"/>
      <c r="BR22" s="75"/>
      <c r="BS22" s="75"/>
      <c r="BT22" s="75"/>
      <c r="BU22" s="75"/>
      <c r="BV22" s="75"/>
      <c r="BW22" s="75"/>
      <c r="BX22" s="75"/>
      <c r="BY22" s="75"/>
      <c r="BZ22" s="75"/>
      <c r="CA22" s="75"/>
      <c r="CB22" s="75"/>
      <c r="CC22" s="75"/>
      <c r="CD22" s="75"/>
      <c r="CE22" s="75"/>
      <c r="CF22" s="75"/>
      <c r="CG22" s="75"/>
      <c r="CH22" s="75"/>
      <c r="CI22" s="75"/>
      <c r="CJ22" s="75"/>
      <c r="CK22" s="75"/>
      <c r="CL22" s="75"/>
      <c r="CM22" s="75"/>
      <c r="CN22" s="75"/>
      <c r="CO22" s="75"/>
      <c r="CP22" s="75"/>
      <c r="CQ22" s="75"/>
      <c r="CR22" s="75"/>
      <c r="CS22" s="75"/>
      <c r="CT22" s="75"/>
      <c r="CU22" s="75"/>
      <c r="CV22" s="75"/>
      <c r="CW22" s="75"/>
      <c r="CX22" s="75"/>
      <c r="CY22" s="75"/>
      <c r="CZ22" s="75"/>
      <c r="DA22" s="75"/>
      <c r="DB22" s="75"/>
      <c r="DC22" s="75"/>
      <c r="DD22" s="75"/>
    </row>
    <row r="23" spans="1:108">
      <c r="A23" s="75" t="s">
        <v>89</v>
      </c>
      <c r="B23" s="75" t="s">
        <v>92</v>
      </c>
      <c r="C23" s="75" t="s">
        <v>85</v>
      </c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8">
        <v>2842</v>
      </c>
      <c r="Q23" s="78">
        <v>5685</v>
      </c>
      <c r="R23" s="78">
        <v>2842</v>
      </c>
      <c r="S23" s="89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5"/>
      <c r="BF23" s="75"/>
      <c r="BG23" s="75"/>
      <c r="BH23" s="75"/>
      <c r="BI23" s="75"/>
      <c r="BJ23" s="75"/>
      <c r="BK23" s="75"/>
      <c r="BL23" s="75"/>
      <c r="BM23" s="75"/>
      <c r="BN23" s="75"/>
      <c r="BO23" s="75"/>
      <c r="BP23" s="75"/>
      <c r="BQ23" s="75"/>
      <c r="BR23" s="75"/>
      <c r="BS23" s="75"/>
      <c r="BT23" s="75"/>
      <c r="BU23" s="75"/>
      <c r="BV23" s="75"/>
      <c r="BW23" s="75"/>
      <c r="BX23" s="75"/>
      <c r="BY23" s="75"/>
      <c r="BZ23" s="75"/>
      <c r="CA23" s="75"/>
      <c r="CB23" s="75"/>
      <c r="CC23" s="75"/>
      <c r="CD23" s="75"/>
      <c r="CE23" s="75"/>
      <c r="CF23" s="75"/>
      <c r="CG23" s="75"/>
      <c r="CH23" s="75"/>
      <c r="CI23" s="75"/>
      <c r="CJ23" s="75"/>
      <c r="CK23" s="75"/>
      <c r="CL23" s="75"/>
      <c r="CM23" s="75"/>
      <c r="CN23" s="75"/>
      <c r="CO23" s="75"/>
      <c r="CP23" s="75"/>
      <c r="CQ23" s="75"/>
      <c r="CR23" s="75"/>
      <c r="CS23" s="75"/>
      <c r="CT23" s="75"/>
      <c r="CU23" s="75"/>
      <c r="CV23" s="75"/>
      <c r="CW23" s="75"/>
      <c r="CX23" s="75"/>
      <c r="CY23" s="75"/>
      <c r="CZ23" s="75"/>
      <c r="DA23" s="75"/>
      <c r="DB23" s="75"/>
      <c r="DC23" s="75"/>
      <c r="DD23" s="75"/>
    </row>
    <row r="24" spans="1:108">
      <c r="A24" s="75" t="s">
        <v>138</v>
      </c>
      <c r="B24" s="75" t="s">
        <v>90</v>
      </c>
      <c r="C24" s="75" t="s">
        <v>85</v>
      </c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8"/>
      <c r="P24" s="78"/>
      <c r="Q24" s="78">
        <v>94248</v>
      </c>
      <c r="R24" s="78">
        <v>94248</v>
      </c>
      <c r="S24" s="89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5"/>
      <c r="BF24" s="75"/>
      <c r="BG24" s="75"/>
      <c r="BH24" s="75"/>
      <c r="BI24" s="75"/>
      <c r="BJ24" s="75"/>
      <c r="BK24" s="75"/>
      <c r="BL24" s="75"/>
      <c r="BM24" s="75"/>
      <c r="BN24" s="75"/>
      <c r="BO24" s="75"/>
      <c r="BP24" s="75"/>
      <c r="BQ24" s="75"/>
      <c r="BR24" s="75"/>
      <c r="BS24" s="75"/>
      <c r="BT24" s="75"/>
      <c r="BU24" s="75"/>
      <c r="BV24" s="75"/>
      <c r="BW24" s="75"/>
      <c r="BX24" s="75"/>
      <c r="BY24" s="75"/>
      <c r="BZ24" s="75"/>
      <c r="CA24" s="75"/>
      <c r="CB24" s="75"/>
      <c r="CC24" s="75"/>
      <c r="CD24" s="75"/>
      <c r="CE24" s="75"/>
      <c r="CF24" s="75"/>
      <c r="CG24" s="75"/>
      <c r="CH24" s="75"/>
      <c r="CI24" s="75"/>
      <c r="CJ24" s="75"/>
      <c r="CK24" s="75"/>
      <c r="CL24" s="75"/>
      <c r="CM24" s="75"/>
      <c r="CN24" s="75"/>
      <c r="CO24" s="75"/>
      <c r="CP24" s="75"/>
      <c r="CQ24" s="75"/>
      <c r="CR24" s="75"/>
      <c r="CS24" s="75"/>
      <c r="CT24" s="75"/>
      <c r="CU24" s="75"/>
      <c r="CV24" s="75"/>
      <c r="CW24" s="75"/>
      <c r="CX24" s="75"/>
      <c r="CY24" s="75"/>
      <c r="CZ24" s="75"/>
      <c r="DA24" s="75"/>
      <c r="DB24" s="75"/>
      <c r="DC24" s="75"/>
      <c r="DD24" s="75"/>
    </row>
    <row r="25" spans="1:108">
      <c r="A25" s="75" t="s">
        <v>138</v>
      </c>
      <c r="B25" s="75" t="s">
        <v>90</v>
      </c>
      <c r="C25" s="75" t="s">
        <v>85</v>
      </c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8"/>
      <c r="P25" s="78"/>
      <c r="Q25" s="78">
        <v>5940</v>
      </c>
      <c r="R25" s="78">
        <v>5940</v>
      </c>
      <c r="S25" s="89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5"/>
      <c r="BF25" s="75"/>
      <c r="BG25" s="75"/>
      <c r="BH25" s="75"/>
      <c r="BI25" s="75"/>
      <c r="BJ25" s="75"/>
      <c r="BK25" s="75"/>
      <c r="BL25" s="75"/>
      <c r="BM25" s="75"/>
      <c r="BN25" s="75"/>
      <c r="BO25" s="75"/>
      <c r="BP25" s="75"/>
      <c r="BQ25" s="75"/>
      <c r="BR25" s="75"/>
      <c r="BS25" s="75"/>
      <c r="BT25" s="75"/>
      <c r="BU25" s="75"/>
      <c r="BV25" s="75"/>
      <c r="BW25" s="75"/>
      <c r="BX25" s="75"/>
      <c r="BY25" s="75"/>
      <c r="BZ25" s="75"/>
      <c r="CA25" s="75"/>
      <c r="CB25" s="75"/>
      <c r="CC25" s="75"/>
      <c r="CD25" s="75"/>
      <c r="CE25" s="75"/>
      <c r="CF25" s="75"/>
      <c r="CG25" s="75"/>
      <c r="CH25" s="75"/>
      <c r="CI25" s="75"/>
      <c r="CJ25" s="75"/>
      <c r="CK25" s="75"/>
      <c r="CL25" s="75"/>
      <c r="CM25" s="75"/>
      <c r="CN25" s="75"/>
      <c r="CO25" s="75"/>
      <c r="CP25" s="75"/>
      <c r="CQ25" s="75"/>
      <c r="CR25" s="75"/>
      <c r="CS25" s="75"/>
      <c r="CT25" s="75"/>
      <c r="CU25" s="75"/>
      <c r="CV25" s="75"/>
      <c r="CW25" s="75"/>
      <c r="CX25" s="75"/>
      <c r="CY25" s="75"/>
      <c r="CZ25" s="75"/>
      <c r="DA25" s="75"/>
      <c r="DB25" s="75"/>
      <c r="DC25" s="75"/>
      <c r="DD25" s="75"/>
    </row>
    <row r="26" spans="1:108">
      <c r="A26" s="75" t="s">
        <v>138</v>
      </c>
      <c r="B26" s="75" t="s">
        <v>90</v>
      </c>
      <c r="C26" s="75" t="s">
        <v>85</v>
      </c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8"/>
      <c r="Q26" s="78">
        <v>5742</v>
      </c>
      <c r="R26" s="78">
        <v>5742</v>
      </c>
      <c r="S26" s="89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75"/>
      <c r="BL26" s="75"/>
      <c r="BM26" s="75"/>
      <c r="BN26" s="75"/>
      <c r="BO26" s="75"/>
      <c r="BP26" s="75"/>
      <c r="BQ26" s="75"/>
      <c r="BR26" s="75"/>
      <c r="BS26" s="75"/>
      <c r="BT26" s="75"/>
      <c r="BU26" s="75"/>
      <c r="BV26" s="75"/>
      <c r="BW26" s="75"/>
      <c r="BX26" s="75"/>
      <c r="BY26" s="75"/>
      <c r="BZ26" s="75"/>
      <c r="CA26" s="75"/>
      <c r="CB26" s="75"/>
      <c r="CC26" s="75"/>
      <c r="CD26" s="75"/>
      <c r="CE26" s="75"/>
      <c r="CF26" s="75"/>
      <c r="CG26" s="75"/>
      <c r="CH26" s="75"/>
      <c r="CI26" s="75"/>
      <c r="CJ26" s="75"/>
      <c r="CK26" s="75"/>
      <c r="CL26" s="75"/>
      <c r="CM26" s="75"/>
      <c r="CN26" s="75"/>
      <c r="CO26" s="75"/>
      <c r="CP26" s="75"/>
      <c r="CQ26" s="75"/>
      <c r="CR26" s="75"/>
      <c r="CS26" s="75"/>
      <c r="CT26" s="75"/>
      <c r="CU26" s="75"/>
      <c r="CV26" s="75"/>
      <c r="CW26" s="75"/>
      <c r="CX26" s="75"/>
      <c r="CY26" s="75"/>
      <c r="CZ26" s="75"/>
      <c r="DA26" s="75"/>
      <c r="DB26" s="75"/>
      <c r="DC26" s="75"/>
      <c r="DD26" s="75"/>
    </row>
    <row r="27" spans="1:108">
      <c r="A27" s="75" t="s">
        <v>93</v>
      </c>
      <c r="B27" s="75" t="s">
        <v>139</v>
      </c>
      <c r="C27" s="75" t="s">
        <v>85</v>
      </c>
      <c r="D27" s="75"/>
      <c r="E27" s="75"/>
      <c r="F27" s="75"/>
      <c r="G27" s="75"/>
      <c r="H27" s="75"/>
      <c r="I27" s="75"/>
      <c r="J27" s="75"/>
      <c r="K27" s="75"/>
      <c r="L27" s="75"/>
      <c r="M27" s="78"/>
      <c r="N27" s="78"/>
      <c r="O27" s="75"/>
      <c r="P27" s="78">
        <v>1281</v>
      </c>
      <c r="Q27" s="75">
        <v>641</v>
      </c>
      <c r="R27" s="75"/>
      <c r="S27" s="89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5"/>
      <c r="BF27" s="75"/>
      <c r="BG27" s="75"/>
      <c r="BH27" s="75"/>
      <c r="BI27" s="75"/>
      <c r="BJ27" s="75"/>
      <c r="BK27" s="75"/>
      <c r="BL27" s="75"/>
      <c r="BM27" s="75"/>
      <c r="BN27" s="75"/>
      <c r="BO27" s="75"/>
      <c r="BP27" s="75"/>
      <c r="BQ27" s="75"/>
      <c r="BR27" s="75"/>
      <c r="BS27" s="75"/>
      <c r="BT27" s="75"/>
      <c r="BU27" s="75"/>
      <c r="BV27" s="75"/>
      <c r="BW27" s="75"/>
      <c r="BX27" s="75"/>
      <c r="BY27" s="75"/>
      <c r="BZ27" s="75"/>
      <c r="CA27" s="75"/>
      <c r="CB27" s="75"/>
      <c r="CC27" s="75"/>
      <c r="CD27" s="75"/>
      <c r="CE27" s="75"/>
      <c r="CF27" s="75"/>
      <c r="CG27" s="75"/>
      <c r="CH27" s="75"/>
      <c r="CI27" s="75"/>
      <c r="CJ27" s="75"/>
      <c r="CK27" s="75"/>
      <c r="CL27" s="75"/>
      <c r="CM27" s="75"/>
      <c r="CN27" s="75"/>
      <c r="CO27" s="75"/>
      <c r="CP27" s="75"/>
      <c r="CQ27" s="75"/>
      <c r="CR27" s="75"/>
      <c r="CS27" s="75"/>
      <c r="CT27" s="75"/>
      <c r="CU27" s="75"/>
      <c r="CV27" s="75"/>
      <c r="CW27" s="75"/>
      <c r="CX27" s="75"/>
      <c r="CY27" s="75"/>
      <c r="CZ27" s="75"/>
      <c r="DA27" s="75"/>
      <c r="DB27" s="75"/>
      <c r="DC27" s="75"/>
      <c r="DD27" s="75"/>
    </row>
    <row r="28" spans="1:108">
      <c r="A28" s="75" t="s">
        <v>140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8"/>
      <c r="O28" s="78"/>
      <c r="P28" s="75"/>
      <c r="Q28" s="75"/>
      <c r="R28" s="78">
        <v>22031</v>
      </c>
      <c r="S28" s="88">
        <v>81300</v>
      </c>
      <c r="T28" s="78">
        <v>111970</v>
      </c>
      <c r="U28" s="78">
        <v>12632</v>
      </c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75"/>
      <c r="BI28" s="75"/>
      <c r="BJ28" s="75"/>
      <c r="BK28" s="75"/>
      <c r="BL28" s="75"/>
      <c r="BM28" s="75"/>
      <c r="BN28" s="75"/>
      <c r="BO28" s="75"/>
      <c r="BP28" s="75"/>
      <c r="BQ28" s="75"/>
      <c r="BR28" s="75"/>
      <c r="BS28" s="75"/>
      <c r="BT28" s="75"/>
      <c r="BU28" s="75"/>
      <c r="BV28" s="75"/>
      <c r="BW28" s="75"/>
      <c r="BX28" s="75"/>
      <c r="BY28" s="75"/>
      <c r="BZ28" s="75"/>
      <c r="CA28" s="75"/>
      <c r="CB28" s="75"/>
      <c r="CC28" s="75"/>
      <c r="CD28" s="75"/>
      <c r="CE28" s="75"/>
      <c r="CF28" s="75"/>
      <c r="CG28" s="75"/>
      <c r="CH28" s="75"/>
      <c r="CI28" s="75"/>
      <c r="CJ28" s="75"/>
      <c r="CK28" s="75"/>
      <c r="CL28" s="75"/>
      <c r="CM28" s="75"/>
      <c r="CN28" s="75"/>
      <c r="CO28" s="75"/>
      <c r="CP28" s="75"/>
      <c r="CQ28" s="75"/>
      <c r="CR28" s="75"/>
      <c r="CS28" s="75"/>
      <c r="CT28" s="75"/>
      <c r="CU28" s="75"/>
      <c r="CV28" s="75"/>
      <c r="CW28" s="75"/>
      <c r="CX28" s="75"/>
      <c r="CY28" s="75"/>
      <c r="CZ28" s="75"/>
      <c r="DA28" s="75"/>
      <c r="DB28" s="75"/>
      <c r="DC28" s="75"/>
      <c r="DD28" s="75"/>
    </row>
    <row r="29" spans="1:108">
      <c r="A29" s="75" t="s">
        <v>141</v>
      </c>
      <c r="B29" s="75" t="s">
        <v>142</v>
      </c>
      <c r="C29" s="75" t="s">
        <v>85</v>
      </c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8"/>
      <c r="S29" s="88"/>
      <c r="T29" s="78">
        <v>7525</v>
      </c>
      <c r="U29" s="78">
        <v>3763</v>
      </c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5"/>
      <c r="BF29" s="75"/>
      <c r="BG29" s="75"/>
      <c r="BH29" s="75"/>
      <c r="BI29" s="75"/>
      <c r="BJ29" s="75"/>
      <c r="BK29" s="75"/>
      <c r="BL29" s="75"/>
      <c r="BM29" s="75"/>
      <c r="BN29" s="75"/>
      <c r="BO29" s="75"/>
      <c r="BP29" s="75"/>
      <c r="BQ29" s="75"/>
      <c r="BR29" s="75"/>
      <c r="BS29" s="75"/>
      <c r="BT29" s="75"/>
      <c r="BU29" s="75"/>
      <c r="BV29" s="75"/>
      <c r="BW29" s="75"/>
      <c r="BX29" s="75"/>
      <c r="BY29" s="75"/>
      <c r="BZ29" s="75"/>
      <c r="CA29" s="75"/>
      <c r="CB29" s="75"/>
      <c r="CC29" s="75"/>
      <c r="CD29" s="75"/>
      <c r="CE29" s="75"/>
      <c r="CF29" s="75"/>
      <c r="CG29" s="75"/>
      <c r="CH29" s="75"/>
      <c r="CI29" s="75"/>
      <c r="CJ29" s="75"/>
      <c r="CK29" s="75"/>
      <c r="CL29" s="75"/>
      <c r="CM29" s="75"/>
      <c r="CN29" s="75"/>
      <c r="CO29" s="75"/>
      <c r="CP29" s="75"/>
      <c r="CQ29" s="75"/>
      <c r="CR29" s="75"/>
      <c r="CS29" s="75"/>
      <c r="CT29" s="75"/>
      <c r="CU29" s="75"/>
      <c r="CV29" s="75"/>
      <c r="CW29" s="75"/>
      <c r="CX29" s="75"/>
      <c r="CY29" s="75"/>
      <c r="CZ29" s="75"/>
      <c r="DA29" s="75"/>
      <c r="DB29" s="75"/>
      <c r="DC29" s="75"/>
      <c r="DD29" s="75"/>
    </row>
    <row r="30" spans="1:108">
      <c r="A30" s="75" t="s">
        <v>141</v>
      </c>
      <c r="B30" s="75" t="s">
        <v>142</v>
      </c>
      <c r="C30" s="75" t="s">
        <v>85</v>
      </c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89"/>
      <c r="T30" s="78">
        <v>9031</v>
      </c>
      <c r="U30" s="78">
        <v>4515</v>
      </c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75"/>
      <c r="BL30" s="75"/>
      <c r="BM30" s="75"/>
      <c r="BN30" s="75"/>
      <c r="BO30" s="75"/>
      <c r="BP30" s="75"/>
      <c r="BQ30" s="75"/>
      <c r="BR30" s="75"/>
      <c r="BS30" s="75"/>
      <c r="BT30" s="75"/>
      <c r="BU30" s="75"/>
      <c r="BV30" s="75"/>
      <c r="BW30" s="75"/>
      <c r="BX30" s="75"/>
      <c r="BY30" s="75"/>
      <c r="BZ30" s="75"/>
      <c r="CA30" s="75"/>
      <c r="CB30" s="75"/>
      <c r="CC30" s="75"/>
      <c r="CD30" s="75"/>
      <c r="CE30" s="75"/>
      <c r="CF30" s="75"/>
      <c r="CG30" s="75"/>
      <c r="CH30" s="75"/>
      <c r="CI30" s="75"/>
      <c r="CJ30" s="75"/>
      <c r="CK30" s="75"/>
      <c r="CL30" s="75"/>
      <c r="CM30" s="75"/>
      <c r="CN30" s="75"/>
      <c r="CO30" s="75"/>
      <c r="CP30" s="75"/>
      <c r="CQ30" s="75"/>
      <c r="CR30" s="75"/>
      <c r="CS30" s="75"/>
      <c r="CT30" s="75"/>
      <c r="CU30" s="75"/>
      <c r="CV30" s="75"/>
      <c r="CW30" s="75"/>
      <c r="CX30" s="75"/>
      <c r="CY30" s="75"/>
      <c r="CZ30" s="75"/>
      <c r="DA30" s="75"/>
      <c r="DB30" s="75"/>
      <c r="DC30" s="75"/>
      <c r="DD30" s="75"/>
    </row>
    <row r="31" spans="1:108">
      <c r="A31" s="75" t="s">
        <v>141</v>
      </c>
      <c r="B31" s="75" t="s">
        <v>142</v>
      </c>
      <c r="C31" s="75" t="s">
        <v>85</v>
      </c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88"/>
      <c r="T31" s="78">
        <v>896</v>
      </c>
      <c r="U31" s="78">
        <v>448</v>
      </c>
      <c r="V31" s="78"/>
      <c r="W31" s="78"/>
      <c r="X31" s="78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75"/>
      <c r="BL31" s="75"/>
      <c r="BM31" s="75"/>
      <c r="BN31" s="75"/>
      <c r="BO31" s="75"/>
      <c r="BP31" s="75"/>
      <c r="BQ31" s="75"/>
      <c r="BR31" s="75"/>
      <c r="BS31" s="75"/>
      <c r="BT31" s="75"/>
      <c r="BU31" s="75"/>
      <c r="BV31" s="75"/>
      <c r="BW31" s="75"/>
      <c r="BX31" s="75"/>
      <c r="BY31" s="75"/>
      <c r="BZ31" s="75"/>
      <c r="CA31" s="75"/>
      <c r="CB31" s="75"/>
      <c r="CC31" s="75"/>
      <c r="CD31" s="75"/>
      <c r="CE31" s="75"/>
      <c r="CF31" s="75"/>
      <c r="CG31" s="75"/>
      <c r="CH31" s="75"/>
      <c r="CI31" s="75"/>
      <c r="CJ31" s="75"/>
      <c r="CK31" s="75"/>
      <c r="CL31" s="75"/>
      <c r="CM31" s="75"/>
      <c r="CN31" s="75"/>
      <c r="CO31" s="75"/>
      <c r="CP31" s="75"/>
      <c r="CQ31" s="75"/>
      <c r="CR31" s="75"/>
      <c r="CS31" s="75"/>
      <c r="CT31" s="75"/>
      <c r="CU31" s="75"/>
      <c r="CV31" s="75"/>
      <c r="CW31" s="75"/>
      <c r="CX31" s="75"/>
      <c r="CY31" s="75"/>
      <c r="CZ31" s="75"/>
      <c r="DA31" s="75"/>
      <c r="DB31" s="75"/>
      <c r="DC31" s="75"/>
      <c r="DD31" s="75"/>
    </row>
    <row r="32" spans="1:108">
      <c r="A32" s="75" t="s">
        <v>141</v>
      </c>
      <c r="B32" s="75" t="s">
        <v>142</v>
      </c>
      <c r="C32" s="75" t="s">
        <v>85</v>
      </c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89"/>
      <c r="T32" s="78">
        <v>1075</v>
      </c>
      <c r="U32" s="75">
        <v>537</v>
      </c>
      <c r="V32" s="75"/>
      <c r="W32" s="75"/>
      <c r="X32" s="78"/>
      <c r="Y32" s="78"/>
      <c r="Z32" s="78"/>
      <c r="AA32" s="78"/>
      <c r="AB32" s="78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5"/>
      <c r="BF32" s="75"/>
      <c r="BG32" s="75"/>
      <c r="BH32" s="75"/>
      <c r="BI32" s="75"/>
      <c r="BJ32" s="75"/>
      <c r="BK32" s="75"/>
      <c r="BL32" s="75"/>
      <c r="BM32" s="75"/>
      <c r="BN32" s="75"/>
      <c r="BO32" s="75"/>
      <c r="BP32" s="75"/>
      <c r="BQ32" s="75"/>
      <c r="BR32" s="75"/>
      <c r="BS32" s="75"/>
      <c r="BT32" s="75"/>
      <c r="BU32" s="75"/>
      <c r="BV32" s="75"/>
      <c r="BW32" s="75"/>
      <c r="BX32" s="75"/>
      <c r="BY32" s="75"/>
      <c r="BZ32" s="75"/>
      <c r="CA32" s="75"/>
      <c r="CB32" s="75"/>
      <c r="CC32" s="75"/>
      <c r="CD32" s="75"/>
      <c r="CE32" s="75"/>
      <c r="CF32" s="75"/>
      <c r="CG32" s="75"/>
      <c r="CH32" s="75"/>
      <c r="CI32" s="75"/>
      <c r="CJ32" s="75"/>
      <c r="CK32" s="75"/>
      <c r="CL32" s="75"/>
      <c r="CM32" s="75"/>
      <c r="CN32" s="75"/>
      <c r="CO32" s="75"/>
      <c r="CP32" s="75"/>
      <c r="CQ32" s="75"/>
      <c r="CR32" s="75"/>
      <c r="CS32" s="75"/>
      <c r="CT32" s="75"/>
      <c r="CU32" s="75"/>
      <c r="CV32" s="75"/>
      <c r="CW32" s="75"/>
      <c r="CX32" s="75"/>
      <c r="CY32" s="75"/>
      <c r="CZ32" s="75"/>
      <c r="DA32" s="75"/>
      <c r="DB32" s="75"/>
      <c r="DC32" s="75"/>
      <c r="DD32" s="75"/>
    </row>
    <row r="33" spans="1:108">
      <c r="A33" s="75" t="s">
        <v>143</v>
      </c>
      <c r="B33" s="75" t="s">
        <v>144</v>
      </c>
      <c r="C33" s="75" t="s">
        <v>85</v>
      </c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89"/>
      <c r="T33" s="78">
        <v>5375</v>
      </c>
      <c r="U33" s="75"/>
      <c r="V33" s="75"/>
      <c r="W33" s="75"/>
      <c r="X33" s="75"/>
      <c r="Y33" s="75"/>
      <c r="Z33" s="75"/>
      <c r="AA33" s="75"/>
      <c r="AB33" s="78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5"/>
      <c r="BF33" s="75"/>
      <c r="BG33" s="75"/>
      <c r="BH33" s="75"/>
      <c r="BI33" s="75"/>
      <c r="BJ33" s="75"/>
      <c r="BK33" s="75"/>
      <c r="BL33" s="75"/>
      <c r="BM33" s="75"/>
      <c r="BN33" s="75"/>
      <c r="BO33" s="75"/>
      <c r="BP33" s="75"/>
      <c r="BQ33" s="75"/>
      <c r="BR33" s="75"/>
      <c r="BS33" s="75"/>
      <c r="BT33" s="75"/>
      <c r="BU33" s="75"/>
      <c r="BV33" s="75"/>
      <c r="BW33" s="75"/>
      <c r="BX33" s="75"/>
      <c r="BY33" s="75"/>
      <c r="BZ33" s="75"/>
      <c r="CA33" s="75"/>
      <c r="CB33" s="75"/>
      <c r="CC33" s="75"/>
      <c r="CD33" s="75"/>
      <c r="CE33" s="75"/>
      <c r="CF33" s="75"/>
      <c r="CG33" s="75"/>
      <c r="CH33" s="75"/>
      <c r="CI33" s="75"/>
      <c r="CJ33" s="75"/>
      <c r="CK33" s="75"/>
      <c r="CL33" s="75"/>
      <c r="CM33" s="75"/>
      <c r="CN33" s="75"/>
      <c r="CO33" s="75"/>
      <c r="CP33" s="75"/>
      <c r="CQ33" s="75"/>
      <c r="CR33" s="75"/>
      <c r="CS33" s="75"/>
      <c r="CT33" s="75"/>
      <c r="CU33" s="75"/>
      <c r="CV33" s="75"/>
      <c r="CW33" s="75"/>
      <c r="CX33" s="75"/>
      <c r="CY33" s="75"/>
      <c r="CZ33" s="75"/>
      <c r="DA33" s="75"/>
      <c r="DB33" s="75"/>
      <c r="DC33" s="75"/>
      <c r="DD33" s="75"/>
    </row>
    <row r="34" spans="1:108">
      <c r="A34" s="75" t="s">
        <v>143</v>
      </c>
      <c r="B34" s="75" t="s">
        <v>144</v>
      </c>
      <c r="C34" s="75" t="s">
        <v>85</v>
      </c>
      <c r="D34" s="75"/>
      <c r="E34" s="75"/>
      <c r="F34" s="75"/>
      <c r="G34" s="75"/>
      <c r="H34" s="75"/>
      <c r="I34" s="75"/>
      <c r="J34" s="75"/>
      <c r="K34" s="78"/>
      <c r="L34" s="78"/>
      <c r="M34" s="78"/>
      <c r="N34" s="78"/>
      <c r="O34" s="78"/>
      <c r="P34" s="78"/>
      <c r="Q34" s="78"/>
      <c r="R34" s="78"/>
      <c r="S34" s="88"/>
      <c r="T34" s="78">
        <v>6450</v>
      </c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75"/>
      <c r="BK34" s="75"/>
      <c r="BL34" s="75"/>
      <c r="BM34" s="75"/>
      <c r="BN34" s="75"/>
      <c r="BO34" s="75"/>
      <c r="BP34" s="75"/>
      <c r="BQ34" s="75"/>
      <c r="BR34" s="75"/>
      <c r="BS34" s="75"/>
      <c r="BT34" s="75"/>
      <c r="BU34" s="75"/>
      <c r="BV34" s="75"/>
      <c r="BW34" s="75"/>
      <c r="BX34" s="75"/>
      <c r="BY34" s="75"/>
      <c r="BZ34" s="75"/>
      <c r="CA34" s="75"/>
      <c r="CB34" s="75"/>
      <c r="CC34" s="75"/>
      <c r="CD34" s="75"/>
      <c r="CE34" s="75"/>
      <c r="CF34" s="75"/>
      <c r="CG34" s="75"/>
      <c r="CH34" s="75"/>
      <c r="CI34" s="75"/>
      <c r="CJ34" s="75"/>
      <c r="CK34" s="75"/>
      <c r="CL34" s="75"/>
      <c r="CM34" s="75"/>
      <c r="CN34" s="75"/>
      <c r="CO34" s="75"/>
      <c r="CP34" s="75"/>
      <c r="CQ34" s="75"/>
      <c r="CR34" s="75"/>
      <c r="CS34" s="75"/>
      <c r="CT34" s="75"/>
      <c r="CU34" s="75"/>
      <c r="CV34" s="75"/>
      <c r="CW34" s="75"/>
      <c r="CX34" s="75"/>
      <c r="CY34" s="75"/>
      <c r="CZ34" s="75"/>
      <c r="DA34" s="75"/>
      <c r="DB34" s="75"/>
      <c r="DC34" s="75"/>
      <c r="DD34" s="75"/>
    </row>
    <row r="35" spans="1:108">
      <c r="A35" s="75" t="s">
        <v>145</v>
      </c>
      <c r="B35" s="75" t="s">
        <v>146</v>
      </c>
      <c r="C35" s="75" t="s">
        <v>85</v>
      </c>
      <c r="D35" s="75"/>
      <c r="E35" s="75"/>
      <c r="F35" s="75"/>
      <c r="G35" s="75"/>
      <c r="H35" s="75"/>
      <c r="I35" s="75"/>
      <c r="J35" s="75"/>
      <c r="K35" s="78"/>
      <c r="L35" s="78"/>
      <c r="M35" s="78"/>
      <c r="N35" s="78"/>
      <c r="O35" s="78"/>
      <c r="P35" s="78"/>
      <c r="Q35" s="78"/>
      <c r="R35" s="78">
        <v>5474</v>
      </c>
      <c r="S35" s="88">
        <v>16423</v>
      </c>
      <c r="T35" s="78">
        <v>5474</v>
      </c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5"/>
      <c r="BF35" s="75"/>
      <c r="BG35" s="75"/>
      <c r="BH35" s="75"/>
      <c r="BI35" s="75"/>
      <c r="BJ35" s="75"/>
      <c r="BK35" s="75"/>
      <c r="BL35" s="75"/>
      <c r="BM35" s="75"/>
      <c r="BN35" s="75"/>
      <c r="BO35" s="75"/>
      <c r="BP35" s="75"/>
      <c r="BQ35" s="75"/>
      <c r="BR35" s="75"/>
      <c r="BS35" s="75"/>
      <c r="BT35" s="75"/>
      <c r="BU35" s="75"/>
      <c r="BV35" s="75"/>
      <c r="BW35" s="75"/>
      <c r="BX35" s="75"/>
      <c r="BY35" s="75"/>
      <c r="BZ35" s="75"/>
      <c r="CA35" s="75"/>
      <c r="CB35" s="75"/>
      <c r="CC35" s="75"/>
      <c r="CD35" s="75"/>
      <c r="CE35" s="75"/>
      <c r="CF35" s="75"/>
      <c r="CG35" s="75"/>
      <c r="CH35" s="75"/>
      <c r="CI35" s="75"/>
      <c r="CJ35" s="75"/>
      <c r="CK35" s="75"/>
      <c r="CL35" s="75"/>
      <c r="CM35" s="75"/>
      <c r="CN35" s="75"/>
      <c r="CO35" s="75"/>
      <c r="CP35" s="75"/>
      <c r="CQ35" s="75"/>
      <c r="CR35" s="75"/>
      <c r="CS35" s="75"/>
      <c r="CT35" s="75"/>
      <c r="CU35" s="75"/>
      <c r="CV35" s="75"/>
      <c r="CW35" s="75"/>
      <c r="CX35" s="75"/>
      <c r="CY35" s="75"/>
      <c r="CZ35" s="75"/>
      <c r="DA35" s="75"/>
      <c r="DB35" s="75"/>
      <c r="DC35" s="75"/>
      <c r="DD35" s="75"/>
    </row>
    <row r="36" spans="1:108">
      <c r="A36" s="75" t="s">
        <v>145</v>
      </c>
      <c r="B36" s="75" t="s">
        <v>146</v>
      </c>
      <c r="C36" s="75" t="s">
        <v>85</v>
      </c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>
        <v>714</v>
      </c>
      <c r="S36" s="88">
        <v>2143</v>
      </c>
      <c r="T36" s="75">
        <v>714</v>
      </c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75"/>
      <c r="BC36" s="75"/>
      <c r="BD36" s="75"/>
      <c r="BE36" s="75"/>
      <c r="BF36" s="75"/>
      <c r="BG36" s="75"/>
      <c r="BH36" s="75"/>
      <c r="BI36" s="75"/>
      <c r="BJ36" s="75"/>
      <c r="BK36" s="75"/>
      <c r="BL36" s="75"/>
      <c r="BM36" s="75"/>
      <c r="BN36" s="75"/>
      <c r="BO36" s="75"/>
      <c r="BP36" s="75"/>
      <c r="BQ36" s="75"/>
      <c r="BR36" s="75"/>
      <c r="BS36" s="75"/>
      <c r="BT36" s="75"/>
      <c r="BU36" s="75"/>
      <c r="BV36" s="75"/>
      <c r="BW36" s="75"/>
      <c r="BX36" s="75"/>
      <c r="BY36" s="75"/>
      <c r="BZ36" s="75"/>
      <c r="CA36" s="75"/>
      <c r="CB36" s="75"/>
      <c r="CC36" s="75"/>
      <c r="CD36" s="75"/>
      <c r="CE36" s="75"/>
      <c r="CF36" s="75"/>
      <c r="CG36" s="75"/>
      <c r="CH36" s="75"/>
      <c r="CI36" s="75"/>
      <c r="CJ36" s="75"/>
      <c r="CK36" s="75"/>
      <c r="CL36" s="75"/>
      <c r="CM36" s="75"/>
      <c r="CN36" s="75"/>
      <c r="CO36" s="75"/>
      <c r="CP36" s="75"/>
      <c r="CQ36" s="75"/>
      <c r="CR36" s="75"/>
      <c r="CS36" s="75"/>
      <c r="CT36" s="75"/>
      <c r="CU36" s="75"/>
      <c r="CV36" s="75"/>
      <c r="CW36" s="75"/>
      <c r="CX36" s="75"/>
      <c r="CY36" s="75"/>
      <c r="CZ36" s="75"/>
      <c r="DA36" s="75"/>
      <c r="DB36" s="75"/>
      <c r="DC36" s="75"/>
      <c r="DD36" s="75"/>
    </row>
    <row r="37" spans="1:108">
      <c r="A37" s="75" t="s">
        <v>145</v>
      </c>
      <c r="B37" s="75" t="s">
        <v>146</v>
      </c>
      <c r="C37" s="75" t="s">
        <v>85</v>
      </c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8">
        <v>1340</v>
      </c>
      <c r="S37" s="88">
        <v>4020</v>
      </c>
      <c r="T37" s="78">
        <v>1340</v>
      </c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5"/>
      <c r="BB37" s="75"/>
      <c r="BC37" s="75"/>
      <c r="BD37" s="75"/>
      <c r="BE37" s="75"/>
      <c r="BF37" s="75"/>
      <c r="BG37" s="75"/>
      <c r="BH37" s="75"/>
      <c r="BI37" s="75"/>
      <c r="BJ37" s="75"/>
      <c r="BK37" s="75"/>
      <c r="BL37" s="75"/>
      <c r="BM37" s="75"/>
      <c r="BN37" s="75"/>
      <c r="BO37" s="75"/>
      <c r="BP37" s="75"/>
      <c r="BQ37" s="75"/>
      <c r="BR37" s="75"/>
      <c r="BS37" s="75"/>
      <c r="BT37" s="75"/>
      <c r="BU37" s="75"/>
      <c r="BV37" s="75"/>
      <c r="BW37" s="75"/>
      <c r="BX37" s="75"/>
      <c r="BY37" s="75"/>
      <c r="BZ37" s="75"/>
      <c r="CA37" s="75"/>
      <c r="CB37" s="75"/>
      <c r="CC37" s="75"/>
      <c r="CD37" s="75"/>
      <c r="CE37" s="75"/>
      <c r="CF37" s="75"/>
      <c r="CG37" s="75"/>
      <c r="CH37" s="75"/>
      <c r="CI37" s="75"/>
      <c r="CJ37" s="75"/>
      <c r="CK37" s="75"/>
      <c r="CL37" s="75"/>
      <c r="CM37" s="75"/>
      <c r="CN37" s="75"/>
      <c r="CO37" s="75"/>
      <c r="CP37" s="75"/>
      <c r="CQ37" s="75"/>
      <c r="CR37" s="75"/>
      <c r="CS37" s="75"/>
      <c r="CT37" s="75"/>
      <c r="CU37" s="75"/>
      <c r="CV37" s="75"/>
      <c r="CW37" s="75"/>
      <c r="CX37" s="75"/>
      <c r="CY37" s="75"/>
      <c r="CZ37" s="75"/>
      <c r="DA37" s="75"/>
      <c r="DB37" s="75"/>
      <c r="DC37" s="75"/>
      <c r="DD37" s="75"/>
    </row>
    <row r="38" spans="1:108">
      <c r="A38" s="75" t="s">
        <v>147</v>
      </c>
      <c r="B38" s="75" t="s">
        <v>148</v>
      </c>
      <c r="C38" s="75" t="s">
        <v>85</v>
      </c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8">
        <v>2372</v>
      </c>
      <c r="S38" s="88">
        <v>14232</v>
      </c>
      <c r="T38" s="78">
        <v>7116</v>
      </c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75"/>
      <c r="BC38" s="75"/>
      <c r="BD38" s="75"/>
      <c r="BE38" s="75"/>
      <c r="BF38" s="75"/>
      <c r="BG38" s="75"/>
      <c r="BH38" s="75"/>
      <c r="BI38" s="75"/>
      <c r="BJ38" s="75"/>
      <c r="BK38" s="75"/>
      <c r="BL38" s="75"/>
      <c r="BM38" s="75"/>
      <c r="BN38" s="75"/>
      <c r="BO38" s="75"/>
      <c r="BP38" s="75"/>
      <c r="BQ38" s="75"/>
      <c r="BR38" s="75"/>
      <c r="BS38" s="75"/>
      <c r="BT38" s="75"/>
      <c r="BU38" s="75"/>
      <c r="BV38" s="75"/>
      <c r="BW38" s="75"/>
      <c r="BX38" s="75"/>
      <c r="BY38" s="75"/>
      <c r="BZ38" s="75"/>
      <c r="CA38" s="75"/>
      <c r="CB38" s="75"/>
      <c r="CC38" s="75"/>
      <c r="CD38" s="75"/>
      <c r="CE38" s="75"/>
      <c r="CF38" s="75"/>
      <c r="CG38" s="75"/>
      <c r="CH38" s="75"/>
      <c r="CI38" s="75"/>
      <c r="CJ38" s="75"/>
      <c r="CK38" s="75"/>
      <c r="CL38" s="75"/>
      <c r="CM38" s="75"/>
      <c r="CN38" s="75"/>
      <c r="CO38" s="75"/>
      <c r="CP38" s="75"/>
      <c r="CQ38" s="75"/>
      <c r="CR38" s="75"/>
      <c r="CS38" s="75"/>
      <c r="CT38" s="75"/>
      <c r="CU38" s="75"/>
      <c r="CV38" s="75"/>
      <c r="CW38" s="75"/>
      <c r="CX38" s="75"/>
      <c r="CY38" s="75"/>
      <c r="CZ38" s="75"/>
      <c r="DA38" s="75"/>
      <c r="DB38" s="75"/>
      <c r="DC38" s="75"/>
      <c r="DD38" s="75"/>
    </row>
    <row r="39" spans="1:108">
      <c r="A39" s="75" t="s">
        <v>147</v>
      </c>
      <c r="B39" s="75" t="s">
        <v>148</v>
      </c>
      <c r="C39" s="75" t="s">
        <v>85</v>
      </c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>
        <v>455</v>
      </c>
      <c r="S39" s="88">
        <v>2732</v>
      </c>
      <c r="T39" s="78">
        <v>1366</v>
      </c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  <c r="BD39" s="75"/>
      <c r="BE39" s="75"/>
      <c r="BF39" s="75"/>
      <c r="BG39" s="75"/>
      <c r="BH39" s="75"/>
      <c r="BI39" s="75"/>
      <c r="BJ39" s="75"/>
      <c r="BK39" s="75"/>
      <c r="BL39" s="75"/>
      <c r="BM39" s="75"/>
      <c r="BN39" s="75"/>
      <c r="BO39" s="75"/>
      <c r="BP39" s="75"/>
      <c r="BQ39" s="75"/>
      <c r="BR39" s="75"/>
      <c r="BS39" s="75"/>
      <c r="BT39" s="75"/>
      <c r="BU39" s="75"/>
      <c r="BV39" s="75"/>
      <c r="BW39" s="75"/>
      <c r="BX39" s="75"/>
      <c r="BY39" s="75"/>
      <c r="BZ39" s="75"/>
      <c r="CA39" s="75"/>
      <c r="CB39" s="75"/>
      <c r="CC39" s="75"/>
      <c r="CD39" s="75"/>
      <c r="CE39" s="75"/>
      <c r="CF39" s="75"/>
      <c r="CG39" s="75"/>
      <c r="CH39" s="75"/>
      <c r="CI39" s="75"/>
      <c r="CJ39" s="75"/>
      <c r="CK39" s="75"/>
      <c r="CL39" s="75"/>
      <c r="CM39" s="75"/>
      <c r="CN39" s="75"/>
      <c r="CO39" s="75"/>
      <c r="CP39" s="75"/>
      <c r="CQ39" s="75"/>
      <c r="CR39" s="75"/>
      <c r="CS39" s="75"/>
      <c r="CT39" s="75"/>
      <c r="CU39" s="75"/>
      <c r="CV39" s="75"/>
      <c r="CW39" s="75"/>
      <c r="CX39" s="75"/>
      <c r="CY39" s="75"/>
      <c r="CZ39" s="75"/>
      <c r="DA39" s="75"/>
      <c r="DB39" s="75"/>
      <c r="DC39" s="75"/>
      <c r="DD39" s="75"/>
    </row>
    <row r="40" spans="1:108">
      <c r="A40" s="75" t="s">
        <v>147</v>
      </c>
      <c r="B40" s="75" t="s">
        <v>148</v>
      </c>
      <c r="C40" s="75" t="s">
        <v>85</v>
      </c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8">
        <v>2241</v>
      </c>
      <c r="S40" s="88">
        <v>13448</v>
      </c>
      <c r="T40" s="78">
        <v>6724</v>
      </c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75"/>
      <c r="BQ40" s="75"/>
      <c r="BR40" s="75"/>
      <c r="BS40" s="75"/>
      <c r="BT40" s="75"/>
      <c r="BU40" s="75"/>
      <c r="BV40" s="75"/>
      <c r="BW40" s="75"/>
      <c r="BX40" s="75"/>
      <c r="BY40" s="75"/>
      <c r="BZ40" s="75"/>
      <c r="CA40" s="75"/>
      <c r="CB40" s="75"/>
      <c r="CC40" s="75"/>
      <c r="CD40" s="75"/>
      <c r="CE40" s="75"/>
      <c r="CF40" s="75"/>
      <c r="CG40" s="75"/>
      <c r="CH40" s="75"/>
      <c r="CI40" s="75"/>
      <c r="CJ40" s="75"/>
      <c r="CK40" s="75"/>
      <c r="CL40" s="75"/>
      <c r="CM40" s="75"/>
      <c r="CN40" s="75"/>
      <c r="CO40" s="75"/>
      <c r="CP40" s="75"/>
      <c r="CQ40" s="75"/>
      <c r="CR40" s="75"/>
      <c r="CS40" s="75"/>
      <c r="CT40" s="75"/>
      <c r="CU40" s="75"/>
      <c r="CV40" s="75"/>
      <c r="CW40" s="75"/>
      <c r="CX40" s="75"/>
      <c r="CY40" s="75"/>
      <c r="CZ40" s="75"/>
      <c r="DA40" s="75"/>
      <c r="DB40" s="75"/>
      <c r="DC40" s="75"/>
      <c r="DD40" s="75"/>
    </row>
    <row r="41" spans="1:108">
      <c r="A41" s="75" t="s">
        <v>149</v>
      </c>
      <c r="B41" s="75" t="s">
        <v>150</v>
      </c>
      <c r="C41" s="75" t="s">
        <v>85</v>
      </c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89"/>
      <c r="T41" s="78">
        <v>25344</v>
      </c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75"/>
      <c r="AW41" s="75"/>
      <c r="AX41" s="75"/>
      <c r="AY41" s="75"/>
      <c r="AZ41" s="75"/>
      <c r="BA41" s="75"/>
      <c r="BB41" s="75"/>
      <c r="BC41" s="75"/>
      <c r="BD41" s="75"/>
      <c r="BE41" s="75"/>
      <c r="BF41" s="75"/>
      <c r="BG41" s="75"/>
      <c r="BH41" s="75"/>
      <c r="BI41" s="75"/>
      <c r="BJ41" s="75"/>
      <c r="BK41" s="75"/>
      <c r="BL41" s="75"/>
      <c r="BM41" s="75"/>
      <c r="BN41" s="75"/>
      <c r="BO41" s="75"/>
      <c r="BP41" s="75"/>
      <c r="BQ41" s="75"/>
      <c r="BR41" s="75"/>
      <c r="BS41" s="75"/>
      <c r="BT41" s="75"/>
      <c r="BU41" s="75"/>
      <c r="BV41" s="75"/>
      <c r="BW41" s="75"/>
      <c r="BX41" s="75"/>
      <c r="BY41" s="75"/>
      <c r="BZ41" s="75"/>
      <c r="CA41" s="75"/>
      <c r="CB41" s="75"/>
      <c r="CC41" s="75"/>
      <c r="CD41" s="75"/>
      <c r="CE41" s="75"/>
      <c r="CF41" s="75"/>
      <c r="CG41" s="75"/>
      <c r="CH41" s="75"/>
      <c r="CI41" s="75"/>
      <c r="CJ41" s="75"/>
      <c r="CK41" s="75"/>
      <c r="CL41" s="75"/>
      <c r="CM41" s="75"/>
      <c r="CN41" s="75"/>
      <c r="CO41" s="75"/>
      <c r="CP41" s="75"/>
      <c r="CQ41" s="75"/>
      <c r="CR41" s="75"/>
      <c r="CS41" s="75"/>
      <c r="CT41" s="75"/>
      <c r="CU41" s="75"/>
      <c r="CV41" s="75"/>
      <c r="CW41" s="75"/>
      <c r="CX41" s="75"/>
      <c r="CY41" s="75"/>
      <c r="CZ41" s="75"/>
      <c r="DA41" s="75"/>
      <c r="DB41" s="75"/>
      <c r="DC41" s="75"/>
      <c r="DD41" s="75"/>
    </row>
    <row r="42" spans="1:108">
      <c r="A42" s="75" t="s">
        <v>149</v>
      </c>
      <c r="B42" s="75" t="s">
        <v>150</v>
      </c>
      <c r="C42" s="75" t="s">
        <v>85</v>
      </c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89"/>
      <c r="T42" s="78">
        <v>3762</v>
      </c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5"/>
      <c r="AY42" s="75"/>
      <c r="AZ42" s="75"/>
      <c r="BA42" s="75"/>
      <c r="BB42" s="75"/>
      <c r="BC42" s="75"/>
      <c r="BD42" s="75"/>
      <c r="BE42" s="75"/>
      <c r="BF42" s="75"/>
      <c r="BG42" s="75"/>
      <c r="BH42" s="75"/>
      <c r="BI42" s="75"/>
      <c r="BJ42" s="75"/>
      <c r="BK42" s="75"/>
      <c r="BL42" s="75"/>
      <c r="BM42" s="75"/>
      <c r="BN42" s="75"/>
      <c r="BO42" s="75"/>
      <c r="BP42" s="75"/>
      <c r="BQ42" s="75"/>
      <c r="BR42" s="75"/>
      <c r="BS42" s="75"/>
      <c r="BT42" s="75"/>
      <c r="BU42" s="75"/>
      <c r="BV42" s="75"/>
      <c r="BW42" s="75"/>
      <c r="BX42" s="75"/>
      <c r="BY42" s="75"/>
      <c r="BZ42" s="75"/>
      <c r="CA42" s="75"/>
      <c r="CB42" s="75"/>
      <c r="CC42" s="75"/>
      <c r="CD42" s="75"/>
      <c r="CE42" s="75"/>
      <c r="CF42" s="75"/>
      <c r="CG42" s="75"/>
      <c r="CH42" s="75"/>
      <c r="CI42" s="75"/>
      <c r="CJ42" s="75"/>
      <c r="CK42" s="75"/>
      <c r="CL42" s="75"/>
      <c r="CM42" s="75"/>
      <c r="CN42" s="75"/>
      <c r="CO42" s="75"/>
      <c r="CP42" s="75"/>
      <c r="CQ42" s="75"/>
      <c r="CR42" s="75"/>
      <c r="CS42" s="75"/>
      <c r="CT42" s="75"/>
      <c r="CU42" s="75"/>
      <c r="CV42" s="75"/>
      <c r="CW42" s="75"/>
      <c r="CX42" s="75"/>
      <c r="CY42" s="75"/>
      <c r="CZ42" s="75"/>
      <c r="DA42" s="75"/>
      <c r="DB42" s="75"/>
      <c r="DC42" s="75"/>
      <c r="DD42" s="75"/>
    </row>
    <row r="43" spans="1:108">
      <c r="A43" s="75" t="s">
        <v>149</v>
      </c>
      <c r="B43" s="75" t="s">
        <v>150</v>
      </c>
      <c r="C43" s="75" t="s">
        <v>85</v>
      </c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89"/>
      <c r="T43" s="78">
        <v>9306</v>
      </c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5"/>
      <c r="BG43" s="75"/>
      <c r="BH43" s="75"/>
      <c r="BI43" s="75"/>
      <c r="BJ43" s="75"/>
      <c r="BK43" s="75"/>
      <c r="BL43" s="75"/>
      <c r="BM43" s="75"/>
      <c r="BN43" s="75"/>
      <c r="BO43" s="75"/>
      <c r="BP43" s="75"/>
      <c r="BQ43" s="75"/>
      <c r="BR43" s="75"/>
      <c r="BS43" s="75"/>
      <c r="BT43" s="75"/>
      <c r="BU43" s="75"/>
      <c r="BV43" s="75"/>
      <c r="BW43" s="75"/>
      <c r="BX43" s="75"/>
      <c r="BY43" s="75"/>
      <c r="BZ43" s="75"/>
      <c r="CA43" s="75"/>
      <c r="CB43" s="75"/>
      <c r="CC43" s="75"/>
      <c r="CD43" s="75"/>
      <c r="CE43" s="75"/>
      <c r="CF43" s="75"/>
      <c r="CG43" s="75"/>
      <c r="CH43" s="75"/>
      <c r="CI43" s="75"/>
      <c r="CJ43" s="75"/>
      <c r="CK43" s="75"/>
      <c r="CL43" s="75"/>
      <c r="CM43" s="75"/>
      <c r="CN43" s="75"/>
      <c r="CO43" s="75"/>
      <c r="CP43" s="75"/>
      <c r="CQ43" s="75"/>
      <c r="CR43" s="75"/>
      <c r="CS43" s="75"/>
      <c r="CT43" s="75"/>
      <c r="CU43" s="75"/>
      <c r="CV43" s="75"/>
      <c r="CW43" s="75"/>
      <c r="CX43" s="75"/>
      <c r="CY43" s="75"/>
      <c r="CZ43" s="75"/>
      <c r="DA43" s="75"/>
      <c r="DB43" s="75"/>
      <c r="DC43" s="75"/>
      <c r="DD43" s="75"/>
    </row>
    <row r="44" spans="1:108">
      <c r="A44" s="75" t="s">
        <v>151</v>
      </c>
      <c r="B44" s="75" t="s">
        <v>152</v>
      </c>
      <c r="C44" s="75" t="s">
        <v>85</v>
      </c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8">
        <v>9434</v>
      </c>
      <c r="S44" s="88">
        <v>28301</v>
      </c>
      <c r="T44" s="78">
        <v>9434</v>
      </c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5"/>
      <c r="BG44" s="75"/>
      <c r="BH44" s="75"/>
      <c r="BI44" s="75"/>
      <c r="BJ44" s="75"/>
      <c r="BK44" s="75"/>
      <c r="BL44" s="75"/>
      <c r="BM44" s="75"/>
      <c r="BN44" s="75"/>
      <c r="BO44" s="75"/>
      <c r="BP44" s="75"/>
      <c r="BQ44" s="75"/>
      <c r="BR44" s="75"/>
      <c r="BS44" s="75"/>
      <c r="BT44" s="75"/>
      <c r="BU44" s="75"/>
      <c r="BV44" s="75"/>
      <c r="BW44" s="75"/>
      <c r="BX44" s="75"/>
      <c r="BY44" s="75"/>
      <c r="BZ44" s="75"/>
      <c r="CA44" s="75"/>
      <c r="CB44" s="75"/>
      <c r="CC44" s="75"/>
      <c r="CD44" s="75"/>
      <c r="CE44" s="75"/>
      <c r="CF44" s="75"/>
      <c r="CG44" s="75"/>
      <c r="CH44" s="75"/>
      <c r="CI44" s="75"/>
      <c r="CJ44" s="75"/>
      <c r="CK44" s="75"/>
      <c r="CL44" s="75"/>
      <c r="CM44" s="75"/>
      <c r="CN44" s="75"/>
      <c r="CO44" s="75"/>
      <c r="CP44" s="75"/>
      <c r="CQ44" s="75"/>
      <c r="CR44" s="75"/>
      <c r="CS44" s="75"/>
      <c r="CT44" s="75"/>
      <c r="CU44" s="75"/>
      <c r="CV44" s="75"/>
      <c r="CW44" s="75"/>
      <c r="CX44" s="75"/>
      <c r="CY44" s="75"/>
      <c r="CZ44" s="75"/>
      <c r="DA44" s="75"/>
      <c r="DB44" s="75"/>
      <c r="DC44" s="75"/>
      <c r="DD44" s="75"/>
    </row>
    <row r="45" spans="1:108">
      <c r="A45" s="75" t="s">
        <v>143</v>
      </c>
      <c r="B45" s="75" t="s">
        <v>144</v>
      </c>
      <c r="C45" s="75" t="s">
        <v>85</v>
      </c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89"/>
      <c r="T45" s="78">
        <v>4300</v>
      </c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75"/>
      <c r="AZ45" s="75"/>
      <c r="BA45" s="75"/>
      <c r="BB45" s="75"/>
      <c r="BC45" s="75"/>
      <c r="BD45" s="75"/>
      <c r="BE45" s="75"/>
      <c r="BF45" s="75"/>
      <c r="BG45" s="75"/>
      <c r="BH45" s="75"/>
      <c r="BI45" s="75"/>
      <c r="BJ45" s="75"/>
      <c r="BK45" s="75"/>
      <c r="BL45" s="75"/>
      <c r="BM45" s="75"/>
      <c r="BN45" s="75"/>
      <c r="BO45" s="75"/>
      <c r="BP45" s="75"/>
      <c r="BQ45" s="75"/>
      <c r="BR45" s="75"/>
      <c r="BS45" s="75"/>
      <c r="BT45" s="75"/>
      <c r="BU45" s="75"/>
      <c r="BV45" s="75"/>
      <c r="BW45" s="75"/>
      <c r="BX45" s="75"/>
      <c r="BY45" s="75"/>
      <c r="BZ45" s="75"/>
      <c r="CA45" s="75"/>
      <c r="CB45" s="75"/>
      <c r="CC45" s="75"/>
      <c r="CD45" s="75"/>
      <c r="CE45" s="75"/>
      <c r="CF45" s="75"/>
      <c r="CG45" s="75"/>
      <c r="CH45" s="75"/>
      <c r="CI45" s="75"/>
      <c r="CJ45" s="75"/>
      <c r="CK45" s="75"/>
      <c r="CL45" s="75"/>
      <c r="CM45" s="75"/>
      <c r="CN45" s="75"/>
      <c r="CO45" s="75"/>
      <c r="CP45" s="75"/>
      <c r="CQ45" s="75"/>
      <c r="CR45" s="75"/>
      <c r="CS45" s="75"/>
      <c r="CT45" s="75"/>
      <c r="CU45" s="75"/>
      <c r="CV45" s="75"/>
      <c r="CW45" s="75"/>
      <c r="CX45" s="75"/>
      <c r="CY45" s="75"/>
      <c r="CZ45" s="75"/>
      <c r="DA45" s="75"/>
      <c r="DB45" s="75"/>
      <c r="DC45" s="75"/>
      <c r="DD45" s="75"/>
    </row>
    <row r="46" spans="1:108">
      <c r="A46" s="75" t="s">
        <v>141</v>
      </c>
      <c r="B46" s="75" t="s">
        <v>142</v>
      </c>
      <c r="C46" s="75" t="s">
        <v>85</v>
      </c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89"/>
      <c r="T46" s="78">
        <v>6021</v>
      </c>
      <c r="U46" s="78">
        <v>3010</v>
      </c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75"/>
      <c r="BD46" s="75"/>
      <c r="BE46" s="75"/>
      <c r="BF46" s="75"/>
      <c r="BG46" s="75"/>
      <c r="BH46" s="75"/>
      <c r="BI46" s="75"/>
      <c r="BJ46" s="75"/>
      <c r="BK46" s="75"/>
      <c r="BL46" s="75"/>
      <c r="BM46" s="75"/>
      <c r="BN46" s="75"/>
      <c r="BO46" s="75"/>
      <c r="BP46" s="75"/>
      <c r="BQ46" s="75"/>
      <c r="BR46" s="75"/>
      <c r="BS46" s="75"/>
      <c r="BT46" s="75"/>
      <c r="BU46" s="75"/>
      <c r="BV46" s="75"/>
      <c r="BW46" s="75"/>
      <c r="BX46" s="75"/>
      <c r="BY46" s="75"/>
      <c r="BZ46" s="75"/>
      <c r="CA46" s="75"/>
      <c r="CB46" s="75"/>
      <c r="CC46" s="75"/>
      <c r="CD46" s="75"/>
      <c r="CE46" s="75"/>
      <c r="CF46" s="75"/>
      <c r="CG46" s="75"/>
      <c r="CH46" s="75"/>
      <c r="CI46" s="75"/>
      <c r="CJ46" s="75"/>
      <c r="CK46" s="75"/>
      <c r="CL46" s="75"/>
      <c r="CM46" s="75"/>
      <c r="CN46" s="75"/>
      <c r="CO46" s="75"/>
      <c r="CP46" s="75"/>
      <c r="CQ46" s="75"/>
      <c r="CR46" s="75"/>
      <c r="CS46" s="75"/>
      <c r="CT46" s="75"/>
      <c r="CU46" s="75"/>
      <c r="CV46" s="75"/>
      <c r="CW46" s="75"/>
      <c r="CX46" s="75"/>
      <c r="CY46" s="75"/>
      <c r="CZ46" s="75"/>
      <c r="DA46" s="75"/>
      <c r="DB46" s="75"/>
      <c r="DC46" s="75"/>
      <c r="DD46" s="75"/>
    </row>
    <row r="47" spans="1:108">
      <c r="A47" s="75" t="s">
        <v>141</v>
      </c>
      <c r="B47" s="75" t="s">
        <v>142</v>
      </c>
      <c r="C47" s="75" t="s">
        <v>85</v>
      </c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89"/>
      <c r="T47" s="75">
        <v>717</v>
      </c>
      <c r="U47" s="75">
        <v>358</v>
      </c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5"/>
      <c r="AX47" s="75"/>
      <c r="AY47" s="75"/>
      <c r="AZ47" s="75"/>
      <c r="BA47" s="75"/>
      <c r="BB47" s="75"/>
      <c r="BC47" s="75"/>
      <c r="BD47" s="75"/>
      <c r="BE47" s="75"/>
      <c r="BF47" s="75"/>
      <c r="BG47" s="75"/>
      <c r="BH47" s="75"/>
      <c r="BI47" s="75"/>
      <c r="BJ47" s="75"/>
      <c r="BK47" s="75"/>
      <c r="BL47" s="75"/>
      <c r="BM47" s="75"/>
      <c r="BN47" s="75"/>
      <c r="BO47" s="75"/>
      <c r="BP47" s="75"/>
      <c r="BQ47" s="75"/>
      <c r="BR47" s="75"/>
      <c r="BS47" s="75"/>
      <c r="BT47" s="75"/>
      <c r="BU47" s="75"/>
      <c r="BV47" s="75"/>
      <c r="BW47" s="75"/>
      <c r="BX47" s="75"/>
      <c r="BY47" s="75"/>
      <c r="BZ47" s="75"/>
      <c r="CA47" s="75"/>
      <c r="CB47" s="75"/>
      <c r="CC47" s="75"/>
      <c r="CD47" s="75"/>
      <c r="CE47" s="75"/>
      <c r="CF47" s="75"/>
      <c r="CG47" s="75"/>
      <c r="CH47" s="75"/>
      <c r="CI47" s="75"/>
      <c r="CJ47" s="75"/>
      <c r="CK47" s="75"/>
      <c r="CL47" s="75"/>
      <c r="CM47" s="75"/>
      <c r="CN47" s="75"/>
      <c r="CO47" s="75"/>
      <c r="CP47" s="75"/>
      <c r="CQ47" s="75"/>
      <c r="CR47" s="75"/>
      <c r="CS47" s="75"/>
      <c r="CT47" s="75"/>
      <c r="CU47" s="75"/>
      <c r="CV47" s="75"/>
      <c r="CW47" s="75"/>
      <c r="CX47" s="75"/>
      <c r="CY47" s="75"/>
      <c r="CZ47" s="75"/>
      <c r="DA47" s="75"/>
      <c r="DB47" s="75"/>
      <c r="DC47" s="75"/>
      <c r="DD47" s="75"/>
    </row>
    <row r="48" spans="1:108">
      <c r="A48" s="75" t="s">
        <v>96</v>
      </c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8">
        <v>8844</v>
      </c>
      <c r="M48" s="78">
        <v>10451</v>
      </c>
      <c r="N48" s="78">
        <v>13666</v>
      </c>
      <c r="O48" s="78">
        <v>4822</v>
      </c>
      <c r="P48" s="78">
        <v>10959</v>
      </c>
      <c r="Q48" s="78">
        <v>15305</v>
      </c>
      <c r="R48" s="78">
        <v>20647</v>
      </c>
      <c r="S48" s="88">
        <v>69290</v>
      </c>
      <c r="T48" s="78">
        <v>31424</v>
      </c>
      <c r="U48" s="78">
        <v>31109</v>
      </c>
      <c r="V48" s="78">
        <v>18896</v>
      </c>
      <c r="W48" s="78">
        <v>7979</v>
      </c>
      <c r="X48" s="78">
        <v>9124</v>
      </c>
      <c r="Y48" s="78">
        <v>33732</v>
      </c>
      <c r="Z48" s="78">
        <v>27316</v>
      </c>
      <c r="AA48" s="78">
        <v>21002</v>
      </c>
      <c r="AB48" s="78">
        <v>35805</v>
      </c>
      <c r="AC48" s="78">
        <v>45201</v>
      </c>
      <c r="AD48" s="78">
        <v>28153</v>
      </c>
      <c r="AE48" s="78">
        <v>38323</v>
      </c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  <c r="BD48" s="75"/>
      <c r="BE48" s="75"/>
      <c r="BF48" s="75"/>
      <c r="BG48" s="75"/>
      <c r="BH48" s="75"/>
      <c r="BI48" s="75"/>
      <c r="BJ48" s="75"/>
      <c r="BK48" s="75"/>
      <c r="BL48" s="75"/>
      <c r="BM48" s="75"/>
      <c r="BN48" s="75"/>
      <c r="BO48" s="75"/>
      <c r="BP48" s="75"/>
      <c r="BQ48" s="75"/>
      <c r="BR48" s="75"/>
      <c r="BS48" s="75"/>
      <c r="BT48" s="75"/>
      <c r="BU48" s="75"/>
      <c r="BV48" s="75"/>
      <c r="BW48" s="75"/>
      <c r="BX48" s="75"/>
      <c r="BY48" s="75"/>
      <c r="BZ48" s="75"/>
      <c r="CA48" s="75"/>
      <c r="CB48" s="75"/>
      <c r="CC48" s="75"/>
      <c r="CD48" s="75"/>
      <c r="CE48" s="75"/>
      <c r="CF48" s="75"/>
      <c r="CG48" s="75"/>
      <c r="CH48" s="75"/>
      <c r="CI48" s="75"/>
      <c r="CJ48" s="75"/>
      <c r="CK48" s="75"/>
      <c r="CL48" s="75"/>
      <c r="CM48" s="75"/>
      <c r="CN48" s="75"/>
      <c r="CO48" s="75"/>
      <c r="CP48" s="75"/>
      <c r="CQ48" s="75"/>
      <c r="CR48" s="75"/>
      <c r="CS48" s="75"/>
      <c r="CT48" s="75"/>
      <c r="CU48" s="75"/>
      <c r="CV48" s="75"/>
      <c r="CW48" s="75"/>
      <c r="CX48" s="75"/>
      <c r="CY48" s="75"/>
      <c r="CZ48" s="75"/>
      <c r="DA48" s="75"/>
      <c r="DB48" s="75"/>
      <c r="DC48" s="75"/>
      <c r="DD48" s="75"/>
    </row>
    <row r="49" spans="1:108">
      <c r="A49" s="75" t="s">
        <v>78</v>
      </c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8">
        <v>8844</v>
      </c>
      <c r="M49" s="78">
        <v>10451</v>
      </c>
      <c r="N49" s="78">
        <v>13666</v>
      </c>
      <c r="O49" s="78">
        <v>4822</v>
      </c>
      <c r="P49" s="78">
        <v>3444</v>
      </c>
      <c r="Q49" s="75"/>
      <c r="R49" s="78"/>
      <c r="S49" s="88"/>
      <c r="T49" s="78"/>
      <c r="U49" s="78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75"/>
      <c r="AW49" s="75"/>
      <c r="AX49" s="75"/>
      <c r="AY49" s="75"/>
      <c r="AZ49" s="75"/>
      <c r="BA49" s="75"/>
      <c r="BB49" s="75"/>
      <c r="BC49" s="75"/>
      <c r="BD49" s="75"/>
      <c r="BE49" s="75"/>
      <c r="BF49" s="75"/>
      <c r="BG49" s="75"/>
      <c r="BH49" s="75"/>
      <c r="BI49" s="75"/>
      <c r="BJ49" s="75"/>
      <c r="BK49" s="75"/>
      <c r="BL49" s="75"/>
      <c r="BM49" s="75"/>
      <c r="BN49" s="75"/>
      <c r="BO49" s="75"/>
      <c r="BP49" s="75"/>
      <c r="BQ49" s="75"/>
      <c r="BR49" s="75"/>
      <c r="BS49" s="75"/>
      <c r="BT49" s="75"/>
      <c r="BU49" s="75"/>
      <c r="BV49" s="75"/>
      <c r="BW49" s="75"/>
      <c r="BX49" s="75"/>
      <c r="BY49" s="75"/>
      <c r="BZ49" s="75"/>
      <c r="CA49" s="75"/>
      <c r="CB49" s="75"/>
      <c r="CC49" s="75"/>
      <c r="CD49" s="75"/>
      <c r="CE49" s="75"/>
      <c r="CF49" s="75"/>
      <c r="CG49" s="75"/>
      <c r="CH49" s="75"/>
      <c r="CI49" s="75"/>
      <c r="CJ49" s="75"/>
      <c r="CK49" s="75"/>
      <c r="CL49" s="75"/>
      <c r="CM49" s="75"/>
      <c r="CN49" s="75"/>
      <c r="CO49" s="75"/>
      <c r="CP49" s="75"/>
      <c r="CQ49" s="75"/>
      <c r="CR49" s="75"/>
      <c r="CS49" s="75"/>
      <c r="CT49" s="75"/>
      <c r="CU49" s="75"/>
      <c r="CV49" s="75"/>
      <c r="CW49" s="75"/>
      <c r="CX49" s="75"/>
      <c r="CY49" s="75"/>
      <c r="CZ49" s="75"/>
      <c r="DA49" s="75"/>
      <c r="DB49" s="75"/>
      <c r="DC49" s="75"/>
      <c r="DD49" s="75"/>
    </row>
    <row r="50" spans="1:108">
      <c r="A50" s="75" t="s">
        <v>99</v>
      </c>
      <c r="B50" s="75" t="s">
        <v>100</v>
      </c>
      <c r="C50" s="75" t="s">
        <v>85</v>
      </c>
      <c r="D50" s="75"/>
      <c r="E50" s="75"/>
      <c r="F50" s="75"/>
      <c r="G50" s="75"/>
      <c r="H50" s="75"/>
      <c r="I50" s="75"/>
      <c r="J50" s="75"/>
      <c r="K50" s="75"/>
      <c r="L50" s="75"/>
      <c r="M50" s="78">
        <v>1607</v>
      </c>
      <c r="N50" s="78">
        <v>4822</v>
      </c>
      <c r="O50" s="78">
        <v>4822</v>
      </c>
      <c r="P50" s="75">
        <v>804</v>
      </c>
      <c r="Q50" s="75"/>
      <c r="R50" s="75"/>
      <c r="S50" s="89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  <c r="AV50" s="75"/>
      <c r="AW50" s="75"/>
      <c r="AX50" s="75"/>
      <c r="AY50" s="75"/>
      <c r="AZ50" s="75"/>
      <c r="BA50" s="75"/>
      <c r="BB50" s="75"/>
      <c r="BC50" s="75"/>
      <c r="BD50" s="75"/>
      <c r="BE50" s="75"/>
      <c r="BF50" s="75"/>
      <c r="BG50" s="75"/>
      <c r="BH50" s="75"/>
      <c r="BI50" s="75"/>
      <c r="BJ50" s="75"/>
      <c r="BK50" s="75"/>
      <c r="BL50" s="75"/>
      <c r="BM50" s="75"/>
      <c r="BN50" s="75"/>
      <c r="BO50" s="75"/>
      <c r="BP50" s="75"/>
      <c r="BQ50" s="75"/>
      <c r="BR50" s="75"/>
      <c r="BS50" s="75"/>
      <c r="BT50" s="75"/>
      <c r="BU50" s="75"/>
      <c r="BV50" s="75"/>
      <c r="BW50" s="75"/>
      <c r="BX50" s="75"/>
      <c r="BY50" s="75"/>
      <c r="BZ50" s="75"/>
      <c r="CA50" s="75"/>
      <c r="CB50" s="75"/>
      <c r="CC50" s="75"/>
      <c r="CD50" s="75"/>
      <c r="CE50" s="75"/>
      <c r="CF50" s="75"/>
      <c r="CG50" s="75"/>
      <c r="CH50" s="75"/>
      <c r="CI50" s="75"/>
      <c r="CJ50" s="75"/>
      <c r="CK50" s="75"/>
      <c r="CL50" s="75"/>
      <c r="CM50" s="75"/>
      <c r="CN50" s="75"/>
      <c r="CO50" s="75"/>
      <c r="CP50" s="75"/>
      <c r="CQ50" s="75"/>
      <c r="CR50" s="75"/>
      <c r="CS50" s="75"/>
      <c r="CT50" s="75"/>
      <c r="CU50" s="75"/>
      <c r="CV50" s="75"/>
      <c r="CW50" s="75"/>
      <c r="CX50" s="75"/>
      <c r="CY50" s="75"/>
      <c r="CZ50" s="75"/>
      <c r="DA50" s="75"/>
      <c r="DB50" s="75"/>
      <c r="DC50" s="75"/>
      <c r="DD50" s="75"/>
    </row>
    <row r="51" spans="1:108">
      <c r="A51" s="75" t="s">
        <v>101</v>
      </c>
      <c r="B51" s="75" t="s">
        <v>102</v>
      </c>
      <c r="C51" s="75" t="s">
        <v>85</v>
      </c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8">
        <v>2640</v>
      </c>
      <c r="Q51" s="75"/>
      <c r="R51" s="75"/>
      <c r="S51" s="89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5"/>
      <c r="AN51" s="75"/>
      <c r="AO51" s="75"/>
      <c r="AP51" s="75"/>
      <c r="AQ51" s="75"/>
      <c r="AR51" s="75"/>
      <c r="AS51" s="75"/>
      <c r="AT51" s="75"/>
      <c r="AU51" s="75"/>
      <c r="AV51" s="75"/>
      <c r="AW51" s="75"/>
      <c r="AX51" s="75"/>
      <c r="AY51" s="75"/>
      <c r="AZ51" s="75"/>
      <c r="BA51" s="75"/>
      <c r="BB51" s="75"/>
      <c r="BC51" s="75"/>
      <c r="BD51" s="75"/>
      <c r="BE51" s="75"/>
      <c r="BF51" s="75"/>
      <c r="BG51" s="75"/>
      <c r="BH51" s="75"/>
      <c r="BI51" s="75"/>
      <c r="BJ51" s="75"/>
      <c r="BK51" s="75"/>
      <c r="BL51" s="75"/>
      <c r="BM51" s="75"/>
      <c r="BN51" s="75"/>
      <c r="BO51" s="75"/>
      <c r="BP51" s="75"/>
      <c r="BQ51" s="75"/>
      <c r="BR51" s="75"/>
      <c r="BS51" s="75"/>
      <c r="BT51" s="75"/>
      <c r="BU51" s="75"/>
      <c r="BV51" s="75"/>
      <c r="BW51" s="75"/>
      <c r="BX51" s="75"/>
      <c r="BY51" s="75"/>
      <c r="BZ51" s="75"/>
      <c r="CA51" s="75"/>
      <c r="CB51" s="75"/>
      <c r="CC51" s="75"/>
      <c r="CD51" s="75"/>
      <c r="CE51" s="75"/>
      <c r="CF51" s="75"/>
      <c r="CG51" s="75"/>
      <c r="CH51" s="75"/>
      <c r="CI51" s="75"/>
      <c r="CJ51" s="75"/>
      <c r="CK51" s="75"/>
      <c r="CL51" s="75"/>
      <c r="CM51" s="75"/>
      <c r="CN51" s="75"/>
      <c r="CO51" s="75"/>
      <c r="CP51" s="75"/>
      <c r="CQ51" s="75"/>
      <c r="CR51" s="75"/>
      <c r="CS51" s="75"/>
      <c r="CT51" s="75"/>
      <c r="CU51" s="75"/>
      <c r="CV51" s="75"/>
      <c r="CW51" s="75"/>
      <c r="CX51" s="75"/>
      <c r="CY51" s="75"/>
      <c r="CZ51" s="75"/>
      <c r="DA51" s="75"/>
      <c r="DB51" s="75"/>
      <c r="DC51" s="75"/>
      <c r="DD51" s="75"/>
    </row>
    <row r="52" spans="1:108">
      <c r="A52" s="75" t="s">
        <v>97</v>
      </c>
      <c r="B52" s="75" t="s">
        <v>98</v>
      </c>
      <c r="C52" s="75" t="s">
        <v>85</v>
      </c>
      <c r="D52" s="75"/>
      <c r="E52" s="75"/>
      <c r="F52" s="75"/>
      <c r="G52" s="75"/>
      <c r="H52" s="75"/>
      <c r="I52" s="75"/>
      <c r="J52" s="75"/>
      <c r="K52" s="75"/>
      <c r="L52" s="78">
        <v>8844</v>
      </c>
      <c r="M52" s="78">
        <v>8844</v>
      </c>
      <c r="N52" s="78">
        <v>8844</v>
      </c>
      <c r="O52" s="75"/>
      <c r="P52" s="75"/>
      <c r="Q52" s="75"/>
      <c r="R52" s="75"/>
      <c r="S52" s="89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75"/>
      <c r="AV52" s="75"/>
      <c r="AW52" s="75"/>
      <c r="AX52" s="75"/>
      <c r="AY52" s="75"/>
      <c r="AZ52" s="75"/>
      <c r="BA52" s="75"/>
      <c r="BB52" s="75"/>
      <c r="BC52" s="75"/>
      <c r="BD52" s="75"/>
      <c r="BE52" s="75"/>
      <c r="BF52" s="75"/>
      <c r="BG52" s="75"/>
      <c r="BH52" s="75"/>
      <c r="BI52" s="75"/>
      <c r="BJ52" s="75"/>
      <c r="BK52" s="75"/>
      <c r="BL52" s="75"/>
      <c r="BM52" s="75"/>
      <c r="BN52" s="75"/>
      <c r="BO52" s="75"/>
      <c r="BP52" s="75"/>
      <c r="BQ52" s="75"/>
      <c r="BR52" s="75"/>
      <c r="BS52" s="75"/>
      <c r="BT52" s="75"/>
      <c r="BU52" s="75"/>
      <c r="BV52" s="75"/>
      <c r="BW52" s="75"/>
      <c r="BX52" s="75"/>
      <c r="BY52" s="75"/>
      <c r="BZ52" s="75"/>
      <c r="CA52" s="75"/>
      <c r="CB52" s="75"/>
      <c r="CC52" s="75"/>
      <c r="CD52" s="75"/>
      <c r="CE52" s="75"/>
      <c r="CF52" s="75"/>
      <c r="CG52" s="75"/>
      <c r="CH52" s="75"/>
      <c r="CI52" s="75"/>
      <c r="CJ52" s="75"/>
      <c r="CK52" s="75"/>
      <c r="CL52" s="75"/>
      <c r="CM52" s="75"/>
      <c r="CN52" s="75"/>
      <c r="CO52" s="75"/>
      <c r="CP52" s="75"/>
      <c r="CQ52" s="75"/>
      <c r="CR52" s="75"/>
      <c r="CS52" s="75"/>
      <c r="CT52" s="75"/>
      <c r="CU52" s="75"/>
      <c r="CV52" s="75"/>
      <c r="CW52" s="75"/>
      <c r="CX52" s="75"/>
      <c r="CY52" s="75"/>
      <c r="CZ52" s="75"/>
      <c r="DA52" s="75"/>
      <c r="DB52" s="75"/>
      <c r="DC52" s="75"/>
      <c r="DD52" s="75"/>
    </row>
    <row r="53" spans="1:108">
      <c r="A53" s="75" t="s">
        <v>153</v>
      </c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8">
        <v>7516</v>
      </c>
      <c r="Q53" s="78">
        <v>15305</v>
      </c>
      <c r="R53" s="78">
        <v>20647</v>
      </c>
      <c r="S53" s="88">
        <v>69290</v>
      </c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75"/>
      <c r="AW53" s="75"/>
      <c r="AX53" s="75"/>
      <c r="AY53" s="75"/>
      <c r="AZ53" s="75"/>
      <c r="BA53" s="75"/>
      <c r="BB53" s="75"/>
      <c r="BC53" s="75"/>
      <c r="BD53" s="75"/>
      <c r="BE53" s="75"/>
      <c r="BF53" s="75"/>
      <c r="BG53" s="75"/>
      <c r="BH53" s="75"/>
      <c r="BI53" s="75"/>
      <c r="BJ53" s="75"/>
      <c r="BK53" s="75"/>
      <c r="BL53" s="75"/>
      <c r="BM53" s="75"/>
      <c r="BN53" s="75"/>
      <c r="BO53" s="75"/>
      <c r="BP53" s="75"/>
      <c r="BQ53" s="75"/>
      <c r="BR53" s="75"/>
      <c r="BS53" s="75"/>
      <c r="BT53" s="75"/>
      <c r="BU53" s="75"/>
      <c r="BV53" s="75"/>
      <c r="BW53" s="75"/>
      <c r="BX53" s="75"/>
      <c r="BY53" s="75"/>
      <c r="BZ53" s="75"/>
      <c r="CA53" s="75"/>
      <c r="CB53" s="75"/>
      <c r="CC53" s="75"/>
      <c r="CD53" s="75"/>
      <c r="CE53" s="75"/>
      <c r="CF53" s="75"/>
      <c r="CG53" s="75"/>
      <c r="CH53" s="75"/>
      <c r="CI53" s="75"/>
      <c r="CJ53" s="75"/>
      <c r="CK53" s="75"/>
      <c r="CL53" s="75"/>
      <c r="CM53" s="75"/>
      <c r="CN53" s="75"/>
      <c r="CO53" s="75"/>
      <c r="CP53" s="75"/>
      <c r="CQ53" s="75"/>
      <c r="CR53" s="75"/>
      <c r="CS53" s="75"/>
      <c r="CT53" s="75"/>
      <c r="CU53" s="75"/>
      <c r="CV53" s="75"/>
      <c r="CW53" s="75"/>
      <c r="CX53" s="75"/>
      <c r="CY53" s="75"/>
      <c r="CZ53" s="75"/>
      <c r="DA53" s="75"/>
      <c r="DB53" s="75"/>
      <c r="DC53" s="75"/>
      <c r="DD53" s="75"/>
    </row>
    <row r="54" spans="1:108">
      <c r="A54" s="75" t="s">
        <v>107</v>
      </c>
      <c r="B54" s="75" t="s">
        <v>154</v>
      </c>
      <c r="C54" s="75" t="s">
        <v>85</v>
      </c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8">
        <v>3844</v>
      </c>
      <c r="R54" s="75"/>
      <c r="S54" s="89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75"/>
      <c r="AZ54" s="75"/>
      <c r="BA54" s="75"/>
      <c r="BB54" s="75"/>
      <c r="BC54" s="75"/>
      <c r="BD54" s="75"/>
      <c r="BE54" s="75"/>
      <c r="BF54" s="75"/>
      <c r="BG54" s="75"/>
      <c r="BH54" s="75"/>
      <c r="BI54" s="75"/>
      <c r="BJ54" s="75"/>
      <c r="BK54" s="75"/>
      <c r="BL54" s="75"/>
      <c r="BM54" s="75"/>
      <c r="BN54" s="75"/>
      <c r="BO54" s="75"/>
      <c r="BP54" s="75"/>
      <c r="BQ54" s="75"/>
      <c r="BR54" s="75"/>
      <c r="BS54" s="75"/>
      <c r="BT54" s="75"/>
      <c r="BU54" s="75"/>
      <c r="BV54" s="75"/>
      <c r="BW54" s="75"/>
      <c r="BX54" s="75"/>
      <c r="BY54" s="75"/>
      <c r="BZ54" s="75"/>
      <c r="CA54" s="75"/>
      <c r="CB54" s="75"/>
      <c r="CC54" s="75"/>
      <c r="CD54" s="75"/>
      <c r="CE54" s="75"/>
      <c r="CF54" s="75"/>
      <c r="CG54" s="75"/>
      <c r="CH54" s="75"/>
      <c r="CI54" s="75"/>
      <c r="CJ54" s="75"/>
      <c r="CK54" s="75"/>
      <c r="CL54" s="75"/>
      <c r="CM54" s="75"/>
      <c r="CN54" s="75"/>
      <c r="CO54" s="75"/>
      <c r="CP54" s="75"/>
      <c r="CQ54" s="75"/>
      <c r="CR54" s="75"/>
      <c r="CS54" s="75"/>
      <c r="CT54" s="75"/>
      <c r="CU54" s="75"/>
      <c r="CV54" s="75"/>
      <c r="CW54" s="75"/>
      <c r="CX54" s="75"/>
      <c r="CY54" s="75"/>
      <c r="CZ54" s="75"/>
      <c r="DA54" s="75"/>
      <c r="DB54" s="75"/>
      <c r="DC54" s="75"/>
      <c r="DD54" s="75"/>
    </row>
    <row r="55" spans="1:108">
      <c r="A55" s="75" t="s">
        <v>155</v>
      </c>
      <c r="B55" s="75" t="s">
        <v>156</v>
      </c>
      <c r="C55" s="75" t="s">
        <v>85</v>
      </c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88">
        <v>41888</v>
      </c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75"/>
      <c r="BL55" s="75"/>
      <c r="BM55" s="75"/>
      <c r="BN55" s="75"/>
      <c r="BO55" s="75"/>
      <c r="BP55" s="75"/>
      <c r="BQ55" s="75"/>
      <c r="BR55" s="75"/>
      <c r="BS55" s="75"/>
      <c r="BT55" s="75"/>
      <c r="BU55" s="75"/>
      <c r="BV55" s="75"/>
      <c r="BW55" s="75"/>
      <c r="BX55" s="75"/>
      <c r="BY55" s="75"/>
      <c r="BZ55" s="75"/>
      <c r="CA55" s="75"/>
      <c r="CB55" s="75"/>
      <c r="CC55" s="75"/>
      <c r="CD55" s="75"/>
      <c r="CE55" s="75"/>
      <c r="CF55" s="75"/>
      <c r="CG55" s="75"/>
      <c r="CH55" s="75"/>
      <c r="CI55" s="75"/>
      <c r="CJ55" s="75"/>
      <c r="CK55" s="75"/>
      <c r="CL55" s="75"/>
      <c r="CM55" s="75"/>
      <c r="CN55" s="75"/>
      <c r="CO55" s="75"/>
      <c r="CP55" s="75"/>
      <c r="CQ55" s="75"/>
      <c r="CR55" s="75"/>
      <c r="CS55" s="75"/>
      <c r="CT55" s="75"/>
      <c r="CU55" s="75"/>
      <c r="CV55" s="75"/>
      <c r="CW55" s="75"/>
      <c r="CX55" s="75"/>
      <c r="CY55" s="75"/>
      <c r="CZ55" s="75"/>
      <c r="DA55" s="75"/>
      <c r="DB55" s="75"/>
      <c r="DC55" s="75"/>
      <c r="DD55" s="75"/>
    </row>
    <row r="56" spans="1:108">
      <c r="A56" s="75" t="s">
        <v>155</v>
      </c>
      <c r="B56" s="75" t="s">
        <v>156</v>
      </c>
      <c r="C56" s="75" t="s">
        <v>85</v>
      </c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88">
        <v>2640</v>
      </c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75"/>
      <c r="AK56" s="75"/>
      <c r="AL56" s="75"/>
      <c r="AM56" s="75"/>
      <c r="AN56" s="75"/>
      <c r="AO56" s="75"/>
      <c r="AP56" s="75"/>
      <c r="AQ56" s="75"/>
      <c r="AR56" s="75"/>
      <c r="AS56" s="75"/>
      <c r="AT56" s="75"/>
      <c r="AU56" s="75"/>
      <c r="AV56" s="75"/>
      <c r="AW56" s="75"/>
      <c r="AX56" s="75"/>
      <c r="AY56" s="75"/>
      <c r="AZ56" s="75"/>
      <c r="BA56" s="75"/>
      <c r="BB56" s="75"/>
      <c r="BC56" s="75"/>
      <c r="BD56" s="75"/>
      <c r="BE56" s="75"/>
      <c r="BF56" s="75"/>
      <c r="BG56" s="75"/>
      <c r="BH56" s="75"/>
      <c r="BI56" s="75"/>
      <c r="BJ56" s="75"/>
      <c r="BK56" s="75"/>
      <c r="BL56" s="75"/>
      <c r="BM56" s="75"/>
      <c r="BN56" s="75"/>
      <c r="BO56" s="75"/>
      <c r="BP56" s="75"/>
      <c r="BQ56" s="75"/>
      <c r="BR56" s="75"/>
      <c r="BS56" s="75"/>
      <c r="BT56" s="75"/>
      <c r="BU56" s="75"/>
      <c r="BV56" s="75"/>
      <c r="BW56" s="75"/>
      <c r="BX56" s="75"/>
      <c r="BY56" s="75"/>
      <c r="BZ56" s="75"/>
      <c r="CA56" s="75"/>
      <c r="CB56" s="75"/>
      <c r="CC56" s="75"/>
      <c r="CD56" s="75"/>
      <c r="CE56" s="75"/>
      <c r="CF56" s="75"/>
      <c r="CG56" s="75"/>
      <c r="CH56" s="75"/>
      <c r="CI56" s="75"/>
      <c r="CJ56" s="75"/>
      <c r="CK56" s="75"/>
      <c r="CL56" s="75"/>
      <c r="CM56" s="75"/>
      <c r="CN56" s="75"/>
      <c r="CO56" s="75"/>
      <c r="CP56" s="75"/>
      <c r="CQ56" s="75"/>
      <c r="CR56" s="75"/>
      <c r="CS56" s="75"/>
      <c r="CT56" s="75"/>
      <c r="CU56" s="75"/>
      <c r="CV56" s="75"/>
      <c r="CW56" s="75"/>
      <c r="CX56" s="75"/>
      <c r="CY56" s="75"/>
      <c r="CZ56" s="75"/>
      <c r="DA56" s="75"/>
      <c r="DB56" s="75"/>
      <c r="DC56" s="75"/>
      <c r="DD56" s="75"/>
    </row>
    <row r="57" spans="1:108">
      <c r="A57" s="75" t="s">
        <v>155</v>
      </c>
      <c r="B57" s="75" t="s">
        <v>156</v>
      </c>
      <c r="C57" s="75" t="s">
        <v>85</v>
      </c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88">
        <v>2552</v>
      </c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/>
      <c r="AN57" s="75"/>
      <c r="AO57" s="75"/>
      <c r="AP57" s="75"/>
      <c r="AQ57" s="75"/>
      <c r="AR57" s="75"/>
      <c r="AS57" s="75"/>
      <c r="AT57" s="75"/>
      <c r="AU57" s="75"/>
      <c r="AV57" s="75"/>
      <c r="AW57" s="75"/>
      <c r="AX57" s="75"/>
      <c r="AY57" s="75"/>
      <c r="AZ57" s="75"/>
      <c r="BA57" s="75"/>
      <c r="BB57" s="75"/>
      <c r="BC57" s="75"/>
      <c r="BD57" s="75"/>
      <c r="BE57" s="75"/>
      <c r="BF57" s="75"/>
      <c r="BG57" s="75"/>
      <c r="BH57" s="75"/>
      <c r="BI57" s="75"/>
      <c r="BJ57" s="75"/>
      <c r="BK57" s="75"/>
      <c r="BL57" s="75"/>
      <c r="BM57" s="75"/>
      <c r="BN57" s="75"/>
      <c r="BO57" s="75"/>
      <c r="BP57" s="75"/>
      <c r="BQ57" s="75"/>
      <c r="BR57" s="75"/>
      <c r="BS57" s="75"/>
      <c r="BT57" s="75"/>
      <c r="BU57" s="75"/>
      <c r="BV57" s="75"/>
      <c r="BW57" s="75"/>
      <c r="BX57" s="75"/>
      <c r="BY57" s="75"/>
      <c r="BZ57" s="75"/>
      <c r="CA57" s="75"/>
      <c r="CB57" s="75"/>
      <c r="CC57" s="75"/>
      <c r="CD57" s="75"/>
      <c r="CE57" s="75"/>
      <c r="CF57" s="75"/>
      <c r="CG57" s="75"/>
      <c r="CH57" s="75"/>
      <c r="CI57" s="75"/>
      <c r="CJ57" s="75"/>
      <c r="CK57" s="75"/>
      <c r="CL57" s="75"/>
      <c r="CM57" s="75"/>
      <c r="CN57" s="75"/>
      <c r="CO57" s="75"/>
      <c r="CP57" s="75"/>
      <c r="CQ57" s="75"/>
      <c r="CR57" s="75"/>
      <c r="CS57" s="75"/>
      <c r="CT57" s="75"/>
      <c r="CU57" s="75"/>
      <c r="CV57" s="75"/>
      <c r="CW57" s="75"/>
      <c r="CX57" s="75"/>
      <c r="CY57" s="75"/>
      <c r="CZ57" s="75"/>
      <c r="DA57" s="75"/>
      <c r="DB57" s="75"/>
      <c r="DC57" s="75"/>
      <c r="DD57" s="75"/>
    </row>
    <row r="58" spans="1:108">
      <c r="A58" s="75" t="s">
        <v>103</v>
      </c>
      <c r="B58" s="75" t="s">
        <v>157</v>
      </c>
      <c r="C58" s="75" t="s">
        <v>85</v>
      </c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8">
        <v>11310</v>
      </c>
      <c r="S58" s="88">
        <v>18849</v>
      </c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5"/>
      <c r="AV58" s="75"/>
      <c r="AW58" s="75"/>
      <c r="AX58" s="75"/>
      <c r="AY58" s="75"/>
      <c r="AZ58" s="75"/>
      <c r="BA58" s="75"/>
      <c r="BB58" s="75"/>
      <c r="BC58" s="75"/>
      <c r="BD58" s="75"/>
      <c r="BE58" s="75"/>
      <c r="BF58" s="75"/>
      <c r="BG58" s="75"/>
      <c r="BH58" s="75"/>
      <c r="BI58" s="75"/>
      <c r="BJ58" s="75"/>
      <c r="BK58" s="75"/>
      <c r="BL58" s="75"/>
      <c r="BM58" s="75"/>
      <c r="BN58" s="75"/>
      <c r="BO58" s="75"/>
      <c r="BP58" s="75"/>
      <c r="BQ58" s="75"/>
      <c r="BR58" s="75"/>
      <c r="BS58" s="75"/>
      <c r="BT58" s="75"/>
      <c r="BU58" s="75"/>
      <c r="BV58" s="75"/>
      <c r="BW58" s="75"/>
      <c r="BX58" s="75"/>
      <c r="BY58" s="75"/>
      <c r="BZ58" s="75"/>
      <c r="CA58" s="75"/>
      <c r="CB58" s="75"/>
      <c r="CC58" s="75"/>
      <c r="CD58" s="75"/>
      <c r="CE58" s="75"/>
      <c r="CF58" s="75"/>
      <c r="CG58" s="75"/>
      <c r="CH58" s="75"/>
      <c r="CI58" s="75"/>
      <c r="CJ58" s="75"/>
      <c r="CK58" s="75"/>
      <c r="CL58" s="75"/>
      <c r="CM58" s="75"/>
      <c r="CN58" s="75"/>
      <c r="CO58" s="75"/>
      <c r="CP58" s="75"/>
      <c r="CQ58" s="75"/>
      <c r="CR58" s="75"/>
      <c r="CS58" s="75"/>
      <c r="CT58" s="75"/>
      <c r="CU58" s="75"/>
      <c r="CV58" s="75"/>
      <c r="CW58" s="75"/>
      <c r="CX58" s="75"/>
      <c r="CY58" s="75"/>
      <c r="CZ58" s="75"/>
      <c r="DA58" s="75"/>
      <c r="DB58" s="75"/>
      <c r="DC58" s="75"/>
      <c r="DD58" s="75"/>
    </row>
    <row r="59" spans="1:108">
      <c r="A59" s="75" t="s">
        <v>103</v>
      </c>
      <c r="B59" s="75" t="s">
        <v>157</v>
      </c>
      <c r="C59" s="75" t="s">
        <v>85</v>
      </c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8">
        <v>1069</v>
      </c>
      <c r="S59" s="88">
        <v>1782</v>
      </c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  <c r="AG59" s="75"/>
      <c r="AH59" s="75"/>
      <c r="AI59" s="75"/>
      <c r="AJ59" s="75"/>
      <c r="AK59" s="75"/>
      <c r="AL59" s="75"/>
      <c r="AM59" s="75"/>
      <c r="AN59" s="75"/>
      <c r="AO59" s="75"/>
      <c r="AP59" s="75"/>
      <c r="AQ59" s="75"/>
      <c r="AR59" s="75"/>
      <c r="AS59" s="75"/>
      <c r="AT59" s="75"/>
      <c r="AU59" s="75"/>
      <c r="AV59" s="75"/>
      <c r="AW59" s="75"/>
      <c r="AX59" s="75"/>
      <c r="AY59" s="75"/>
      <c r="AZ59" s="75"/>
      <c r="BA59" s="75"/>
      <c r="BB59" s="75"/>
      <c r="BC59" s="75"/>
      <c r="BD59" s="75"/>
      <c r="BE59" s="75"/>
      <c r="BF59" s="75"/>
      <c r="BG59" s="75"/>
      <c r="BH59" s="75"/>
      <c r="BI59" s="75"/>
      <c r="BJ59" s="75"/>
      <c r="BK59" s="75"/>
      <c r="BL59" s="75"/>
      <c r="BM59" s="75"/>
      <c r="BN59" s="75"/>
      <c r="BO59" s="75"/>
      <c r="BP59" s="75"/>
      <c r="BQ59" s="75"/>
      <c r="BR59" s="75"/>
      <c r="BS59" s="75"/>
      <c r="BT59" s="75"/>
      <c r="BU59" s="75"/>
      <c r="BV59" s="75"/>
      <c r="BW59" s="75"/>
      <c r="BX59" s="75"/>
      <c r="BY59" s="75"/>
      <c r="BZ59" s="75"/>
      <c r="CA59" s="75"/>
      <c r="CB59" s="75"/>
      <c r="CC59" s="75"/>
      <c r="CD59" s="75"/>
      <c r="CE59" s="75"/>
      <c r="CF59" s="75"/>
      <c r="CG59" s="75"/>
      <c r="CH59" s="75"/>
      <c r="CI59" s="75"/>
      <c r="CJ59" s="75"/>
      <c r="CK59" s="75"/>
      <c r="CL59" s="75"/>
      <c r="CM59" s="75"/>
      <c r="CN59" s="75"/>
      <c r="CO59" s="75"/>
      <c r="CP59" s="75"/>
      <c r="CQ59" s="75"/>
      <c r="CR59" s="75"/>
      <c r="CS59" s="75"/>
      <c r="CT59" s="75"/>
      <c r="CU59" s="75"/>
      <c r="CV59" s="75"/>
      <c r="CW59" s="75"/>
      <c r="CX59" s="75"/>
      <c r="CY59" s="75"/>
      <c r="CZ59" s="75"/>
      <c r="DA59" s="75"/>
      <c r="DB59" s="75"/>
      <c r="DC59" s="75"/>
      <c r="DD59" s="75"/>
    </row>
    <row r="60" spans="1:108">
      <c r="A60" s="75" t="s">
        <v>103</v>
      </c>
      <c r="B60" s="75" t="s">
        <v>157</v>
      </c>
      <c r="C60" s="75" t="s">
        <v>85</v>
      </c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>
        <v>947</v>
      </c>
      <c r="S60" s="88">
        <v>1579</v>
      </c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75"/>
      <c r="AO60" s="75"/>
      <c r="AP60" s="75"/>
      <c r="AQ60" s="75"/>
      <c r="AR60" s="75"/>
      <c r="AS60" s="75"/>
      <c r="AT60" s="75"/>
      <c r="AU60" s="75"/>
      <c r="AV60" s="75"/>
      <c r="AW60" s="75"/>
      <c r="AX60" s="75"/>
      <c r="AY60" s="75"/>
      <c r="AZ60" s="75"/>
      <c r="BA60" s="75"/>
      <c r="BB60" s="75"/>
      <c r="BC60" s="75"/>
      <c r="BD60" s="75"/>
      <c r="BE60" s="75"/>
      <c r="BF60" s="75"/>
      <c r="BG60" s="75"/>
      <c r="BH60" s="75"/>
      <c r="BI60" s="75"/>
      <c r="BJ60" s="75"/>
      <c r="BK60" s="75"/>
      <c r="BL60" s="75"/>
      <c r="BM60" s="75"/>
      <c r="BN60" s="75"/>
      <c r="BO60" s="75"/>
      <c r="BP60" s="75"/>
      <c r="BQ60" s="75"/>
      <c r="BR60" s="75"/>
      <c r="BS60" s="75"/>
      <c r="BT60" s="75"/>
      <c r="BU60" s="75"/>
      <c r="BV60" s="75"/>
      <c r="BW60" s="75"/>
      <c r="BX60" s="75"/>
      <c r="BY60" s="75"/>
      <c r="BZ60" s="75"/>
      <c r="CA60" s="75"/>
      <c r="CB60" s="75"/>
      <c r="CC60" s="75"/>
      <c r="CD60" s="75"/>
      <c r="CE60" s="75"/>
      <c r="CF60" s="75"/>
      <c r="CG60" s="75"/>
      <c r="CH60" s="75"/>
      <c r="CI60" s="75"/>
      <c r="CJ60" s="75"/>
      <c r="CK60" s="75"/>
      <c r="CL60" s="75"/>
      <c r="CM60" s="75"/>
      <c r="CN60" s="75"/>
      <c r="CO60" s="75"/>
      <c r="CP60" s="75"/>
      <c r="CQ60" s="75"/>
      <c r="CR60" s="75"/>
      <c r="CS60" s="75"/>
      <c r="CT60" s="75"/>
      <c r="CU60" s="75"/>
      <c r="CV60" s="75"/>
      <c r="CW60" s="75"/>
      <c r="CX60" s="75"/>
      <c r="CY60" s="75"/>
      <c r="CZ60" s="75"/>
      <c r="DA60" s="75"/>
      <c r="DB60" s="75"/>
      <c r="DC60" s="75"/>
      <c r="DD60" s="75"/>
    </row>
    <row r="61" spans="1:108">
      <c r="A61" s="75" t="s">
        <v>104</v>
      </c>
      <c r="B61" s="75" t="s">
        <v>158</v>
      </c>
      <c r="C61" s="75" t="s">
        <v>85</v>
      </c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8">
        <v>7516</v>
      </c>
      <c r="Q61" s="78">
        <v>5010</v>
      </c>
      <c r="R61" s="75"/>
      <c r="S61" s="89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75"/>
      <c r="AH61" s="75"/>
      <c r="AI61" s="75"/>
      <c r="AJ61" s="75"/>
      <c r="AK61" s="75"/>
      <c r="AL61" s="75"/>
      <c r="AM61" s="75"/>
      <c r="AN61" s="75"/>
      <c r="AO61" s="75"/>
      <c r="AP61" s="75"/>
      <c r="AQ61" s="75"/>
      <c r="AR61" s="75"/>
      <c r="AS61" s="75"/>
      <c r="AT61" s="75"/>
      <c r="AU61" s="75"/>
      <c r="AV61" s="75"/>
      <c r="AW61" s="75"/>
      <c r="AX61" s="75"/>
      <c r="AY61" s="75"/>
      <c r="AZ61" s="75"/>
      <c r="BA61" s="75"/>
      <c r="BB61" s="75"/>
      <c r="BC61" s="75"/>
      <c r="BD61" s="75"/>
      <c r="BE61" s="75"/>
      <c r="BF61" s="75"/>
      <c r="BG61" s="75"/>
      <c r="BH61" s="75"/>
      <c r="BI61" s="75"/>
      <c r="BJ61" s="75"/>
      <c r="BK61" s="75"/>
      <c r="BL61" s="75"/>
      <c r="BM61" s="75"/>
      <c r="BN61" s="75"/>
      <c r="BO61" s="75"/>
      <c r="BP61" s="75"/>
      <c r="BQ61" s="75"/>
      <c r="BR61" s="75"/>
      <c r="BS61" s="75"/>
      <c r="BT61" s="75"/>
      <c r="BU61" s="75"/>
      <c r="BV61" s="75"/>
      <c r="BW61" s="75"/>
      <c r="BX61" s="75"/>
      <c r="BY61" s="75"/>
      <c r="BZ61" s="75"/>
      <c r="CA61" s="75"/>
      <c r="CB61" s="75"/>
      <c r="CC61" s="75"/>
      <c r="CD61" s="75"/>
      <c r="CE61" s="75"/>
      <c r="CF61" s="75"/>
      <c r="CG61" s="75"/>
      <c r="CH61" s="75"/>
      <c r="CI61" s="75"/>
      <c r="CJ61" s="75"/>
      <c r="CK61" s="75"/>
      <c r="CL61" s="75"/>
      <c r="CM61" s="75"/>
      <c r="CN61" s="75"/>
      <c r="CO61" s="75"/>
      <c r="CP61" s="75"/>
      <c r="CQ61" s="75"/>
      <c r="CR61" s="75"/>
      <c r="CS61" s="75"/>
      <c r="CT61" s="75"/>
      <c r="CU61" s="75"/>
      <c r="CV61" s="75"/>
      <c r="CW61" s="75"/>
      <c r="CX61" s="75"/>
      <c r="CY61" s="75"/>
      <c r="CZ61" s="75"/>
      <c r="DA61" s="75"/>
      <c r="DB61" s="75"/>
      <c r="DC61" s="75"/>
      <c r="DD61" s="75"/>
    </row>
    <row r="62" spans="1:108">
      <c r="A62" s="75" t="s">
        <v>105</v>
      </c>
      <c r="B62" s="75" t="s">
        <v>159</v>
      </c>
      <c r="C62" s="75" t="s">
        <v>85</v>
      </c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8">
        <v>4635</v>
      </c>
      <c r="R62" s="78">
        <v>6180</v>
      </c>
      <c r="S62" s="89"/>
      <c r="T62" s="75"/>
      <c r="U62" s="75"/>
      <c r="V62" s="75"/>
      <c r="W62" s="75"/>
      <c r="X62" s="75"/>
      <c r="Y62" s="75"/>
      <c r="Z62" s="75"/>
      <c r="AA62" s="75"/>
      <c r="AB62" s="75"/>
      <c r="AC62" s="75"/>
      <c r="AD62" s="75"/>
      <c r="AE62" s="75"/>
      <c r="AF62" s="75"/>
      <c r="AG62" s="75"/>
      <c r="AH62" s="75"/>
      <c r="AI62" s="75"/>
      <c r="AJ62" s="75"/>
      <c r="AK62" s="75"/>
      <c r="AL62" s="75"/>
      <c r="AM62" s="75"/>
      <c r="AN62" s="75"/>
      <c r="AO62" s="75"/>
      <c r="AP62" s="75"/>
      <c r="AQ62" s="75"/>
      <c r="AR62" s="75"/>
      <c r="AS62" s="75"/>
      <c r="AT62" s="75"/>
      <c r="AU62" s="75"/>
      <c r="AV62" s="75"/>
      <c r="AW62" s="75"/>
      <c r="AX62" s="75"/>
      <c r="AY62" s="75"/>
      <c r="AZ62" s="75"/>
      <c r="BA62" s="75"/>
      <c r="BB62" s="75"/>
      <c r="BC62" s="75"/>
      <c r="BD62" s="75"/>
      <c r="BE62" s="75"/>
      <c r="BF62" s="75"/>
      <c r="BG62" s="75"/>
      <c r="BH62" s="75"/>
      <c r="BI62" s="75"/>
      <c r="BJ62" s="75"/>
      <c r="BK62" s="75"/>
      <c r="BL62" s="75"/>
      <c r="BM62" s="75"/>
      <c r="BN62" s="75"/>
      <c r="BO62" s="75"/>
      <c r="BP62" s="75"/>
      <c r="BQ62" s="75"/>
      <c r="BR62" s="75"/>
      <c r="BS62" s="75"/>
      <c r="BT62" s="75"/>
      <c r="BU62" s="75"/>
      <c r="BV62" s="75"/>
      <c r="BW62" s="75"/>
      <c r="BX62" s="75"/>
      <c r="BY62" s="75"/>
      <c r="BZ62" s="75"/>
      <c r="CA62" s="75"/>
      <c r="CB62" s="75"/>
      <c r="CC62" s="75"/>
      <c r="CD62" s="75"/>
      <c r="CE62" s="75"/>
      <c r="CF62" s="75"/>
      <c r="CG62" s="75"/>
      <c r="CH62" s="75"/>
      <c r="CI62" s="75"/>
      <c r="CJ62" s="75"/>
      <c r="CK62" s="75"/>
      <c r="CL62" s="75"/>
      <c r="CM62" s="75"/>
      <c r="CN62" s="75"/>
      <c r="CO62" s="75"/>
      <c r="CP62" s="75"/>
      <c r="CQ62" s="75"/>
      <c r="CR62" s="75"/>
      <c r="CS62" s="75"/>
      <c r="CT62" s="75"/>
      <c r="CU62" s="75"/>
      <c r="CV62" s="75"/>
      <c r="CW62" s="75"/>
      <c r="CX62" s="75"/>
      <c r="CY62" s="75"/>
      <c r="CZ62" s="75"/>
      <c r="DA62" s="75"/>
      <c r="DB62" s="75"/>
      <c r="DC62" s="75"/>
      <c r="DD62" s="75"/>
    </row>
    <row r="63" spans="1:108">
      <c r="A63" s="75" t="s">
        <v>105</v>
      </c>
      <c r="B63" s="75" t="s">
        <v>159</v>
      </c>
      <c r="C63" s="75" t="s">
        <v>85</v>
      </c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>
        <v>747</v>
      </c>
      <c r="R63" s="75">
        <v>995</v>
      </c>
      <c r="S63" s="89"/>
      <c r="T63" s="75"/>
      <c r="U63" s="75"/>
      <c r="V63" s="75"/>
      <c r="W63" s="75"/>
      <c r="X63" s="75"/>
      <c r="Y63" s="75"/>
      <c r="Z63" s="75"/>
      <c r="AA63" s="75"/>
      <c r="AB63" s="75"/>
      <c r="AC63" s="75"/>
      <c r="AD63" s="75"/>
      <c r="AE63" s="75"/>
      <c r="AF63" s="75"/>
      <c r="AG63" s="75"/>
      <c r="AH63" s="75"/>
      <c r="AI63" s="75"/>
      <c r="AJ63" s="75"/>
      <c r="AK63" s="75"/>
      <c r="AL63" s="75"/>
      <c r="AM63" s="75"/>
      <c r="AN63" s="75"/>
      <c r="AO63" s="75"/>
      <c r="AP63" s="75"/>
      <c r="AQ63" s="75"/>
      <c r="AR63" s="75"/>
      <c r="AS63" s="75"/>
      <c r="AT63" s="75"/>
      <c r="AU63" s="75"/>
      <c r="AV63" s="75"/>
      <c r="AW63" s="75"/>
      <c r="AX63" s="75"/>
      <c r="AY63" s="75"/>
      <c r="AZ63" s="75"/>
      <c r="BA63" s="75"/>
      <c r="BB63" s="75"/>
      <c r="BC63" s="75"/>
      <c r="BD63" s="75"/>
      <c r="BE63" s="75"/>
      <c r="BF63" s="75"/>
      <c r="BG63" s="75"/>
      <c r="BH63" s="75"/>
      <c r="BI63" s="75"/>
      <c r="BJ63" s="75"/>
      <c r="BK63" s="75"/>
      <c r="BL63" s="75"/>
      <c r="BM63" s="75"/>
      <c r="BN63" s="75"/>
      <c r="BO63" s="75"/>
      <c r="BP63" s="75"/>
      <c r="BQ63" s="75"/>
      <c r="BR63" s="75"/>
      <c r="BS63" s="75"/>
      <c r="BT63" s="75"/>
      <c r="BU63" s="75"/>
      <c r="BV63" s="75"/>
      <c r="BW63" s="75"/>
      <c r="BX63" s="75"/>
      <c r="BY63" s="75"/>
      <c r="BZ63" s="75"/>
      <c r="CA63" s="75"/>
      <c r="CB63" s="75"/>
      <c r="CC63" s="75"/>
      <c r="CD63" s="75"/>
      <c r="CE63" s="75"/>
      <c r="CF63" s="75"/>
      <c r="CG63" s="75"/>
      <c r="CH63" s="75"/>
      <c r="CI63" s="75"/>
      <c r="CJ63" s="75"/>
      <c r="CK63" s="75"/>
      <c r="CL63" s="75"/>
      <c r="CM63" s="75"/>
      <c r="CN63" s="75"/>
      <c r="CO63" s="75"/>
      <c r="CP63" s="75"/>
      <c r="CQ63" s="75"/>
      <c r="CR63" s="75"/>
      <c r="CS63" s="75"/>
      <c r="CT63" s="75"/>
      <c r="CU63" s="75"/>
      <c r="CV63" s="75"/>
      <c r="CW63" s="75"/>
      <c r="CX63" s="75"/>
      <c r="CY63" s="75"/>
      <c r="CZ63" s="75"/>
      <c r="DA63" s="75"/>
      <c r="DB63" s="75"/>
      <c r="DC63" s="75"/>
      <c r="DD63" s="75"/>
    </row>
    <row r="64" spans="1:108">
      <c r="A64" s="75" t="s">
        <v>105</v>
      </c>
      <c r="B64" s="75" t="s">
        <v>159</v>
      </c>
      <c r="C64" s="75" t="s">
        <v>85</v>
      </c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>
        <v>109</v>
      </c>
      <c r="R64" s="75">
        <v>146</v>
      </c>
      <c r="S64" s="89"/>
      <c r="T64" s="75"/>
      <c r="U64" s="75"/>
      <c r="V64" s="75"/>
      <c r="W64" s="75"/>
      <c r="X64" s="75"/>
      <c r="Y64" s="75"/>
      <c r="Z64" s="75"/>
      <c r="AA64" s="75"/>
      <c r="AB64" s="75"/>
      <c r="AC64" s="75"/>
      <c r="AD64" s="75"/>
      <c r="AE64" s="75"/>
      <c r="AF64" s="75"/>
      <c r="AG64" s="75"/>
      <c r="AH64" s="75"/>
      <c r="AI64" s="75"/>
      <c r="AJ64" s="75"/>
      <c r="AK64" s="75"/>
      <c r="AL64" s="75"/>
      <c r="AM64" s="75"/>
      <c r="AN64" s="75"/>
      <c r="AO64" s="75"/>
      <c r="AP64" s="75"/>
      <c r="AQ64" s="75"/>
      <c r="AR64" s="75"/>
      <c r="AS64" s="75"/>
      <c r="AT64" s="75"/>
      <c r="AU64" s="75"/>
      <c r="AV64" s="75"/>
      <c r="AW64" s="75"/>
      <c r="AX64" s="75"/>
      <c r="AY64" s="75"/>
      <c r="AZ64" s="75"/>
      <c r="BA64" s="75"/>
      <c r="BB64" s="75"/>
      <c r="BC64" s="75"/>
      <c r="BD64" s="75"/>
      <c r="BE64" s="75"/>
      <c r="BF64" s="75"/>
      <c r="BG64" s="75"/>
      <c r="BH64" s="75"/>
      <c r="BI64" s="75"/>
      <c r="BJ64" s="75"/>
      <c r="BK64" s="75"/>
      <c r="BL64" s="75"/>
      <c r="BM64" s="75"/>
      <c r="BN64" s="75"/>
      <c r="BO64" s="75"/>
      <c r="BP64" s="75"/>
      <c r="BQ64" s="75"/>
      <c r="BR64" s="75"/>
      <c r="BS64" s="75"/>
      <c r="BT64" s="75"/>
      <c r="BU64" s="75"/>
      <c r="BV64" s="75"/>
      <c r="BW64" s="75"/>
      <c r="BX64" s="75"/>
      <c r="BY64" s="75"/>
      <c r="BZ64" s="75"/>
      <c r="CA64" s="75"/>
      <c r="CB64" s="75"/>
      <c r="CC64" s="75"/>
      <c r="CD64" s="75"/>
      <c r="CE64" s="75"/>
      <c r="CF64" s="75"/>
      <c r="CG64" s="75"/>
      <c r="CH64" s="75"/>
      <c r="CI64" s="75"/>
      <c r="CJ64" s="75"/>
      <c r="CK64" s="75"/>
      <c r="CL64" s="75"/>
      <c r="CM64" s="75"/>
      <c r="CN64" s="75"/>
      <c r="CO64" s="75"/>
      <c r="CP64" s="75"/>
      <c r="CQ64" s="75"/>
      <c r="CR64" s="75"/>
      <c r="CS64" s="75"/>
      <c r="CT64" s="75"/>
      <c r="CU64" s="75"/>
      <c r="CV64" s="75"/>
      <c r="CW64" s="75"/>
      <c r="CX64" s="75"/>
      <c r="CY64" s="75"/>
      <c r="CZ64" s="75"/>
      <c r="DA64" s="75"/>
      <c r="DB64" s="75"/>
      <c r="DC64" s="75"/>
      <c r="DD64" s="75"/>
    </row>
    <row r="65" spans="1:108">
      <c r="A65" s="75" t="s">
        <v>106</v>
      </c>
      <c r="B65" s="75" t="s">
        <v>160</v>
      </c>
      <c r="C65" s="75" t="s">
        <v>85</v>
      </c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>
        <v>960</v>
      </c>
      <c r="R65" s="75"/>
      <c r="S65" s="89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5"/>
      <c r="AK65" s="75"/>
      <c r="AL65" s="75"/>
      <c r="AM65" s="75"/>
      <c r="AN65" s="75"/>
      <c r="AO65" s="75"/>
      <c r="AP65" s="75"/>
      <c r="AQ65" s="75"/>
      <c r="AR65" s="75"/>
      <c r="AS65" s="75"/>
      <c r="AT65" s="75"/>
      <c r="AU65" s="75"/>
      <c r="AV65" s="75"/>
      <c r="AW65" s="75"/>
      <c r="AX65" s="75"/>
      <c r="AY65" s="75"/>
      <c r="AZ65" s="75"/>
      <c r="BA65" s="75"/>
      <c r="BB65" s="75"/>
      <c r="BC65" s="75"/>
      <c r="BD65" s="75"/>
      <c r="BE65" s="75"/>
      <c r="BF65" s="75"/>
      <c r="BG65" s="75"/>
      <c r="BH65" s="75"/>
      <c r="BI65" s="75"/>
      <c r="BJ65" s="75"/>
      <c r="BK65" s="75"/>
      <c r="BL65" s="75"/>
      <c r="BM65" s="75"/>
      <c r="BN65" s="75"/>
      <c r="BO65" s="75"/>
      <c r="BP65" s="75"/>
      <c r="BQ65" s="75"/>
      <c r="BR65" s="75"/>
      <c r="BS65" s="75"/>
      <c r="BT65" s="75"/>
      <c r="BU65" s="75"/>
      <c r="BV65" s="75"/>
      <c r="BW65" s="75"/>
      <c r="BX65" s="75"/>
      <c r="BY65" s="75"/>
      <c r="BZ65" s="75"/>
      <c r="CA65" s="75"/>
      <c r="CB65" s="75"/>
      <c r="CC65" s="75"/>
      <c r="CD65" s="75"/>
      <c r="CE65" s="75"/>
      <c r="CF65" s="75"/>
      <c r="CG65" s="75"/>
      <c r="CH65" s="75"/>
      <c r="CI65" s="75"/>
      <c r="CJ65" s="75"/>
      <c r="CK65" s="75"/>
      <c r="CL65" s="75"/>
      <c r="CM65" s="75"/>
      <c r="CN65" s="75"/>
      <c r="CO65" s="75"/>
      <c r="CP65" s="75"/>
      <c r="CQ65" s="75"/>
      <c r="CR65" s="75"/>
      <c r="CS65" s="75"/>
      <c r="CT65" s="75"/>
      <c r="CU65" s="75"/>
      <c r="CV65" s="75"/>
      <c r="CW65" s="75"/>
      <c r="CX65" s="75"/>
      <c r="CY65" s="75"/>
      <c r="CZ65" s="75"/>
      <c r="DA65" s="75"/>
      <c r="DB65" s="75"/>
      <c r="DC65" s="75"/>
      <c r="DD65" s="75"/>
    </row>
    <row r="66" spans="1:108">
      <c r="A66" s="75" t="s">
        <v>140</v>
      </c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89"/>
      <c r="T66" s="78">
        <v>31424</v>
      </c>
      <c r="U66" s="78">
        <v>31109</v>
      </c>
      <c r="V66" s="78">
        <v>16227</v>
      </c>
      <c r="W66" s="75"/>
      <c r="X66" s="75"/>
      <c r="Y66" s="75"/>
      <c r="Z66" s="75"/>
      <c r="AA66" s="75"/>
      <c r="AB66" s="75"/>
      <c r="AC66" s="75"/>
      <c r="AD66" s="75"/>
      <c r="AE66" s="75"/>
      <c r="AF66" s="75"/>
      <c r="AG66" s="75"/>
      <c r="AH66" s="75"/>
      <c r="AI66" s="75"/>
      <c r="AJ66" s="75"/>
      <c r="AK66" s="75"/>
      <c r="AL66" s="75"/>
      <c r="AM66" s="75"/>
      <c r="AN66" s="75"/>
      <c r="AO66" s="75"/>
      <c r="AP66" s="75"/>
      <c r="AQ66" s="75"/>
      <c r="AR66" s="75"/>
      <c r="AS66" s="75"/>
      <c r="AT66" s="75"/>
      <c r="AU66" s="75"/>
      <c r="AV66" s="75"/>
      <c r="AW66" s="75"/>
      <c r="AX66" s="75"/>
      <c r="AY66" s="75"/>
      <c r="AZ66" s="75"/>
      <c r="BA66" s="75"/>
      <c r="BB66" s="75"/>
      <c r="BC66" s="75"/>
      <c r="BD66" s="75"/>
      <c r="BE66" s="75"/>
      <c r="BF66" s="75"/>
      <c r="BG66" s="75"/>
      <c r="BH66" s="75"/>
      <c r="BI66" s="75"/>
      <c r="BJ66" s="75"/>
      <c r="BK66" s="75"/>
      <c r="BL66" s="75"/>
      <c r="BM66" s="75"/>
      <c r="BN66" s="75"/>
      <c r="BO66" s="75"/>
      <c r="BP66" s="75"/>
      <c r="BQ66" s="75"/>
      <c r="BR66" s="75"/>
      <c r="BS66" s="75"/>
      <c r="BT66" s="75"/>
      <c r="BU66" s="75"/>
      <c r="BV66" s="75"/>
      <c r="BW66" s="75"/>
      <c r="BX66" s="75"/>
      <c r="BY66" s="75"/>
      <c r="BZ66" s="75"/>
      <c r="CA66" s="75"/>
      <c r="CB66" s="75"/>
      <c r="CC66" s="75"/>
      <c r="CD66" s="75"/>
      <c r="CE66" s="75"/>
      <c r="CF66" s="75"/>
      <c r="CG66" s="75"/>
      <c r="CH66" s="75"/>
      <c r="CI66" s="75"/>
      <c r="CJ66" s="75"/>
      <c r="CK66" s="75"/>
      <c r="CL66" s="75"/>
      <c r="CM66" s="75"/>
      <c r="CN66" s="75"/>
      <c r="CO66" s="75"/>
      <c r="CP66" s="75"/>
      <c r="CQ66" s="75"/>
      <c r="CR66" s="75"/>
      <c r="CS66" s="75"/>
      <c r="CT66" s="75"/>
      <c r="CU66" s="75"/>
      <c r="CV66" s="75"/>
      <c r="CW66" s="75"/>
      <c r="CX66" s="75"/>
      <c r="CY66" s="75"/>
      <c r="CZ66" s="75"/>
      <c r="DA66" s="75"/>
      <c r="DB66" s="75"/>
      <c r="DC66" s="75"/>
      <c r="DD66" s="75"/>
    </row>
    <row r="67" spans="1:108">
      <c r="A67" s="75" t="s">
        <v>161</v>
      </c>
      <c r="B67" s="75" t="s">
        <v>142</v>
      </c>
      <c r="C67" s="75" t="s">
        <v>85</v>
      </c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89"/>
      <c r="T67" s="75"/>
      <c r="U67" s="78">
        <v>1693</v>
      </c>
      <c r="V67" s="78">
        <v>5080</v>
      </c>
      <c r="W67" s="75"/>
      <c r="X67" s="75"/>
      <c r="Y67" s="75"/>
      <c r="Z67" s="75"/>
      <c r="AA67" s="75"/>
      <c r="AB67" s="75"/>
      <c r="AC67" s="75"/>
      <c r="AD67" s="75"/>
      <c r="AE67" s="75"/>
      <c r="AF67" s="75"/>
      <c r="AG67" s="75"/>
      <c r="AH67" s="75"/>
      <c r="AI67" s="75"/>
      <c r="AJ67" s="75"/>
      <c r="AK67" s="75"/>
      <c r="AL67" s="75"/>
      <c r="AM67" s="75"/>
      <c r="AN67" s="75"/>
      <c r="AO67" s="75"/>
      <c r="AP67" s="75"/>
      <c r="AQ67" s="75"/>
      <c r="AR67" s="75"/>
      <c r="AS67" s="75"/>
      <c r="AT67" s="75"/>
      <c r="AU67" s="75"/>
      <c r="AV67" s="75"/>
      <c r="AW67" s="75"/>
      <c r="AX67" s="75"/>
      <c r="AY67" s="75"/>
      <c r="AZ67" s="75"/>
      <c r="BA67" s="75"/>
      <c r="BB67" s="75"/>
      <c r="BC67" s="75"/>
      <c r="BD67" s="75"/>
      <c r="BE67" s="75"/>
      <c r="BF67" s="75"/>
      <c r="BG67" s="75"/>
      <c r="BH67" s="75"/>
      <c r="BI67" s="75"/>
      <c r="BJ67" s="75"/>
      <c r="BK67" s="75"/>
      <c r="BL67" s="75"/>
      <c r="BM67" s="75"/>
      <c r="BN67" s="75"/>
      <c r="BO67" s="75"/>
      <c r="BP67" s="75"/>
      <c r="BQ67" s="75"/>
      <c r="BR67" s="75"/>
      <c r="BS67" s="75"/>
      <c r="BT67" s="75"/>
      <c r="BU67" s="75"/>
      <c r="BV67" s="75"/>
      <c r="BW67" s="75"/>
      <c r="BX67" s="75"/>
      <c r="BY67" s="75"/>
      <c r="BZ67" s="75"/>
      <c r="CA67" s="75"/>
      <c r="CB67" s="75"/>
      <c r="CC67" s="75"/>
      <c r="CD67" s="75"/>
      <c r="CE67" s="75"/>
      <c r="CF67" s="75"/>
      <c r="CG67" s="75"/>
      <c r="CH67" s="75"/>
      <c r="CI67" s="75"/>
      <c r="CJ67" s="75"/>
      <c r="CK67" s="75"/>
      <c r="CL67" s="75"/>
      <c r="CM67" s="75"/>
      <c r="CN67" s="75"/>
      <c r="CO67" s="75"/>
      <c r="CP67" s="75"/>
      <c r="CQ67" s="75"/>
      <c r="CR67" s="75"/>
      <c r="CS67" s="75"/>
      <c r="CT67" s="75"/>
      <c r="CU67" s="75"/>
      <c r="CV67" s="75"/>
      <c r="CW67" s="75"/>
      <c r="CX67" s="75"/>
      <c r="CY67" s="75"/>
      <c r="CZ67" s="75"/>
      <c r="DA67" s="75"/>
      <c r="DB67" s="75"/>
      <c r="DC67" s="75"/>
      <c r="DD67" s="75"/>
    </row>
    <row r="68" spans="1:108">
      <c r="A68" s="75" t="s">
        <v>161</v>
      </c>
      <c r="B68" s="75" t="s">
        <v>142</v>
      </c>
      <c r="C68" s="75" t="s">
        <v>85</v>
      </c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89"/>
      <c r="T68" s="75"/>
      <c r="U68" s="75">
        <v>168</v>
      </c>
      <c r="V68" s="78">
        <v>504</v>
      </c>
      <c r="W68" s="78"/>
      <c r="X68" s="75"/>
      <c r="Y68" s="75"/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75"/>
      <c r="AN68" s="75"/>
      <c r="AO68" s="75"/>
      <c r="AP68" s="75"/>
      <c r="AQ68" s="75"/>
      <c r="AR68" s="75"/>
      <c r="AS68" s="75"/>
      <c r="AT68" s="75"/>
      <c r="AU68" s="75"/>
      <c r="AV68" s="75"/>
      <c r="AW68" s="75"/>
      <c r="AX68" s="75"/>
      <c r="AY68" s="75"/>
      <c r="AZ68" s="75"/>
      <c r="BA68" s="75"/>
      <c r="BB68" s="75"/>
      <c r="BC68" s="75"/>
      <c r="BD68" s="75"/>
      <c r="BE68" s="75"/>
      <c r="BF68" s="75"/>
      <c r="BG68" s="75"/>
      <c r="BH68" s="75"/>
      <c r="BI68" s="75"/>
      <c r="BJ68" s="75"/>
      <c r="BK68" s="75"/>
      <c r="BL68" s="75"/>
      <c r="BM68" s="75"/>
      <c r="BN68" s="75"/>
      <c r="BO68" s="75"/>
      <c r="BP68" s="75"/>
      <c r="BQ68" s="75"/>
      <c r="BR68" s="75"/>
      <c r="BS68" s="75"/>
      <c r="BT68" s="75"/>
      <c r="BU68" s="75"/>
      <c r="BV68" s="75"/>
      <c r="BW68" s="75"/>
      <c r="BX68" s="75"/>
      <c r="BY68" s="75"/>
      <c r="BZ68" s="75"/>
      <c r="CA68" s="75"/>
      <c r="CB68" s="75"/>
      <c r="CC68" s="75"/>
      <c r="CD68" s="75"/>
      <c r="CE68" s="75"/>
      <c r="CF68" s="75"/>
      <c r="CG68" s="75"/>
      <c r="CH68" s="75"/>
      <c r="CI68" s="75"/>
      <c r="CJ68" s="75"/>
      <c r="CK68" s="75"/>
      <c r="CL68" s="75"/>
      <c r="CM68" s="75"/>
      <c r="CN68" s="75"/>
      <c r="CO68" s="75"/>
      <c r="CP68" s="75"/>
      <c r="CQ68" s="75"/>
      <c r="CR68" s="75"/>
      <c r="CS68" s="75"/>
      <c r="CT68" s="75"/>
      <c r="CU68" s="75"/>
      <c r="CV68" s="75"/>
      <c r="CW68" s="75"/>
      <c r="CX68" s="75"/>
      <c r="CY68" s="75"/>
      <c r="CZ68" s="75"/>
      <c r="DA68" s="75"/>
      <c r="DB68" s="75"/>
      <c r="DC68" s="75"/>
      <c r="DD68" s="75"/>
    </row>
    <row r="69" spans="1:108">
      <c r="A69" s="75" t="s">
        <v>161</v>
      </c>
      <c r="B69" s="75" t="s">
        <v>142</v>
      </c>
      <c r="C69" s="75" t="s">
        <v>85</v>
      </c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89"/>
      <c r="T69" s="75"/>
      <c r="U69" s="75">
        <v>202</v>
      </c>
      <c r="V69" s="78">
        <v>605</v>
      </c>
      <c r="W69" s="78"/>
      <c r="X69" s="75"/>
      <c r="Y69" s="75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75"/>
      <c r="AK69" s="75"/>
      <c r="AL69" s="75"/>
      <c r="AM69" s="75"/>
      <c r="AN69" s="75"/>
      <c r="AO69" s="75"/>
      <c r="AP69" s="75"/>
      <c r="AQ69" s="75"/>
      <c r="AR69" s="75"/>
      <c r="AS69" s="75"/>
      <c r="AT69" s="75"/>
      <c r="AU69" s="75"/>
      <c r="AV69" s="75"/>
      <c r="AW69" s="75"/>
      <c r="AX69" s="75"/>
      <c r="AY69" s="75"/>
      <c r="AZ69" s="75"/>
      <c r="BA69" s="75"/>
      <c r="BB69" s="75"/>
      <c r="BC69" s="75"/>
      <c r="BD69" s="75"/>
      <c r="BE69" s="75"/>
      <c r="BF69" s="75"/>
      <c r="BG69" s="75"/>
      <c r="BH69" s="75"/>
      <c r="BI69" s="75"/>
      <c r="BJ69" s="75"/>
      <c r="BK69" s="75"/>
      <c r="BL69" s="75"/>
      <c r="BM69" s="75"/>
      <c r="BN69" s="75"/>
      <c r="BO69" s="75"/>
      <c r="BP69" s="75"/>
      <c r="BQ69" s="75"/>
      <c r="BR69" s="75"/>
      <c r="BS69" s="75"/>
      <c r="BT69" s="75"/>
      <c r="BU69" s="75"/>
      <c r="BV69" s="75"/>
      <c r="BW69" s="75"/>
      <c r="BX69" s="75"/>
      <c r="BY69" s="75"/>
      <c r="BZ69" s="75"/>
      <c r="CA69" s="75"/>
      <c r="CB69" s="75"/>
      <c r="CC69" s="75"/>
      <c r="CD69" s="75"/>
      <c r="CE69" s="75"/>
      <c r="CF69" s="75"/>
      <c r="CG69" s="75"/>
      <c r="CH69" s="75"/>
      <c r="CI69" s="75"/>
      <c r="CJ69" s="75"/>
      <c r="CK69" s="75"/>
      <c r="CL69" s="75"/>
      <c r="CM69" s="75"/>
      <c r="CN69" s="75"/>
      <c r="CO69" s="75"/>
      <c r="CP69" s="75"/>
      <c r="CQ69" s="75"/>
      <c r="CR69" s="75"/>
      <c r="CS69" s="75"/>
      <c r="CT69" s="75"/>
      <c r="CU69" s="75"/>
      <c r="CV69" s="75"/>
      <c r="CW69" s="75"/>
      <c r="CX69" s="75"/>
      <c r="CY69" s="75"/>
      <c r="CZ69" s="75"/>
      <c r="DA69" s="75"/>
      <c r="DB69" s="75"/>
      <c r="DC69" s="75"/>
      <c r="DD69" s="75"/>
    </row>
    <row r="70" spans="1:108">
      <c r="A70" s="75" t="s">
        <v>161</v>
      </c>
      <c r="B70" s="75" t="s">
        <v>142</v>
      </c>
      <c r="C70" s="75" t="s">
        <v>85</v>
      </c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89"/>
      <c r="T70" s="75"/>
      <c r="U70" s="78">
        <v>1411</v>
      </c>
      <c r="V70" s="78">
        <v>4233</v>
      </c>
      <c r="W70" s="75"/>
      <c r="X70" s="75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75"/>
      <c r="AK70" s="75"/>
      <c r="AL70" s="75"/>
      <c r="AM70" s="75"/>
      <c r="AN70" s="75"/>
      <c r="AO70" s="75"/>
      <c r="AP70" s="75"/>
      <c r="AQ70" s="75"/>
      <c r="AR70" s="75"/>
      <c r="AS70" s="75"/>
      <c r="AT70" s="75"/>
      <c r="AU70" s="75"/>
      <c r="AV70" s="75"/>
      <c r="AW70" s="75"/>
      <c r="AX70" s="75"/>
      <c r="AY70" s="75"/>
      <c r="AZ70" s="75"/>
      <c r="BA70" s="75"/>
      <c r="BB70" s="75"/>
      <c r="BC70" s="75"/>
      <c r="BD70" s="75"/>
      <c r="BE70" s="75"/>
      <c r="BF70" s="75"/>
      <c r="BG70" s="75"/>
      <c r="BH70" s="75"/>
      <c r="BI70" s="75"/>
      <c r="BJ70" s="75"/>
      <c r="BK70" s="75"/>
      <c r="BL70" s="75"/>
      <c r="BM70" s="75"/>
      <c r="BN70" s="75"/>
      <c r="BO70" s="75"/>
      <c r="BP70" s="75"/>
      <c r="BQ70" s="75"/>
      <c r="BR70" s="75"/>
      <c r="BS70" s="75"/>
      <c r="BT70" s="75"/>
      <c r="BU70" s="75"/>
      <c r="BV70" s="75"/>
      <c r="BW70" s="75"/>
      <c r="BX70" s="75"/>
      <c r="BY70" s="75"/>
      <c r="BZ70" s="75"/>
      <c r="CA70" s="75"/>
      <c r="CB70" s="75"/>
      <c r="CC70" s="75"/>
      <c r="CD70" s="75"/>
      <c r="CE70" s="75"/>
      <c r="CF70" s="75"/>
      <c r="CG70" s="75"/>
      <c r="CH70" s="75"/>
      <c r="CI70" s="75"/>
      <c r="CJ70" s="75"/>
      <c r="CK70" s="75"/>
      <c r="CL70" s="75"/>
      <c r="CM70" s="75"/>
      <c r="CN70" s="75"/>
      <c r="CO70" s="75"/>
      <c r="CP70" s="75"/>
      <c r="CQ70" s="75"/>
      <c r="CR70" s="75"/>
      <c r="CS70" s="75"/>
      <c r="CT70" s="75"/>
      <c r="CU70" s="75"/>
      <c r="CV70" s="75"/>
      <c r="CW70" s="75"/>
      <c r="CX70" s="75"/>
      <c r="CY70" s="75"/>
      <c r="CZ70" s="75"/>
      <c r="DA70" s="75"/>
      <c r="DB70" s="75"/>
      <c r="DC70" s="75"/>
      <c r="DD70" s="75"/>
    </row>
    <row r="71" spans="1:108">
      <c r="A71" s="75" t="s">
        <v>162</v>
      </c>
      <c r="B71" s="75" t="s">
        <v>144</v>
      </c>
      <c r="C71" s="75" t="s">
        <v>85</v>
      </c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89"/>
      <c r="T71" s="75"/>
      <c r="U71" s="78">
        <v>2016</v>
      </c>
      <c r="V71" s="75">
        <v>672</v>
      </c>
      <c r="W71" s="78"/>
      <c r="X71" s="78"/>
      <c r="Y71" s="78"/>
      <c r="Z71" s="78"/>
      <c r="AA71" s="78"/>
      <c r="AB71" s="78"/>
      <c r="AC71" s="75"/>
      <c r="AD71" s="75"/>
      <c r="AE71" s="75"/>
      <c r="AF71" s="75"/>
      <c r="AG71" s="75"/>
      <c r="AH71" s="75"/>
      <c r="AI71" s="75"/>
      <c r="AJ71" s="75"/>
      <c r="AK71" s="75"/>
      <c r="AL71" s="75"/>
      <c r="AM71" s="75"/>
      <c r="AN71" s="75"/>
      <c r="AO71" s="75"/>
      <c r="AP71" s="75"/>
      <c r="AQ71" s="75"/>
      <c r="AR71" s="75"/>
      <c r="AS71" s="75"/>
      <c r="AT71" s="75"/>
      <c r="AU71" s="75"/>
      <c r="AV71" s="75"/>
      <c r="AW71" s="75"/>
      <c r="AX71" s="75"/>
      <c r="AY71" s="75"/>
      <c r="AZ71" s="75"/>
      <c r="BA71" s="75"/>
      <c r="BB71" s="75"/>
      <c r="BC71" s="75"/>
      <c r="BD71" s="75"/>
      <c r="BE71" s="75"/>
      <c r="BF71" s="75"/>
      <c r="BG71" s="75"/>
      <c r="BH71" s="75"/>
      <c r="BI71" s="75"/>
      <c r="BJ71" s="75"/>
      <c r="BK71" s="75"/>
      <c r="BL71" s="75"/>
      <c r="BM71" s="75"/>
      <c r="BN71" s="75"/>
      <c r="BO71" s="75"/>
      <c r="BP71" s="75"/>
      <c r="BQ71" s="75"/>
      <c r="BR71" s="75"/>
      <c r="BS71" s="75"/>
      <c r="BT71" s="75"/>
      <c r="BU71" s="75"/>
      <c r="BV71" s="75"/>
      <c r="BW71" s="75"/>
      <c r="BX71" s="75"/>
      <c r="BY71" s="75"/>
      <c r="BZ71" s="75"/>
      <c r="CA71" s="75"/>
      <c r="CB71" s="75"/>
      <c r="CC71" s="75"/>
      <c r="CD71" s="75"/>
      <c r="CE71" s="75"/>
      <c r="CF71" s="75"/>
      <c r="CG71" s="75"/>
      <c r="CH71" s="75"/>
      <c r="CI71" s="75"/>
      <c r="CJ71" s="75"/>
      <c r="CK71" s="75"/>
      <c r="CL71" s="75"/>
      <c r="CM71" s="75"/>
      <c r="CN71" s="75"/>
      <c r="CO71" s="75"/>
      <c r="CP71" s="75"/>
      <c r="CQ71" s="75"/>
      <c r="CR71" s="75"/>
      <c r="CS71" s="75"/>
      <c r="CT71" s="75"/>
      <c r="CU71" s="75"/>
      <c r="CV71" s="75"/>
      <c r="CW71" s="75"/>
      <c r="CX71" s="75"/>
      <c r="CY71" s="75"/>
      <c r="CZ71" s="75"/>
      <c r="DA71" s="75"/>
      <c r="DB71" s="75"/>
      <c r="DC71" s="75"/>
      <c r="DD71" s="75"/>
    </row>
    <row r="72" spans="1:108">
      <c r="A72" s="75" t="s">
        <v>162</v>
      </c>
      <c r="B72" s="75" t="s">
        <v>144</v>
      </c>
      <c r="C72" s="75" t="s">
        <v>85</v>
      </c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89"/>
      <c r="T72" s="75"/>
      <c r="U72" s="78">
        <v>2419</v>
      </c>
      <c r="V72" s="75">
        <v>806</v>
      </c>
      <c r="W72" s="75"/>
      <c r="X72" s="75"/>
      <c r="Y72" s="75"/>
      <c r="Z72" s="75"/>
      <c r="AA72" s="75"/>
      <c r="AB72" s="78"/>
      <c r="AC72" s="78"/>
      <c r="AD72" s="78"/>
      <c r="AE72" s="78"/>
      <c r="AF72" s="78"/>
      <c r="AG72" s="75"/>
      <c r="AH72" s="75"/>
      <c r="AI72" s="75"/>
      <c r="AJ72" s="75"/>
      <c r="AK72" s="75"/>
      <c r="AL72" s="75"/>
      <c r="AM72" s="75"/>
      <c r="AN72" s="75"/>
      <c r="AO72" s="75"/>
      <c r="AP72" s="75"/>
      <c r="AQ72" s="75"/>
      <c r="AR72" s="75"/>
      <c r="AS72" s="75"/>
      <c r="AT72" s="75"/>
      <c r="AU72" s="75"/>
      <c r="AV72" s="75"/>
      <c r="AW72" s="75"/>
      <c r="AX72" s="75"/>
      <c r="AY72" s="75"/>
      <c r="AZ72" s="75"/>
      <c r="BA72" s="75"/>
      <c r="BB72" s="75"/>
      <c r="BC72" s="75"/>
      <c r="BD72" s="75"/>
      <c r="BE72" s="75"/>
      <c r="BF72" s="75"/>
      <c r="BG72" s="75"/>
      <c r="BH72" s="75"/>
      <c r="BI72" s="75"/>
      <c r="BJ72" s="75"/>
      <c r="BK72" s="75"/>
      <c r="BL72" s="75"/>
      <c r="BM72" s="75"/>
      <c r="BN72" s="75"/>
      <c r="BO72" s="75"/>
      <c r="BP72" s="75"/>
      <c r="BQ72" s="75"/>
      <c r="BR72" s="75"/>
      <c r="BS72" s="75"/>
      <c r="BT72" s="75"/>
      <c r="BU72" s="75"/>
      <c r="BV72" s="75"/>
      <c r="BW72" s="75"/>
      <c r="BX72" s="75"/>
      <c r="BY72" s="75"/>
      <c r="BZ72" s="75"/>
      <c r="CA72" s="75"/>
      <c r="CB72" s="75"/>
      <c r="CC72" s="75"/>
      <c r="CD72" s="75"/>
      <c r="CE72" s="75"/>
      <c r="CF72" s="75"/>
      <c r="CG72" s="75"/>
      <c r="CH72" s="75"/>
      <c r="CI72" s="75"/>
      <c r="CJ72" s="75"/>
      <c r="CK72" s="75"/>
      <c r="CL72" s="75"/>
      <c r="CM72" s="75"/>
      <c r="CN72" s="75"/>
      <c r="CO72" s="75"/>
      <c r="CP72" s="75"/>
      <c r="CQ72" s="75"/>
      <c r="CR72" s="75"/>
      <c r="CS72" s="75"/>
      <c r="CT72" s="75"/>
      <c r="CU72" s="75"/>
      <c r="CV72" s="75"/>
      <c r="CW72" s="75"/>
      <c r="CX72" s="75"/>
      <c r="CY72" s="75"/>
      <c r="CZ72" s="75"/>
      <c r="DA72" s="75"/>
      <c r="DB72" s="75"/>
      <c r="DC72" s="75"/>
      <c r="DD72" s="75"/>
    </row>
    <row r="73" spans="1:108">
      <c r="A73" s="75" t="s">
        <v>163</v>
      </c>
      <c r="B73" s="75" t="s">
        <v>146</v>
      </c>
      <c r="C73" s="75" t="s">
        <v>85</v>
      </c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89"/>
      <c r="T73" s="78">
        <v>4055</v>
      </c>
      <c r="U73" s="78">
        <v>2028</v>
      </c>
      <c r="V73" s="75"/>
      <c r="W73" s="75"/>
      <c r="X73" s="75"/>
      <c r="Y73" s="75"/>
      <c r="Z73" s="75"/>
      <c r="AA73" s="75"/>
      <c r="AB73" s="75"/>
      <c r="AC73" s="75"/>
      <c r="AD73" s="75"/>
      <c r="AE73" s="75"/>
      <c r="AF73" s="78"/>
      <c r="AG73" s="78"/>
      <c r="AH73" s="75"/>
      <c r="AI73" s="75"/>
      <c r="AJ73" s="75"/>
      <c r="AK73" s="75"/>
      <c r="AL73" s="75"/>
      <c r="AM73" s="75"/>
      <c r="AN73" s="75"/>
      <c r="AO73" s="75"/>
      <c r="AP73" s="75"/>
      <c r="AQ73" s="75"/>
      <c r="AR73" s="75"/>
      <c r="AS73" s="75"/>
      <c r="AT73" s="75"/>
      <c r="AU73" s="75"/>
      <c r="AV73" s="75"/>
      <c r="AW73" s="75"/>
      <c r="AX73" s="75"/>
      <c r="AY73" s="75"/>
      <c r="AZ73" s="75"/>
      <c r="BA73" s="75"/>
      <c r="BB73" s="75"/>
      <c r="BC73" s="75"/>
      <c r="BD73" s="75"/>
      <c r="BE73" s="75"/>
      <c r="BF73" s="75"/>
      <c r="BG73" s="75"/>
      <c r="BH73" s="75"/>
      <c r="BI73" s="75"/>
      <c r="BJ73" s="75"/>
      <c r="BK73" s="75"/>
      <c r="BL73" s="75"/>
      <c r="BM73" s="75"/>
      <c r="BN73" s="75"/>
      <c r="BO73" s="75"/>
      <c r="BP73" s="75"/>
      <c r="BQ73" s="75"/>
      <c r="BR73" s="75"/>
      <c r="BS73" s="75"/>
      <c r="BT73" s="75"/>
      <c r="BU73" s="75"/>
      <c r="BV73" s="75"/>
      <c r="BW73" s="75"/>
      <c r="BX73" s="75"/>
      <c r="BY73" s="75"/>
      <c r="BZ73" s="75"/>
      <c r="CA73" s="75"/>
      <c r="CB73" s="75"/>
      <c r="CC73" s="75"/>
      <c r="CD73" s="75"/>
      <c r="CE73" s="75"/>
      <c r="CF73" s="75"/>
      <c r="CG73" s="75"/>
      <c r="CH73" s="75"/>
      <c r="CI73" s="75"/>
      <c r="CJ73" s="75"/>
      <c r="CK73" s="75"/>
      <c r="CL73" s="75"/>
      <c r="CM73" s="75"/>
      <c r="CN73" s="75"/>
      <c r="CO73" s="75"/>
      <c r="CP73" s="75"/>
      <c r="CQ73" s="75"/>
      <c r="CR73" s="75"/>
      <c r="CS73" s="75"/>
      <c r="CT73" s="75"/>
      <c r="CU73" s="75"/>
      <c r="CV73" s="75"/>
      <c r="CW73" s="75"/>
      <c r="CX73" s="75"/>
      <c r="CY73" s="75"/>
      <c r="CZ73" s="75"/>
      <c r="DA73" s="75"/>
      <c r="DB73" s="75"/>
      <c r="DC73" s="75"/>
      <c r="DD73" s="75"/>
    </row>
    <row r="74" spans="1:108">
      <c r="A74" s="75" t="s">
        <v>163</v>
      </c>
      <c r="B74" s="75" t="s">
        <v>146</v>
      </c>
      <c r="C74" s="75" t="s">
        <v>85</v>
      </c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89"/>
      <c r="T74" s="75">
        <v>529</v>
      </c>
      <c r="U74" s="75">
        <v>265</v>
      </c>
      <c r="V74" s="78"/>
      <c r="W74" s="78"/>
      <c r="X74" s="78"/>
      <c r="Y74" s="78"/>
      <c r="Z74" s="78"/>
      <c r="AA74" s="78"/>
      <c r="AB74" s="78"/>
      <c r="AC74" s="78"/>
      <c r="AD74" s="78"/>
      <c r="AE74" s="75"/>
      <c r="AF74" s="75"/>
      <c r="AG74" s="75"/>
      <c r="AH74" s="75"/>
      <c r="AI74" s="75"/>
      <c r="AJ74" s="75"/>
      <c r="AK74" s="75"/>
      <c r="AL74" s="75"/>
      <c r="AM74" s="75"/>
      <c r="AN74" s="75"/>
      <c r="AO74" s="75"/>
      <c r="AP74" s="75"/>
      <c r="AQ74" s="75"/>
      <c r="AR74" s="75"/>
      <c r="AS74" s="75"/>
      <c r="AT74" s="75"/>
      <c r="AU74" s="75"/>
      <c r="AV74" s="75"/>
      <c r="AW74" s="75"/>
      <c r="AX74" s="75"/>
      <c r="AY74" s="75"/>
      <c r="AZ74" s="75"/>
      <c r="BA74" s="75"/>
      <c r="BB74" s="75"/>
      <c r="BC74" s="75"/>
      <c r="BD74" s="75"/>
      <c r="BE74" s="75"/>
      <c r="BF74" s="75"/>
      <c r="BG74" s="75"/>
      <c r="BH74" s="75"/>
      <c r="BI74" s="75"/>
      <c r="BJ74" s="75"/>
      <c r="BK74" s="75"/>
      <c r="BL74" s="75"/>
      <c r="BM74" s="75"/>
      <c r="BN74" s="75"/>
      <c r="BO74" s="75"/>
      <c r="BP74" s="75"/>
      <c r="BQ74" s="75"/>
      <c r="BR74" s="75"/>
      <c r="BS74" s="75"/>
      <c r="BT74" s="75"/>
      <c r="BU74" s="75"/>
      <c r="BV74" s="75"/>
      <c r="BW74" s="75"/>
      <c r="BX74" s="75"/>
      <c r="BY74" s="75"/>
      <c r="BZ74" s="75"/>
      <c r="CA74" s="75"/>
      <c r="CB74" s="75"/>
      <c r="CC74" s="75"/>
      <c r="CD74" s="75"/>
      <c r="CE74" s="75"/>
      <c r="CF74" s="75"/>
      <c r="CG74" s="75"/>
      <c r="CH74" s="75"/>
      <c r="CI74" s="75"/>
      <c r="CJ74" s="75"/>
      <c r="CK74" s="75"/>
      <c r="CL74" s="75"/>
      <c r="CM74" s="75"/>
      <c r="CN74" s="75"/>
      <c r="CO74" s="75"/>
      <c r="CP74" s="75"/>
      <c r="CQ74" s="75"/>
      <c r="CR74" s="75"/>
      <c r="CS74" s="75"/>
      <c r="CT74" s="75"/>
      <c r="CU74" s="75"/>
      <c r="CV74" s="75"/>
      <c r="CW74" s="75"/>
      <c r="CX74" s="75"/>
      <c r="CY74" s="75"/>
      <c r="CZ74" s="75"/>
      <c r="DA74" s="75"/>
      <c r="DB74" s="75"/>
      <c r="DC74" s="75"/>
      <c r="DD74" s="75"/>
    </row>
    <row r="75" spans="1:108">
      <c r="A75" s="75" t="s">
        <v>163</v>
      </c>
      <c r="B75" s="75" t="s">
        <v>146</v>
      </c>
      <c r="C75" s="75" t="s">
        <v>85</v>
      </c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89"/>
      <c r="T75" s="75">
        <v>993</v>
      </c>
      <c r="U75" s="75">
        <v>496</v>
      </c>
      <c r="V75" s="75"/>
      <c r="W75" s="75"/>
      <c r="X75" s="75"/>
      <c r="Y75" s="75"/>
      <c r="Z75" s="75"/>
      <c r="AA75" s="75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  <c r="AQ75" s="78"/>
      <c r="AR75" s="78"/>
      <c r="AS75" s="78"/>
      <c r="AT75" s="78"/>
      <c r="AU75" s="78"/>
      <c r="AV75" s="78"/>
      <c r="AW75" s="78"/>
      <c r="AX75" s="78"/>
      <c r="AY75" s="75"/>
      <c r="AZ75" s="78"/>
      <c r="BA75" s="75"/>
      <c r="BB75" s="75"/>
      <c r="BC75" s="75"/>
      <c r="BD75" s="75"/>
      <c r="BE75" s="75"/>
      <c r="BF75" s="75"/>
      <c r="BG75" s="75"/>
      <c r="BH75" s="75"/>
      <c r="BI75" s="75"/>
      <c r="BJ75" s="75"/>
      <c r="BK75" s="75"/>
      <c r="BL75" s="75"/>
      <c r="BM75" s="75"/>
      <c r="BN75" s="75"/>
      <c r="BO75" s="75"/>
      <c r="BP75" s="75"/>
      <c r="BQ75" s="75"/>
      <c r="BR75" s="75"/>
      <c r="BS75" s="75"/>
      <c r="BT75" s="75"/>
      <c r="BU75" s="75"/>
      <c r="BV75" s="75"/>
      <c r="BW75" s="75"/>
      <c r="BX75" s="75"/>
      <c r="BY75" s="75"/>
      <c r="BZ75" s="75"/>
      <c r="CA75" s="75"/>
      <c r="CB75" s="75"/>
      <c r="CC75" s="75"/>
      <c r="CD75" s="75"/>
      <c r="CE75" s="75"/>
      <c r="CF75" s="75"/>
      <c r="CG75" s="75"/>
      <c r="CH75" s="75"/>
      <c r="CI75" s="75"/>
      <c r="CJ75" s="75"/>
      <c r="CK75" s="75"/>
      <c r="CL75" s="75"/>
      <c r="CM75" s="75"/>
      <c r="CN75" s="75"/>
      <c r="CO75" s="75"/>
      <c r="CP75" s="75"/>
      <c r="CQ75" s="75"/>
      <c r="CR75" s="75"/>
      <c r="CS75" s="75"/>
      <c r="CT75" s="75"/>
      <c r="CU75" s="75"/>
      <c r="CV75" s="75"/>
      <c r="CW75" s="75"/>
      <c r="CX75" s="75"/>
      <c r="CY75" s="75"/>
      <c r="CZ75" s="75"/>
      <c r="DA75" s="75"/>
      <c r="DB75" s="75"/>
      <c r="DC75" s="75"/>
      <c r="DD75" s="75"/>
    </row>
    <row r="76" spans="1:108">
      <c r="A76" s="75" t="s">
        <v>164</v>
      </c>
      <c r="B76" s="75" t="s">
        <v>148</v>
      </c>
      <c r="C76" s="75" t="s">
        <v>85</v>
      </c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89"/>
      <c r="T76" s="78">
        <v>2636</v>
      </c>
      <c r="U76" s="78">
        <v>2636</v>
      </c>
      <c r="V76" s="75"/>
      <c r="W76" s="75"/>
      <c r="X76" s="75"/>
      <c r="Y76" s="75"/>
      <c r="Z76" s="75"/>
      <c r="AA76" s="75"/>
      <c r="AB76" s="75"/>
      <c r="AC76" s="75"/>
      <c r="AD76" s="75"/>
      <c r="AE76" s="75"/>
      <c r="AF76" s="75"/>
      <c r="AG76" s="75"/>
      <c r="AH76" s="75"/>
      <c r="AI76" s="78"/>
      <c r="AJ76" s="78"/>
      <c r="AK76" s="78"/>
      <c r="AL76" s="78"/>
      <c r="AM76" s="78"/>
      <c r="AN76" s="78"/>
      <c r="AO76" s="78"/>
      <c r="AP76" s="78"/>
      <c r="AQ76" s="78"/>
      <c r="AR76" s="78"/>
      <c r="AS76" s="78"/>
      <c r="AT76" s="78"/>
      <c r="AU76" s="78"/>
      <c r="AV76" s="78"/>
      <c r="AW76" s="78"/>
      <c r="AX76" s="78"/>
      <c r="AY76" s="78"/>
      <c r="AZ76" s="78"/>
      <c r="BA76" s="78"/>
      <c r="BB76" s="78"/>
      <c r="BC76" s="78"/>
      <c r="BD76" s="78"/>
      <c r="BE76" s="78"/>
      <c r="BF76" s="78"/>
      <c r="BG76" s="78"/>
      <c r="BH76" s="78"/>
      <c r="BI76" s="78"/>
      <c r="BJ76" s="78"/>
      <c r="BK76" s="78"/>
      <c r="BL76" s="78"/>
      <c r="BM76" s="78"/>
      <c r="BN76" s="78"/>
      <c r="BO76" s="78"/>
      <c r="BP76" s="78"/>
      <c r="BQ76" s="78"/>
      <c r="BR76" s="78"/>
      <c r="BS76" s="78"/>
      <c r="BT76" s="78"/>
      <c r="BU76" s="78"/>
      <c r="BV76" s="78"/>
      <c r="BW76" s="78"/>
      <c r="BX76" s="78"/>
      <c r="BY76" s="78"/>
      <c r="BZ76" s="78"/>
      <c r="CA76" s="78"/>
      <c r="CB76" s="78"/>
      <c r="CC76" s="78"/>
      <c r="CD76" s="78"/>
      <c r="CE76" s="78"/>
      <c r="CF76" s="78"/>
      <c r="CG76" s="78"/>
      <c r="CH76" s="78"/>
      <c r="CI76" s="78"/>
      <c r="CJ76" s="78"/>
      <c r="CK76" s="75"/>
      <c r="CL76" s="75"/>
      <c r="CM76" s="75"/>
      <c r="CN76" s="75"/>
      <c r="CO76" s="75"/>
      <c r="CP76" s="75"/>
      <c r="CQ76" s="75"/>
      <c r="CR76" s="75"/>
      <c r="CS76" s="75"/>
      <c r="CT76" s="75"/>
      <c r="CU76" s="75"/>
      <c r="CV76" s="75"/>
      <c r="CW76" s="75"/>
      <c r="CX76" s="75"/>
      <c r="CY76" s="75"/>
      <c r="CZ76" s="75"/>
      <c r="DA76" s="75"/>
      <c r="DB76" s="75"/>
      <c r="DC76" s="75"/>
      <c r="DD76" s="75"/>
    </row>
    <row r="77" spans="1:108">
      <c r="A77" s="75" t="s">
        <v>164</v>
      </c>
      <c r="B77" s="75" t="s">
        <v>148</v>
      </c>
      <c r="C77" s="75" t="s">
        <v>85</v>
      </c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89"/>
      <c r="T77" s="75">
        <v>506</v>
      </c>
      <c r="U77" s="75">
        <v>506</v>
      </c>
      <c r="V77" s="75"/>
      <c r="W77" s="75"/>
      <c r="X77" s="75"/>
      <c r="Y77" s="75"/>
      <c r="Z77" s="75"/>
      <c r="AA77" s="75"/>
      <c r="AB77" s="75"/>
      <c r="AC77" s="75"/>
      <c r="AD77" s="75"/>
      <c r="AE77" s="75"/>
      <c r="AF77" s="75"/>
      <c r="AG77" s="75"/>
      <c r="AH77" s="75"/>
      <c r="AI77" s="75"/>
      <c r="AJ77" s="75"/>
      <c r="AK77" s="75"/>
      <c r="AL77" s="75"/>
      <c r="AM77" s="75"/>
      <c r="AN77" s="75"/>
      <c r="AO77" s="75"/>
      <c r="AP77" s="75"/>
      <c r="AQ77" s="75"/>
      <c r="AR77" s="75"/>
      <c r="AS77" s="75"/>
      <c r="AT77" s="75"/>
      <c r="AU77" s="75"/>
      <c r="AV77" s="75"/>
      <c r="AW77" s="75"/>
      <c r="AX77" s="75"/>
      <c r="AY77" s="75"/>
      <c r="AZ77" s="75"/>
      <c r="BA77" s="75"/>
      <c r="BB77" s="75"/>
      <c r="BC77" s="75"/>
      <c r="BD77" s="75"/>
      <c r="BE77" s="75"/>
      <c r="BF77" s="75"/>
      <c r="BG77" s="75"/>
      <c r="BH77" s="75"/>
      <c r="BI77" s="75"/>
      <c r="BJ77" s="75"/>
      <c r="BK77" s="75"/>
      <c r="BL77" s="75"/>
      <c r="BM77" s="78"/>
      <c r="BN77" s="78"/>
      <c r="BO77" s="78"/>
      <c r="BP77" s="78"/>
      <c r="BQ77" s="78"/>
      <c r="BR77" s="78"/>
      <c r="BS77" s="78"/>
      <c r="BT77" s="78"/>
      <c r="BU77" s="78"/>
      <c r="BV77" s="78"/>
      <c r="BW77" s="78"/>
      <c r="BX77" s="78"/>
      <c r="BY77" s="78"/>
      <c r="BZ77" s="78"/>
      <c r="CA77" s="78"/>
      <c r="CB77" s="78"/>
      <c r="CC77" s="78"/>
      <c r="CD77" s="78"/>
      <c r="CE77" s="78"/>
      <c r="CF77" s="78"/>
      <c r="CG77" s="78"/>
      <c r="CH77" s="78"/>
      <c r="CI77" s="78"/>
      <c r="CJ77" s="78"/>
      <c r="CK77" s="78"/>
      <c r="CL77" s="78"/>
      <c r="CM77" s="78"/>
      <c r="CN77" s="78"/>
      <c r="CO77" s="78"/>
      <c r="CP77" s="78"/>
      <c r="CQ77" s="78"/>
      <c r="CR77" s="78"/>
      <c r="CS77" s="78"/>
      <c r="CT77" s="78"/>
      <c r="CU77" s="78"/>
      <c r="CV77" s="75"/>
      <c r="CW77" s="75"/>
      <c r="CX77" s="75"/>
      <c r="CY77" s="75"/>
      <c r="CZ77" s="75"/>
      <c r="DA77" s="75"/>
      <c r="DB77" s="75"/>
      <c r="DC77" s="75"/>
      <c r="DD77" s="75"/>
    </row>
    <row r="78" spans="1:108">
      <c r="A78" s="75" t="s">
        <v>164</v>
      </c>
      <c r="B78" s="75" t="s">
        <v>148</v>
      </c>
      <c r="C78" s="75" t="s">
        <v>85</v>
      </c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89"/>
      <c r="T78" s="78">
        <v>2491</v>
      </c>
      <c r="U78" s="78">
        <v>2490</v>
      </c>
      <c r="V78" s="75"/>
      <c r="W78" s="75"/>
      <c r="X78" s="75"/>
      <c r="Y78" s="75"/>
      <c r="Z78" s="75"/>
      <c r="AA78" s="75"/>
      <c r="AB78" s="75"/>
      <c r="AC78" s="75"/>
      <c r="AD78" s="75"/>
      <c r="AE78" s="75"/>
      <c r="AF78" s="75"/>
      <c r="AG78" s="75"/>
      <c r="AH78" s="75"/>
      <c r="AI78" s="75"/>
      <c r="AJ78" s="75"/>
      <c r="AK78" s="75"/>
      <c r="AL78" s="75"/>
      <c r="AM78" s="75"/>
      <c r="AN78" s="75"/>
      <c r="AO78" s="75"/>
      <c r="AP78" s="75"/>
      <c r="AQ78" s="75"/>
      <c r="AR78" s="75"/>
      <c r="AS78" s="75"/>
      <c r="AT78" s="75"/>
      <c r="AU78" s="75"/>
      <c r="AV78" s="75"/>
      <c r="AW78" s="75"/>
      <c r="AX78" s="75"/>
      <c r="AY78" s="75"/>
      <c r="AZ78" s="75"/>
      <c r="BA78" s="75"/>
      <c r="BB78" s="75"/>
      <c r="BC78" s="75"/>
      <c r="BD78" s="75"/>
      <c r="BE78" s="75"/>
      <c r="BF78" s="75"/>
      <c r="BG78" s="75"/>
      <c r="BH78" s="75"/>
      <c r="BI78" s="75"/>
      <c r="BJ78" s="75"/>
      <c r="BK78" s="75"/>
      <c r="BL78" s="75"/>
      <c r="BM78" s="78"/>
      <c r="BN78" s="78"/>
      <c r="BO78" s="78"/>
      <c r="BP78" s="78"/>
      <c r="BQ78" s="78"/>
      <c r="BR78" s="78"/>
      <c r="BS78" s="78"/>
      <c r="BT78" s="78"/>
      <c r="BU78" s="78"/>
      <c r="BV78" s="75"/>
      <c r="BW78" s="75"/>
      <c r="BX78" s="75"/>
      <c r="BY78" s="75"/>
      <c r="BZ78" s="75"/>
      <c r="CA78" s="75"/>
      <c r="CB78" s="75"/>
      <c r="CC78" s="75"/>
      <c r="CD78" s="75"/>
      <c r="CE78" s="75"/>
      <c r="CF78" s="75"/>
      <c r="CG78" s="75"/>
      <c r="CH78" s="75"/>
      <c r="CI78" s="75"/>
      <c r="CJ78" s="75"/>
      <c r="CK78" s="75"/>
      <c r="CL78" s="75"/>
      <c r="CM78" s="75"/>
      <c r="CN78" s="75"/>
      <c r="CO78" s="75"/>
      <c r="CP78" s="75"/>
      <c r="CQ78" s="75"/>
      <c r="CR78" s="75"/>
      <c r="CS78" s="75"/>
      <c r="CT78" s="75"/>
      <c r="CU78" s="75"/>
      <c r="CV78" s="75"/>
      <c r="CW78" s="75"/>
      <c r="CX78" s="75"/>
      <c r="CY78" s="75"/>
      <c r="CZ78" s="75"/>
      <c r="DA78" s="75"/>
      <c r="DB78" s="75"/>
      <c r="DC78" s="75"/>
      <c r="DD78" s="75"/>
    </row>
    <row r="79" spans="1:108">
      <c r="A79" s="75" t="s">
        <v>165</v>
      </c>
      <c r="B79" s="75" t="s">
        <v>150</v>
      </c>
      <c r="C79" s="75" t="s">
        <v>85</v>
      </c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89"/>
      <c r="T79" s="75"/>
      <c r="U79" s="78">
        <v>5632</v>
      </c>
      <c r="V79" s="75"/>
      <c r="W79" s="75"/>
      <c r="X79" s="75"/>
      <c r="Y79" s="75"/>
      <c r="Z79" s="75"/>
      <c r="AA79" s="75"/>
      <c r="AB79" s="75"/>
      <c r="AC79" s="75"/>
      <c r="AD79" s="75"/>
      <c r="AE79" s="75"/>
      <c r="AF79" s="75"/>
      <c r="AG79" s="75"/>
      <c r="AH79" s="75"/>
      <c r="AI79" s="75"/>
      <c r="AJ79" s="75"/>
      <c r="AK79" s="75"/>
      <c r="AL79" s="75"/>
      <c r="AM79" s="75"/>
      <c r="AN79" s="75"/>
      <c r="AO79" s="75"/>
      <c r="AP79" s="75"/>
      <c r="AQ79" s="75"/>
      <c r="AR79" s="75"/>
      <c r="AS79" s="75"/>
      <c r="AT79" s="75"/>
      <c r="AU79" s="75"/>
      <c r="AV79" s="75"/>
      <c r="AW79" s="75"/>
      <c r="AX79" s="75"/>
      <c r="AY79" s="75"/>
      <c r="AZ79" s="75"/>
      <c r="BA79" s="75"/>
      <c r="BB79" s="75"/>
      <c r="BC79" s="75"/>
      <c r="BD79" s="75"/>
      <c r="BE79" s="75"/>
      <c r="BF79" s="75"/>
      <c r="BG79" s="75"/>
      <c r="BH79" s="75"/>
      <c r="BI79" s="75"/>
      <c r="BJ79" s="75"/>
      <c r="BK79" s="75"/>
      <c r="BL79" s="75"/>
      <c r="BM79" s="78"/>
      <c r="BN79" s="78"/>
      <c r="BO79" s="78"/>
      <c r="BP79" s="78"/>
      <c r="BQ79" s="78"/>
      <c r="BR79" s="78"/>
      <c r="BS79" s="78"/>
      <c r="BT79" s="78"/>
      <c r="BU79" s="78"/>
      <c r="BV79" s="78"/>
      <c r="BW79" s="78"/>
      <c r="BX79" s="78"/>
      <c r="BY79" s="78"/>
      <c r="BZ79" s="75"/>
      <c r="CA79" s="75"/>
      <c r="CB79" s="75"/>
      <c r="CC79" s="75"/>
      <c r="CD79" s="75"/>
      <c r="CE79" s="75"/>
      <c r="CF79" s="75"/>
      <c r="CG79" s="75"/>
      <c r="CH79" s="75"/>
      <c r="CI79" s="75"/>
      <c r="CJ79" s="75"/>
      <c r="CK79" s="75"/>
      <c r="CL79" s="75"/>
      <c r="CM79" s="75"/>
      <c r="CN79" s="75"/>
      <c r="CO79" s="75"/>
      <c r="CP79" s="75"/>
      <c r="CQ79" s="75"/>
      <c r="CR79" s="75"/>
      <c r="CS79" s="75"/>
      <c r="CT79" s="75"/>
      <c r="CU79" s="75"/>
      <c r="CV79" s="75"/>
      <c r="CW79" s="75"/>
      <c r="CX79" s="75"/>
      <c r="CY79" s="75"/>
      <c r="CZ79" s="75"/>
      <c r="DA79" s="75"/>
      <c r="DB79" s="75"/>
      <c r="DC79" s="75"/>
      <c r="DD79" s="75"/>
    </row>
    <row r="80" spans="1:108">
      <c r="A80" s="75" t="s">
        <v>165</v>
      </c>
      <c r="B80" s="75" t="s">
        <v>150</v>
      </c>
      <c r="C80" s="75" t="s">
        <v>85</v>
      </c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89"/>
      <c r="T80" s="75"/>
      <c r="U80" s="75">
        <v>836</v>
      </c>
      <c r="V80" s="75"/>
      <c r="W80" s="75"/>
      <c r="X80" s="75"/>
      <c r="Y80" s="75"/>
      <c r="Z80" s="75"/>
      <c r="AA80" s="75"/>
      <c r="AB80" s="75"/>
      <c r="AC80" s="75"/>
      <c r="AD80" s="75"/>
      <c r="AE80" s="75"/>
      <c r="AF80" s="75"/>
      <c r="AG80" s="75"/>
      <c r="AH80" s="75"/>
      <c r="AI80" s="75"/>
      <c r="AJ80" s="75"/>
      <c r="AK80" s="75"/>
      <c r="AL80" s="75"/>
      <c r="AM80" s="75"/>
      <c r="AN80" s="75"/>
      <c r="AO80" s="75"/>
      <c r="AP80" s="75"/>
      <c r="AQ80" s="75"/>
      <c r="AR80" s="75"/>
      <c r="AS80" s="75"/>
      <c r="AT80" s="75"/>
      <c r="AU80" s="75"/>
      <c r="AV80" s="75"/>
      <c r="AW80" s="75"/>
      <c r="AX80" s="75"/>
      <c r="AY80" s="75"/>
      <c r="AZ80" s="75"/>
      <c r="BA80" s="75"/>
      <c r="BB80" s="75"/>
      <c r="BC80" s="75"/>
      <c r="BD80" s="75"/>
      <c r="BE80" s="75"/>
      <c r="BF80" s="75"/>
      <c r="BG80" s="75"/>
      <c r="BH80" s="75"/>
      <c r="BI80" s="75"/>
      <c r="BJ80" s="75"/>
      <c r="BK80" s="75"/>
      <c r="BL80" s="75"/>
      <c r="BM80" s="75"/>
      <c r="BN80" s="75"/>
      <c r="BO80" s="75"/>
      <c r="BP80" s="75"/>
      <c r="BQ80" s="75"/>
      <c r="BR80" s="75"/>
      <c r="BS80" s="75"/>
      <c r="BT80" s="75"/>
      <c r="BU80" s="75"/>
      <c r="BV80" s="78"/>
      <c r="BW80" s="78"/>
      <c r="BX80" s="78"/>
      <c r="BY80" s="78"/>
      <c r="BZ80" s="78"/>
      <c r="CA80" s="78"/>
      <c r="CB80" s="78"/>
      <c r="CC80" s="78"/>
      <c r="CD80" s="78"/>
      <c r="CE80" s="78"/>
      <c r="CF80" s="78"/>
      <c r="CG80" s="78"/>
      <c r="CH80" s="78"/>
      <c r="CI80" s="78"/>
      <c r="CJ80" s="78"/>
      <c r="CK80" s="78"/>
      <c r="CL80" s="78"/>
      <c r="CM80" s="75"/>
      <c r="CN80" s="75"/>
      <c r="CO80" s="75"/>
      <c r="CP80" s="75"/>
      <c r="CQ80" s="75"/>
      <c r="CR80" s="75"/>
      <c r="CS80" s="75"/>
      <c r="CT80" s="75"/>
      <c r="CU80" s="75"/>
      <c r="CV80" s="75"/>
      <c r="CW80" s="75"/>
      <c r="CX80" s="75"/>
      <c r="CY80" s="75"/>
      <c r="CZ80" s="75"/>
      <c r="DA80" s="75"/>
      <c r="DB80" s="75"/>
      <c r="DC80" s="75"/>
      <c r="DD80" s="75"/>
    </row>
    <row r="81" spans="1:108">
      <c r="A81" s="75" t="s">
        <v>165</v>
      </c>
      <c r="B81" s="75" t="s">
        <v>150</v>
      </c>
      <c r="C81" s="75" t="s">
        <v>85</v>
      </c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89"/>
      <c r="T81" s="75"/>
      <c r="U81" s="78">
        <v>2068</v>
      </c>
      <c r="V81" s="75"/>
      <c r="W81" s="75"/>
      <c r="X81" s="75"/>
      <c r="Y81" s="75"/>
      <c r="Z81" s="75"/>
      <c r="AA81" s="75"/>
      <c r="AB81" s="75"/>
      <c r="AC81" s="75"/>
      <c r="AD81" s="75"/>
      <c r="AE81" s="75"/>
      <c r="AF81" s="75"/>
      <c r="AG81" s="75"/>
      <c r="AH81" s="75"/>
      <c r="AI81" s="75"/>
      <c r="AJ81" s="75"/>
      <c r="AK81" s="75"/>
      <c r="AL81" s="75"/>
      <c r="AM81" s="75"/>
      <c r="AN81" s="75"/>
      <c r="AO81" s="75"/>
      <c r="AP81" s="75"/>
      <c r="AQ81" s="75"/>
      <c r="AR81" s="75"/>
      <c r="AS81" s="75"/>
      <c r="AT81" s="75"/>
      <c r="AU81" s="75"/>
      <c r="AV81" s="75"/>
      <c r="AW81" s="75"/>
      <c r="AX81" s="75"/>
      <c r="AY81" s="75"/>
      <c r="AZ81" s="75"/>
      <c r="BA81" s="75"/>
      <c r="BB81" s="75"/>
      <c r="BC81" s="75"/>
      <c r="BD81" s="75"/>
      <c r="BE81" s="75"/>
      <c r="BF81" s="75"/>
      <c r="BG81" s="75"/>
      <c r="BH81" s="75"/>
      <c r="BI81" s="75"/>
      <c r="BJ81" s="75"/>
      <c r="BK81" s="75"/>
      <c r="BL81" s="75"/>
      <c r="BM81" s="75"/>
      <c r="BN81" s="75"/>
      <c r="BO81" s="75"/>
      <c r="BP81" s="75"/>
      <c r="BQ81" s="75"/>
      <c r="BR81" s="78"/>
      <c r="BS81" s="78"/>
      <c r="BT81" s="78"/>
      <c r="BU81" s="78"/>
      <c r="BV81" s="78"/>
      <c r="BW81" s="78"/>
      <c r="BX81" s="78"/>
      <c r="BY81" s="78"/>
      <c r="BZ81" s="78"/>
      <c r="CA81" s="78"/>
      <c r="CB81" s="78"/>
      <c r="CC81" s="78"/>
      <c r="CD81" s="78"/>
      <c r="CE81" s="78"/>
      <c r="CF81" s="78"/>
      <c r="CG81" s="78"/>
      <c r="CH81" s="78"/>
      <c r="CI81" s="78"/>
      <c r="CJ81" s="78"/>
      <c r="CK81" s="78"/>
      <c r="CL81" s="78"/>
      <c r="CM81" s="78"/>
      <c r="CN81" s="78"/>
      <c r="CO81" s="78"/>
      <c r="CP81" s="78"/>
      <c r="CQ81" s="78"/>
      <c r="CR81" s="78"/>
      <c r="CS81" s="78"/>
      <c r="CT81" s="78"/>
      <c r="CU81" s="78"/>
      <c r="CV81" s="78"/>
      <c r="CW81" s="78"/>
      <c r="CX81" s="75"/>
      <c r="CY81" s="75"/>
      <c r="CZ81" s="75"/>
      <c r="DA81" s="75"/>
      <c r="DB81" s="75"/>
      <c r="DC81" s="75"/>
      <c r="DD81" s="75"/>
    </row>
    <row r="82" spans="1:108">
      <c r="A82" s="75" t="s">
        <v>166</v>
      </c>
      <c r="B82" s="75" t="s">
        <v>152</v>
      </c>
      <c r="C82" s="75" t="s">
        <v>85</v>
      </c>
      <c r="D82" s="75"/>
      <c r="E82" s="75"/>
      <c r="F82" s="75"/>
      <c r="G82" s="75"/>
      <c r="H82" s="75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88"/>
      <c r="T82" s="78">
        <v>20215</v>
      </c>
      <c r="U82" s="78">
        <v>3369</v>
      </c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  <c r="AQ82" s="78"/>
      <c r="AR82" s="78"/>
      <c r="AS82" s="78"/>
      <c r="AT82" s="78"/>
      <c r="AU82" s="78"/>
      <c r="AV82" s="78"/>
      <c r="AW82" s="78"/>
      <c r="AX82" s="78"/>
      <c r="AY82" s="78"/>
      <c r="AZ82" s="78"/>
      <c r="BA82" s="78"/>
      <c r="BB82" s="78"/>
      <c r="BC82" s="78"/>
      <c r="BD82" s="78"/>
      <c r="BE82" s="78"/>
      <c r="BF82" s="78"/>
      <c r="BG82" s="78"/>
      <c r="BH82" s="78"/>
      <c r="BI82" s="78"/>
      <c r="BJ82" s="78"/>
      <c r="BK82" s="78"/>
      <c r="BL82" s="78"/>
      <c r="BM82" s="78"/>
      <c r="BN82" s="78"/>
      <c r="BO82" s="78"/>
      <c r="BP82" s="78"/>
      <c r="BQ82" s="78"/>
      <c r="BR82" s="78"/>
      <c r="BS82" s="78"/>
      <c r="BT82" s="78"/>
      <c r="BU82" s="78"/>
      <c r="BV82" s="78"/>
      <c r="BW82" s="78"/>
      <c r="BX82" s="78"/>
      <c r="BY82" s="78"/>
      <c r="BZ82" s="78"/>
      <c r="CA82" s="78"/>
      <c r="CB82" s="78"/>
      <c r="CC82" s="78"/>
      <c r="CD82" s="78"/>
      <c r="CE82" s="78"/>
      <c r="CF82" s="78"/>
      <c r="CG82" s="78"/>
      <c r="CH82" s="78"/>
      <c r="CI82" s="78"/>
      <c r="CJ82" s="78"/>
      <c r="CK82" s="78"/>
      <c r="CL82" s="78"/>
      <c r="CM82" s="78"/>
      <c r="CN82" s="78"/>
      <c r="CO82" s="78"/>
      <c r="CP82" s="78"/>
      <c r="CQ82" s="78"/>
      <c r="CR82" s="78"/>
      <c r="CS82" s="78"/>
      <c r="CT82" s="78"/>
      <c r="CU82" s="78"/>
      <c r="CV82" s="78"/>
      <c r="CW82" s="78"/>
      <c r="CX82" s="78"/>
      <c r="CY82" s="78"/>
      <c r="CZ82" s="75"/>
      <c r="DA82" s="75"/>
      <c r="DB82" s="75"/>
      <c r="DC82" s="75"/>
      <c r="DD82" s="75"/>
    </row>
    <row r="83" spans="1:108">
      <c r="A83" s="75" t="s">
        <v>162</v>
      </c>
      <c r="B83" s="75" t="s">
        <v>144</v>
      </c>
      <c r="C83" s="75" t="s">
        <v>85</v>
      </c>
      <c r="D83" s="75"/>
      <c r="E83" s="75"/>
      <c r="F83" s="75"/>
      <c r="G83" s="75"/>
      <c r="H83" s="75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88"/>
      <c r="T83" s="78"/>
      <c r="U83" s="78">
        <v>1612</v>
      </c>
      <c r="V83" s="78">
        <v>537</v>
      </c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5"/>
      <c r="AI83" s="75"/>
      <c r="AJ83" s="75"/>
      <c r="AK83" s="75"/>
      <c r="AL83" s="75"/>
      <c r="AM83" s="75"/>
      <c r="AN83" s="75"/>
      <c r="AO83" s="75"/>
      <c r="AP83" s="75"/>
      <c r="AQ83" s="75"/>
      <c r="AR83" s="75"/>
      <c r="AS83" s="75"/>
      <c r="AT83" s="75"/>
      <c r="AU83" s="75"/>
      <c r="AV83" s="75"/>
      <c r="AW83" s="75"/>
      <c r="AX83" s="75"/>
      <c r="AY83" s="75"/>
      <c r="AZ83" s="75"/>
      <c r="BA83" s="75"/>
      <c r="BB83" s="75"/>
      <c r="BC83" s="75"/>
      <c r="BD83" s="75"/>
      <c r="BE83" s="75"/>
      <c r="BF83" s="75"/>
      <c r="BG83" s="75"/>
      <c r="BH83" s="75"/>
      <c r="BI83" s="75"/>
      <c r="BJ83" s="75"/>
      <c r="BK83" s="75"/>
      <c r="BL83" s="75"/>
      <c r="BM83" s="75"/>
      <c r="BN83" s="75"/>
      <c r="BO83" s="75"/>
      <c r="BP83" s="75"/>
      <c r="BQ83" s="75"/>
      <c r="BR83" s="75"/>
      <c r="BS83" s="75"/>
      <c r="BT83" s="75"/>
      <c r="BU83" s="75"/>
      <c r="BV83" s="75"/>
      <c r="BW83" s="75"/>
      <c r="BX83" s="75"/>
      <c r="BY83" s="75"/>
      <c r="BZ83" s="75"/>
      <c r="CA83" s="75"/>
      <c r="CB83" s="75"/>
      <c r="CC83" s="75"/>
      <c r="CD83" s="75"/>
      <c r="CE83" s="75"/>
      <c r="CF83" s="75"/>
      <c r="CG83" s="75"/>
      <c r="CH83" s="75"/>
      <c r="CI83" s="75"/>
      <c r="CJ83" s="75"/>
      <c r="CK83" s="75"/>
      <c r="CL83" s="75"/>
      <c r="CM83" s="75"/>
      <c r="CN83" s="75"/>
      <c r="CO83" s="75"/>
      <c r="CP83" s="75"/>
      <c r="CQ83" s="75"/>
      <c r="CR83" s="75"/>
      <c r="CS83" s="75"/>
      <c r="CT83" s="75"/>
      <c r="CU83" s="75"/>
      <c r="CV83" s="75"/>
      <c r="CW83" s="75"/>
      <c r="CX83" s="75"/>
      <c r="CY83" s="75"/>
      <c r="CZ83" s="75"/>
      <c r="DA83" s="75"/>
      <c r="DB83" s="75"/>
      <c r="DC83" s="75"/>
      <c r="DD83" s="75"/>
    </row>
    <row r="84" spans="1:108">
      <c r="A84" s="75" t="s">
        <v>161</v>
      </c>
      <c r="B84" s="75" t="s">
        <v>142</v>
      </c>
      <c r="C84" s="75" t="s">
        <v>85</v>
      </c>
      <c r="D84" s="75"/>
      <c r="E84" s="75"/>
      <c r="F84" s="75"/>
      <c r="G84" s="75"/>
      <c r="H84" s="75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88"/>
      <c r="T84" s="78"/>
      <c r="U84" s="78">
        <v>1129</v>
      </c>
      <c r="V84" s="78">
        <v>3386</v>
      </c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5"/>
      <c r="AI84" s="75"/>
      <c r="AJ84" s="75"/>
      <c r="AK84" s="75"/>
      <c r="AL84" s="75"/>
      <c r="AM84" s="75"/>
      <c r="AN84" s="75"/>
      <c r="AO84" s="75"/>
      <c r="AP84" s="75"/>
      <c r="AQ84" s="75"/>
      <c r="AR84" s="75"/>
      <c r="AS84" s="75"/>
      <c r="AT84" s="75"/>
      <c r="AU84" s="75"/>
      <c r="AV84" s="75"/>
      <c r="AW84" s="75"/>
      <c r="AX84" s="75"/>
      <c r="AY84" s="75"/>
      <c r="AZ84" s="75"/>
      <c r="BA84" s="75"/>
      <c r="BB84" s="75"/>
      <c r="BC84" s="75"/>
      <c r="BD84" s="75"/>
      <c r="BE84" s="75"/>
      <c r="BF84" s="75"/>
      <c r="BG84" s="75"/>
      <c r="BH84" s="75"/>
      <c r="BI84" s="75"/>
      <c r="BJ84" s="75"/>
      <c r="BK84" s="75"/>
      <c r="BL84" s="75"/>
      <c r="BM84" s="75"/>
      <c r="BN84" s="75"/>
      <c r="BO84" s="75"/>
      <c r="BP84" s="75"/>
      <c r="BQ84" s="75"/>
      <c r="BR84" s="75"/>
      <c r="BS84" s="75"/>
      <c r="BT84" s="75"/>
      <c r="BU84" s="75"/>
      <c r="BV84" s="75"/>
      <c r="BW84" s="75"/>
      <c r="BX84" s="75"/>
      <c r="BY84" s="75"/>
      <c r="BZ84" s="75"/>
      <c r="CA84" s="75"/>
      <c r="CB84" s="75"/>
      <c r="CC84" s="75"/>
      <c r="CD84" s="75"/>
      <c r="CE84" s="75"/>
      <c r="CF84" s="75"/>
      <c r="CG84" s="75"/>
      <c r="CH84" s="75"/>
      <c r="CI84" s="75"/>
      <c r="CJ84" s="75"/>
      <c r="CK84" s="75"/>
      <c r="CL84" s="75"/>
      <c r="CM84" s="75"/>
      <c r="CN84" s="75"/>
      <c r="CO84" s="75"/>
      <c r="CP84" s="75"/>
      <c r="CQ84" s="75"/>
      <c r="CR84" s="75"/>
      <c r="CS84" s="75"/>
      <c r="CT84" s="75"/>
      <c r="CU84" s="75"/>
      <c r="CV84" s="75"/>
      <c r="CW84" s="75"/>
      <c r="CX84" s="75"/>
      <c r="CY84" s="75"/>
      <c r="CZ84" s="75"/>
      <c r="DA84" s="75"/>
      <c r="DB84" s="75"/>
      <c r="DC84" s="75"/>
      <c r="DD84" s="75"/>
    </row>
    <row r="85" spans="1:108">
      <c r="A85" s="75" t="s">
        <v>161</v>
      </c>
      <c r="B85" s="75" t="s">
        <v>142</v>
      </c>
      <c r="C85" s="75" t="s">
        <v>85</v>
      </c>
      <c r="D85" s="75"/>
      <c r="E85" s="75"/>
      <c r="F85" s="75"/>
      <c r="G85" s="75"/>
      <c r="H85" s="75"/>
      <c r="I85" s="78"/>
      <c r="J85" s="78"/>
      <c r="K85" s="78"/>
      <c r="L85" s="78"/>
      <c r="M85" s="78"/>
      <c r="N85" s="78"/>
      <c r="O85" s="78"/>
      <c r="P85" s="78"/>
      <c r="Q85" s="75"/>
      <c r="R85" s="75"/>
      <c r="S85" s="89"/>
      <c r="T85" s="75"/>
      <c r="U85" s="75">
        <v>134</v>
      </c>
      <c r="V85" s="75">
        <v>403</v>
      </c>
      <c r="W85" s="75"/>
      <c r="X85" s="75"/>
      <c r="Y85" s="75"/>
      <c r="Z85" s="75"/>
      <c r="AA85" s="75"/>
      <c r="AB85" s="75"/>
      <c r="AC85" s="75"/>
      <c r="AD85" s="75"/>
      <c r="AE85" s="75"/>
      <c r="AF85" s="75"/>
      <c r="AG85" s="75"/>
      <c r="AH85" s="75"/>
      <c r="AI85" s="75"/>
      <c r="AJ85" s="75"/>
      <c r="AK85" s="75"/>
      <c r="AL85" s="75"/>
      <c r="AM85" s="75"/>
      <c r="AN85" s="75"/>
      <c r="AO85" s="75"/>
      <c r="AP85" s="75"/>
      <c r="AQ85" s="75"/>
      <c r="AR85" s="75"/>
      <c r="AS85" s="75"/>
      <c r="AT85" s="75"/>
      <c r="AU85" s="75"/>
      <c r="AV85" s="75"/>
      <c r="AW85" s="75"/>
      <c r="AX85" s="75"/>
      <c r="AY85" s="75"/>
      <c r="AZ85" s="75"/>
      <c r="BA85" s="75"/>
      <c r="BB85" s="75"/>
      <c r="BC85" s="75"/>
      <c r="BD85" s="75"/>
      <c r="BE85" s="75"/>
      <c r="BF85" s="75"/>
      <c r="BG85" s="75"/>
      <c r="BH85" s="75"/>
      <c r="BI85" s="75"/>
      <c r="BJ85" s="75"/>
      <c r="BK85" s="75"/>
      <c r="BL85" s="75"/>
      <c r="BM85" s="75"/>
      <c r="BN85" s="75"/>
      <c r="BO85" s="75"/>
      <c r="BP85" s="75"/>
      <c r="BQ85" s="75"/>
      <c r="BR85" s="75"/>
      <c r="BS85" s="75"/>
      <c r="BT85" s="75"/>
      <c r="BU85" s="75"/>
      <c r="BV85" s="75"/>
      <c r="BW85" s="75"/>
      <c r="BX85" s="75"/>
      <c r="BY85" s="75"/>
      <c r="BZ85" s="75"/>
      <c r="CA85" s="75"/>
      <c r="CB85" s="75"/>
      <c r="CC85" s="75"/>
      <c r="CD85" s="75"/>
      <c r="CE85" s="75"/>
      <c r="CF85" s="75"/>
      <c r="CG85" s="75"/>
      <c r="CH85" s="75"/>
      <c r="CI85" s="75"/>
      <c r="CJ85" s="75"/>
      <c r="CK85" s="75"/>
      <c r="CL85" s="75"/>
      <c r="CM85" s="75"/>
      <c r="CN85" s="75"/>
      <c r="CO85" s="75"/>
      <c r="CP85" s="75"/>
      <c r="CQ85" s="75"/>
      <c r="CR85" s="75"/>
      <c r="CS85" s="75"/>
      <c r="CT85" s="75"/>
      <c r="CU85" s="75"/>
      <c r="CV85" s="75"/>
      <c r="CW85" s="75"/>
      <c r="CX85" s="75"/>
      <c r="CY85" s="75"/>
      <c r="CZ85" s="75"/>
      <c r="DA85" s="75"/>
      <c r="DB85" s="75"/>
      <c r="DC85" s="75"/>
      <c r="DD85" s="75"/>
    </row>
    <row r="86" spans="1:108">
      <c r="A86" s="75" t="s">
        <v>108</v>
      </c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8">
        <v>2653</v>
      </c>
      <c r="O86" s="78">
        <v>15919</v>
      </c>
      <c r="P86" s="78">
        <v>15919</v>
      </c>
      <c r="Q86" s="78">
        <v>20733</v>
      </c>
      <c r="R86" s="78">
        <v>9874</v>
      </c>
      <c r="S86" s="88">
        <v>7220</v>
      </c>
      <c r="T86" s="78">
        <v>10094</v>
      </c>
      <c r="U86" s="78">
        <v>29281</v>
      </c>
      <c r="V86" s="78">
        <v>146415</v>
      </c>
      <c r="W86" s="78">
        <v>261916</v>
      </c>
      <c r="X86" s="78">
        <v>89164</v>
      </c>
      <c r="Y86" s="78">
        <v>102517</v>
      </c>
      <c r="Z86" s="78">
        <v>68770</v>
      </c>
      <c r="AA86" s="78">
        <v>12698</v>
      </c>
      <c r="AB86" s="78">
        <v>18323</v>
      </c>
      <c r="AC86" s="78">
        <v>75144</v>
      </c>
      <c r="AD86" s="78">
        <v>148733</v>
      </c>
      <c r="AE86" s="78">
        <v>88610</v>
      </c>
      <c r="AF86" s="78">
        <v>56074</v>
      </c>
      <c r="AG86" s="78">
        <v>83674</v>
      </c>
      <c r="AH86" s="78">
        <v>68209</v>
      </c>
      <c r="AI86" s="78">
        <v>183429</v>
      </c>
      <c r="AJ86" s="78">
        <v>4740</v>
      </c>
      <c r="AK86" s="75"/>
      <c r="AL86" s="75"/>
      <c r="AM86" s="75"/>
      <c r="AN86" s="75"/>
      <c r="AO86" s="75"/>
      <c r="AP86" s="75"/>
      <c r="AQ86" s="75"/>
      <c r="AR86" s="75"/>
      <c r="AS86" s="75"/>
      <c r="AT86" s="75"/>
      <c r="AU86" s="75"/>
      <c r="AV86" s="75"/>
      <c r="AW86" s="75"/>
      <c r="AX86" s="75"/>
      <c r="AY86" s="75"/>
      <c r="AZ86" s="75"/>
      <c r="BA86" s="75"/>
      <c r="BB86" s="75"/>
      <c r="BC86" s="75"/>
      <c r="BD86" s="75"/>
      <c r="BE86" s="75"/>
      <c r="BF86" s="75"/>
      <c r="BG86" s="75"/>
      <c r="BH86" s="75"/>
      <c r="BI86" s="75"/>
      <c r="BJ86" s="75"/>
      <c r="BK86" s="75"/>
      <c r="BL86" s="75"/>
      <c r="BM86" s="75"/>
      <c r="BN86" s="75"/>
      <c r="BO86" s="75"/>
      <c r="BP86" s="75"/>
      <c r="BQ86" s="75"/>
      <c r="BR86" s="75"/>
      <c r="BS86" s="75"/>
      <c r="BT86" s="75"/>
      <c r="BU86" s="75"/>
      <c r="BV86" s="75"/>
      <c r="BW86" s="75"/>
      <c r="BX86" s="75"/>
      <c r="BY86" s="75"/>
      <c r="BZ86" s="75"/>
      <c r="CA86" s="75"/>
      <c r="CB86" s="75"/>
      <c r="CC86" s="75"/>
      <c r="CD86" s="75"/>
      <c r="CE86" s="75"/>
      <c r="CF86" s="75"/>
      <c r="CG86" s="75"/>
      <c r="CH86" s="75"/>
      <c r="CI86" s="75"/>
      <c r="CJ86" s="75"/>
      <c r="CK86" s="75"/>
      <c r="CL86" s="75"/>
      <c r="CM86" s="75"/>
      <c r="CN86" s="75"/>
      <c r="CO86" s="75"/>
      <c r="CP86" s="75"/>
      <c r="CQ86" s="75"/>
      <c r="CR86" s="75"/>
      <c r="CS86" s="75"/>
      <c r="CT86" s="75"/>
      <c r="CU86" s="75"/>
      <c r="CV86" s="75"/>
      <c r="CW86" s="75"/>
      <c r="CX86" s="75"/>
      <c r="CY86" s="75"/>
      <c r="CZ86" s="75"/>
      <c r="DA86" s="75"/>
      <c r="DB86" s="75"/>
      <c r="DC86" s="75"/>
      <c r="DD86" s="75"/>
    </row>
    <row r="87" spans="1:108">
      <c r="A87" s="75" t="s">
        <v>78</v>
      </c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8">
        <v>2653</v>
      </c>
      <c r="O87" s="78">
        <v>15919</v>
      </c>
      <c r="P87" s="78">
        <v>15919</v>
      </c>
      <c r="Q87" s="78">
        <v>20733</v>
      </c>
      <c r="R87" s="78">
        <v>9874</v>
      </c>
      <c r="S87" s="88">
        <v>7220</v>
      </c>
      <c r="T87" s="78">
        <v>10094</v>
      </c>
      <c r="U87" s="75"/>
      <c r="V87" s="75"/>
      <c r="W87" s="75"/>
      <c r="X87" s="75"/>
      <c r="Y87" s="75"/>
      <c r="Z87" s="75"/>
      <c r="AA87" s="75"/>
      <c r="AB87" s="75"/>
      <c r="AC87" s="75"/>
      <c r="AD87" s="75"/>
      <c r="AE87" s="75"/>
      <c r="AF87" s="75"/>
      <c r="AG87" s="75"/>
      <c r="AH87" s="75"/>
      <c r="AI87" s="75"/>
      <c r="AJ87" s="75"/>
      <c r="AK87" s="75"/>
      <c r="AL87" s="75"/>
      <c r="AM87" s="75"/>
      <c r="AN87" s="75"/>
      <c r="AO87" s="75"/>
      <c r="AP87" s="75"/>
      <c r="AQ87" s="75"/>
      <c r="AR87" s="75"/>
      <c r="AS87" s="75"/>
      <c r="AT87" s="75"/>
      <c r="AU87" s="75"/>
      <c r="AV87" s="75"/>
      <c r="AW87" s="75"/>
      <c r="AX87" s="75"/>
      <c r="AY87" s="75"/>
      <c r="AZ87" s="75"/>
      <c r="BA87" s="75"/>
      <c r="BB87" s="75"/>
      <c r="BC87" s="75"/>
      <c r="BD87" s="75"/>
      <c r="BE87" s="75"/>
      <c r="BF87" s="75"/>
      <c r="BG87" s="75"/>
      <c r="BH87" s="75"/>
      <c r="BI87" s="75"/>
      <c r="BJ87" s="75"/>
      <c r="BK87" s="75"/>
      <c r="BL87" s="75"/>
      <c r="BM87" s="75"/>
      <c r="BN87" s="75"/>
      <c r="BO87" s="75"/>
      <c r="BP87" s="75"/>
      <c r="BQ87" s="75"/>
      <c r="BR87" s="75"/>
      <c r="BS87" s="75"/>
      <c r="BT87" s="75"/>
      <c r="BU87" s="75"/>
      <c r="BV87" s="75"/>
      <c r="BW87" s="75"/>
      <c r="BX87" s="75"/>
      <c r="BY87" s="75"/>
      <c r="BZ87" s="75"/>
      <c r="CA87" s="75"/>
      <c r="CB87" s="75"/>
      <c r="CC87" s="75"/>
      <c r="CD87" s="75"/>
      <c r="CE87" s="75"/>
      <c r="CF87" s="75"/>
      <c r="CG87" s="75"/>
      <c r="CH87" s="75"/>
      <c r="CI87" s="75"/>
      <c r="CJ87" s="75"/>
      <c r="CK87" s="75"/>
      <c r="CL87" s="75"/>
      <c r="CM87" s="75"/>
      <c r="CN87" s="75"/>
      <c r="CO87" s="75"/>
      <c r="CP87" s="75"/>
      <c r="CQ87" s="75"/>
      <c r="CR87" s="75"/>
      <c r="CS87" s="75"/>
      <c r="CT87" s="75"/>
      <c r="CU87" s="75"/>
      <c r="CV87" s="75"/>
      <c r="CW87" s="75"/>
      <c r="CX87" s="75"/>
      <c r="CY87" s="75"/>
      <c r="CZ87" s="75"/>
      <c r="DA87" s="75"/>
      <c r="DB87" s="75"/>
      <c r="DC87" s="75"/>
      <c r="DD87" s="75"/>
    </row>
    <row r="88" spans="1:108">
      <c r="A88" s="75" t="s">
        <v>113</v>
      </c>
      <c r="B88" s="75" t="s">
        <v>114</v>
      </c>
      <c r="C88" s="75" t="s">
        <v>85</v>
      </c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89"/>
      <c r="T88" s="78">
        <v>5280</v>
      </c>
      <c r="U88" s="75"/>
      <c r="V88" s="75"/>
      <c r="W88" s="75"/>
      <c r="X88" s="75"/>
      <c r="Y88" s="75"/>
      <c r="Z88" s="75"/>
      <c r="AA88" s="75"/>
      <c r="AB88" s="75"/>
      <c r="AC88" s="75"/>
      <c r="AD88" s="75"/>
      <c r="AE88" s="75"/>
      <c r="AF88" s="75"/>
      <c r="AG88" s="75"/>
      <c r="AH88" s="75"/>
      <c r="AI88" s="75"/>
      <c r="AJ88" s="75"/>
      <c r="AK88" s="75"/>
      <c r="AL88" s="75"/>
      <c r="AM88" s="75"/>
      <c r="AN88" s="75"/>
      <c r="AO88" s="75"/>
      <c r="AP88" s="75"/>
      <c r="AQ88" s="75"/>
      <c r="AR88" s="75"/>
      <c r="AS88" s="75"/>
      <c r="AT88" s="75"/>
      <c r="AU88" s="75"/>
      <c r="AV88" s="75"/>
      <c r="AW88" s="75"/>
      <c r="AX88" s="75"/>
      <c r="AY88" s="75"/>
      <c r="AZ88" s="75"/>
      <c r="BA88" s="75"/>
      <c r="BB88" s="75"/>
      <c r="BC88" s="75"/>
      <c r="BD88" s="75"/>
      <c r="BE88" s="75"/>
      <c r="BF88" s="75"/>
      <c r="BG88" s="75"/>
      <c r="BH88" s="75"/>
      <c r="BI88" s="75"/>
      <c r="BJ88" s="75"/>
      <c r="BK88" s="75"/>
      <c r="BL88" s="75"/>
      <c r="BM88" s="75"/>
      <c r="BN88" s="75"/>
      <c r="BO88" s="75"/>
      <c r="BP88" s="75"/>
      <c r="BQ88" s="75"/>
      <c r="BR88" s="75"/>
      <c r="BS88" s="75"/>
      <c r="BT88" s="75"/>
      <c r="BU88" s="75"/>
      <c r="BV88" s="75"/>
      <c r="BW88" s="75"/>
      <c r="BX88" s="75"/>
      <c r="BY88" s="75"/>
      <c r="BZ88" s="75"/>
      <c r="CA88" s="75"/>
      <c r="CB88" s="75"/>
      <c r="CC88" s="75"/>
      <c r="CD88" s="75"/>
      <c r="CE88" s="75"/>
      <c r="CF88" s="75"/>
      <c r="CG88" s="75"/>
      <c r="CH88" s="75"/>
      <c r="CI88" s="75"/>
      <c r="CJ88" s="75"/>
      <c r="CK88" s="75"/>
      <c r="CL88" s="75"/>
      <c r="CM88" s="75"/>
      <c r="CN88" s="75"/>
      <c r="CO88" s="75"/>
      <c r="CP88" s="75"/>
      <c r="CQ88" s="75"/>
      <c r="CR88" s="75"/>
      <c r="CS88" s="75"/>
      <c r="CT88" s="75"/>
      <c r="CU88" s="75"/>
      <c r="CV88" s="75"/>
      <c r="CW88" s="75"/>
      <c r="CX88" s="75"/>
      <c r="CY88" s="75"/>
      <c r="CZ88" s="75"/>
      <c r="DA88" s="75"/>
      <c r="DB88" s="75"/>
      <c r="DC88" s="75"/>
      <c r="DD88" s="75"/>
    </row>
    <row r="89" spans="1:108">
      <c r="A89" s="75" t="s">
        <v>109</v>
      </c>
      <c r="B89" s="75" t="s">
        <v>110</v>
      </c>
      <c r="C89" s="75" t="s">
        <v>85</v>
      </c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8">
        <v>2653</v>
      </c>
      <c r="O89" s="78">
        <v>15919</v>
      </c>
      <c r="P89" s="78">
        <v>15919</v>
      </c>
      <c r="Q89" s="78">
        <v>15919</v>
      </c>
      <c r="R89" s="78">
        <v>2653</v>
      </c>
      <c r="S89" s="89"/>
      <c r="T89" s="75"/>
      <c r="U89" s="75"/>
      <c r="V89" s="75"/>
      <c r="W89" s="75"/>
      <c r="X89" s="75"/>
      <c r="Y89" s="75"/>
      <c r="Z89" s="75"/>
      <c r="AA89" s="75"/>
      <c r="AB89" s="75"/>
      <c r="AC89" s="75"/>
      <c r="AD89" s="75"/>
      <c r="AE89" s="75"/>
      <c r="AF89" s="75"/>
      <c r="AG89" s="75"/>
      <c r="AH89" s="75"/>
      <c r="AI89" s="75"/>
      <c r="AJ89" s="75"/>
      <c r="AK89" s="75"/>
      <c r="AL89" s="75"/>
      <c r="AM89" s="75"/>
      <c r="AN89" s="75"/>
      <c r="AO89" s="75"/>
      <c r="AP89" s="75"/>
      <c r="AQ89" s="75"/>
      <c r="AR89" s="75"/>
      <c r="AS89" s="75"/>
      <c r="AT89" s="75"/>
      <c r="AU89" s="75"/>
      <c r="AV89" s="75"/>
      <c r="AW89" s="75"/>
      <c r="AX89" s="75"/>
      <c r="AY89" s="75"/>
      <c r="AZ89" s="75"/>
      <c r="BA89" s="75"/>
      <c r="BB89" s="75"/>
      <c r="BC89" s="75"/>
      <c r="BD89" s="75"/>
      <c r="BE89" s="75"/>
      <c r="BF89" s="75"/>
      <c r="BG89" s="75"/>
      <c r="BH89" s="75"/>
      <c r="BI89" s="75"/>
      <c r="BJ89" s="75"/>
      <c r="BK89" s="75"/>
      <c r="BL89" s="75"/>
      <c r="BM89" s="75"/>
      <c r="BN89" s="75"/>
      <c r="BO89" s="75"/>
      <c r="BP89" s="75"/>
      <c r="BQ89" s="75"/>
      <c r="BR89" s="75"/>
      <c r="BS89" s="75"/>
      <c r="BT89" s="75"/>
      <c r="BU89" s="75"/>
      <c r="BV89" s="75"/>
      <c r="BW89" s="75"/>
      <c r="BX89" s="75"/>
      <c r="BY89" s="75"/>
      <c r="BZ89" s="75"/>
      <c r="CA89" s="75"/>
      <c r="CB89" s="75"/>
      <c r="CC89" s="75"/>
      <c r="CD89" s="75"/>
      <c r="CE89" s="75"/>
      <c r="CF89" s="75"/>
      <c r="CG89" s="75"/>
      <c r="CH89" s="75"/>
      <c r="CI89" s="75"/>
      <c r="CJ89" s="75"/>
      <c r="CK89" s="75"/>
      <c r="CL89" s="75"/>
      <c r="CM89" s="75"/>
      <c r="CN89" s="75"/>
      <c r="CO89" s="75"/>
      <c r="CP89" s="75"/>
      <c r="CQ89" s="75"/>
      <c r="CR89" s="75"/>
      <c r="CS89" s="75"/>
      <c r="CT89" s="75"/>
      <c r="CU89" s="75"/>
      <c r="CV89" s="75"/>
      <c r="CW89" s="75"/>
      <c r="CX89" s="75"/>
      <c r="CY89" s="75"/>
      <c r="CZ89" s="75"/>
      <c r="DA89" s="75"/>
      <c r="DB89" s="75"/>
      <c r="DC89" s="75"/>
      <c r="DD89" s="75"/>
    </row>
    <row r="90" spans="1:108">
      <c r="A90" s="75" t="s">
        <v>111</v>
      </c>
      <c r="B90" s="75" t="s">
        <v>112</v>
      </c>
      <c r="C90" s="75" t="s">
        <v>85</v>
      </c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8">
        <v>4814</v>
      </c>
      <c r="R90" s="78">
        <v>7220</v>
      </c>
      <c r="S90" s="88">
        <v>7220</v>
      </c>
      <c r="T90" s="78">
        <v>4814</v>
      </c>
      <c r="U90" s="75"/>
      <c r="V90" s="75"/>
      <c r="W90" s="75"/>
      <c r="X90" s="75"/>
      <c r="Y90" s="75"/>
      <c r="Z90" s="75"/>
      <c r="AA90" s="75"/>
      <c r="AB90" s="75"/>
      <c r="AC90" s="75"/>
      <c r="AD90" s="75"/>
      <c r="AE90" s="75"/>
      <c r="AF90" s="75"/>
      <c r="AG90" s="75"/>
      <c r="AH90" s="75"/>
      <c r="AI90" s="75"/>
      <c r="AJ90" s="75"/>
      <c r="AK90" s="75"/>
      <c r="AL90" s="75"/>
      <c r="AM90" s="75"/>
      <c r="AN90" s="75"/>
      <c r="AO90" s="75"/>
      <c r="AP90" s="75"/>
      <c r="AQ90" s="75"/>
      <c r="AR90" s="75"/>
      <c r="AS90" s="75"/>
      <c r="AT90" s="75"/>
      <c r="AU90" s="75"/>
      <c r="AV90" s="75"/>
      <c r="AW90" s="75"/>
      <c r="AX90" s="75"/>
      <c r="AY90" s="75"/>
      <c r="AZ90" s="75"/>
      <c r="BA90" s="75"/>
      <c r="BB90" s="75"/>
      <c r="BC90" s="75"/>
      <c r="BD90" s="75"/>
      <c r="BE90" s="75"/>
      <c r="BF90" s="75"/>
      <c r="BG90" s="75"/>
      <c r="BH90" s="75"/>
      <c r="BI90" s="75"/>
      <c r="BJ90" s="75"/>
      <c r="BK90" s="75"/>
      <c r="BL90" s="75"/>
      <c r="BM90" s="75"/>
      <c r="BN90" s="75"/>
      <c r="BO90" s="75"/>
      <c r="BP90" s="75"/>
      <c r="BQ90" s="75"/>
      <c r="BR90" s="75"/>
      <c r="BS90" s="75"/>
      <c r="BT90" s="75"/>
      <c r="BU90" s="75"/>
      <c r="BV90" s="75"/>
      <c r="BW90" s="75"/>
      <c r="BX90" s="75"/>
      <c r="BY90" s="75"/>
      <c r="BZ90" s="75"/>
      <c r="CA90" s="75"/>
      <c r="CB90" s="75"/>
      <c r="CC90" s="75"/>
      <c r="CD90" s="75"/>
      <c r="CE90" s="75"/>
      <c r="CF90" s="75"/>
      <c r="CG90" s="75"/>
      <c r="CH90" s="75"/>
      <c r="CI90" s="75"/>
      <c r="CJ90" s="75"/>
      <c r="CK90" s="75"/>
      <c r="CL90" s="75"/>
      <c r="CM90" s="75"/>
      <c r="CN90" s="75"/>
      <c r="CO90" s="75"/>
      <c r="CP90" s="75"/>
      <c r="CQ90" s="75"/>
      <c r="CR90" s="75"/>
      <c r="CS90" s="75"/>
      <c r="CT90" s="75"/>
      <c r="CU90" s="75"/>
      <c r="CV90" s="75"/>
      <c r="CW90" s="75"/>
      <c r="CX90" s="75"/>
      <c r="CY90" s="75"/>
      <c r="CZ90" s="75"/>
      <c r="DA90" s="75"/>
      <c r="DB90" s="75"/>
      <c r="DC90" s="75"/>
      <c r="DD90" s="75"/>
    </row>
    <row r="91" spans="1:108">
      <c r="A91" s="75" t="s">
        <v>86</v>
      </c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89"/>
      <c r="T91" s="75"/>
      <c r="U91" s="78">
        <v>29281</v>
      </c>
      <c r="V91" s="78">
        <v>146415</v>
      </c>
      <c r="W91" s="78">
        <v>261916</v>
      </c>
      <c r="X91" s="78">
        <v>26482</v>
      </c>
      <c r="Y91" s="75"/>
      <c r="Z91" s="75"/>
      <c r="AA91" s="75"/>
      <c r="AB91" s="75"/>
      <c r="AC91" s="75"/>
      <c r="AD91" s="75"/>
      <c r="AE91" s="75"/>
      <c r="AF91" s="75"/>
      <c r="AG91" s="75"/>
      <c r="AH91" s="75"/>
      <c r="AI91" s="75"/>
      <c r="AJ91" s="75"/>
      <c r="AK91" s="75"/>
      <c r="AL91" s="75"/>
      <c r="AM91" s="75"/>
      <c r="AN91" s="75"/>
      <c r="AO91" s="75"/>
      <c r="AP91" s="75"/>
      <c r="AQ91" s="75"/>
      <c r="AR91" s="75"/>
      <c r="AS91" s="75"/>
      <c r="AT91" s="75"/>
      <c r="AU91" s="75"/>
      <c r="AV91" s="75"/>
      <c r="AW91" s="75"/>
      <c r="AX91" s="75"/>
      <c r="AY91" s="75"/>
      <c r="AZ91" s="75"/>
      <c r="BA91" s="75"/>
      <c r="BB91" s="75"/>
      <c r="BC91" s="75"/>
      <c r="BD91" s="75"/>
      <c r="BE91" s="75"/>
      <c r="BF91" s="75"/>
      <c r="BG91" s="75"/>
      <c r="BH91" s="75"/>
      <c r="BI91" s="75"/>
      <c r="BJ91" s="75"/>
      <c r="BK91" s="75"/>
      <c r="BL91" s="75"/>
      <c r="BM91" s="75"/>
      <c r="BN91" s="75"/>
      <c r="BO91" s="75"/>
      <c r="BP91" s="75"/>
      <c r="BQ91" s="75"/>
      <c r="BR91" s="75"/>
      <c r="BS91" s="75"/>
      <c r="BT91" s="75"/>
      <c r="BU91" s="75"/>
      <c r="BV91" s="75"/>
      <c r="BW91" s="75"/>
      <c r="BX91" s="75"/>
      <c r="BY91" s="75"/>
      <c r="BZ91" s="75"/>
      <c r="CA91" s="75"/>
      <c r="CB91" s="75"/>
      <c r="CC91" s="75"/>
      <c r="CD91" s="75"/>
      <c r="CE91" s="75"/>
      <c r="CF91" s="75"/>
      <c r="CG91" s="75"/>
      <c r="CH91" s="75"/>
      <c r="CI91" s="75"/>
      <c r="CJ91" s="75"/>
      <c r="CK91" s="75"/>
      <c r="CL91" s="75"/>
      <c r="CM91" s="75"/>
      <c r="CN91" s="75"/>
      <c r="CO91" s="75"/>
      <c r="CP91" s="75"/>
      <c r="CQ91" s="75"/>
      <c r="CR91" s="75"/>
      <c r="CS91" s="75"/>
      <c r="CT91" s="75"/>
      <c r="CU91" s="75"/>
      <c r="CV91" s="75"/>
      <c r="CW91" s="75"/>
      <c r="CX91" s="75"/>
      <c r="CY91" s="75"/>
      <c r="CZ91" s="75"/>
      <c r="DA91" s="75"/>
      <c r="DB91" s="75"/>
      <c r="DC91" s="75"/>
      <c r="DD91" s="75"/>
    </row>
    <row r="92" spans="1:108">
      <c r="A92" s="75" t="s">
        <v>119</v>
      </c>
      <c r="B92" s="75" t="s">
        <v>137</v>
      </c>
      <c r="C92" s="75" t="s">
        <v>85</v>
      </c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8"/>
      <c r="Q92" s="78"/>
      <c r="R92" s="75"/>
      <c r="S92" s="89"/>
      <c r="T92" s="75"/>
      <c r="U92" s="78">
        <v>3843</v>
      </c>
      <c r="V92" s="78">
        <v>3843</v>
      </c>
      <c r="W92" s="75"/>
      <c r="X92" s="75"/>
      <c r="Y92" s="75"/>
      <c r="Z92" s="75"/>
      <c r="AA92" s="75"/>
      <c r="AB92" s="75"/>
      <c r="AC92" s="75"/>
      <c r="AD92" s="75"/>
      <c r="AE92" s="75"/>
      <c r="AF92" s="75"/>
      <c r="AG92" s="75"/>
      <c r="AH92" s="75"/>
      <c r="AI92" s="75"/>
      <c r="AJ92" s="75"/>
      <c r="AK92" s="75"/>
      <c r="AL92" s="75"/>
      <c r="AM92" s="75"/>
      <c r="AN92" s="75"/>
      <c r="AO92" s="75"/>
      <c r="AP92" s="75"/>
      <c r="AQ92" s="75"/>
      <c r="AR92" s="75"/>
      <c r="AS92" s="75"/>
      <c r="AT92" s="75"/>
      <c r="AU92" s="75"/>
      <c r="AV92" s="75"/>
      <c r="AW92" s="75"/>
      <c r="AX92" s="75"/>
      <c r="AY92" s="75"/>
      <c r="AZ92" s="75"/>
      <c r="BA92" s="75"/>
      <c r="BB92" s="75"/>
      <c r="BC92" s="75"/>
      <c r="BD92" s="75"/>
      <c r="BE92" s="75"/>
      <c r="BF92" s="75"/>
      <c r="BG92" s="75"/>
      <c r="BH92" s="75"/>
      <c r="BI92" s="75"/>
      <c r="BJ92" s="75"/>
      <c r="BK92" s="75"/>
      <c r="BL92" s="75"/>
      <c r="BM92" s="75"/>
      <c r="BN92" s="75"/>
      <c r="BO92" s="75"/>
      <c r="BP92" s="75"/>
      <c r="BQ92" s="75"/>
      <c r="BR92" s="75"/>
      <c r="BS92" s="75"/>
      <c r="BT92" s="75"/>
      <c r="BU92" s="75"/>
      <c r="BV92" s="75"/>
      <c r="BW92" s="75"/>
      <c r="BX92" s="75"/>
      <c r="BY92" s="75"/>
      <c r="BZ92" s="75"/>
      <c r="CA92" s="75"/>
      <c r="CB92" s="75"/>
      <c r="CC92" s="75"/>
      <c r="CD92" s="75"/>
      <c r="CE92" s="75"/>
      <c r="CF92" s="75"/>
      <c r="CG92" s="75"/>
      <c r="CH92" s="75"/>
      <c r="CI92" s="75"/>
      <c r="CJ92" s="75"/>
      <c r="CK92" s="75"/>
      <c r="CL92" s="75"/>
      <c r="CM92" s="75"/>
      <c r="CN92" s="75"/>
      <c r="CO92" s="75"/>
      <c r="CP92" s="75"/>
      <c r="CQ92" s="75"/>
      <c r="CR92" s="75"/>
      <c r="CS92" s="75"/>
      <c r="CT92" s="75"/>
      <c r="CU92" s="75"/>
      <c r="CV92" s="75"/>
      <c r="CW92" s="75"/>
      <c r="CX92" s="75"/>
      <c r="CY92" s="75"/>
      <c r="CZ92" s="75"/>
      <c r="DA92" s="75"/>
      <c r="DB92" s="75"/>
      <c r="DC92" s="75"/>
      <c r="DD92" s="75"/>
    </row>
    <row r="93" spans="1:108">
      <c r="A93" s="75" t="s">
        <v>115</v>
      </c>
      <c r="B93" s="75" t="s">
        <v>88</v>
      </c>
      <c r="C93" s="75" t="s">
        <v>85</v>
      </c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8"/>
      <c r="R93" s="75"/>
      <c r="S93" s="89"/>
      <c r="T93" s="75"/>
      <c r="U93" s="78">
        <v>25054</v>
      </c>
      <c r="V93" s="75"/>
      <c r="W93" s="75"/>
      <c r="X93" s="75"/>
      <c r="Y93" s="75"/>
      <c r="Z93" s="75"/>
      <c r="AA93" s="75"/>
      <c r="AB93" s="75"/>
      <c r="AC93" s="75"/>
      <c r="AD93" s="75"/>
      <c r="AE93" s="75"/>
      <c r="AF93" s="75"/>
      <c r="AG93" s="75"/>
      <c r="AH93" s="75"/>
      <c r="AI93" s="75"/>
      <c r="AJ93" s="75"/>
      <c r="AK93" s="75"/>
      <c r="AL93" s="75"/>
      <c r="AM93" s="75"/>
      <c r="AN93" s="75"/>
      <c r="AO93" s="75"/>
      <c r="AP93" s="75"/>
      <c r="AQ93" s="75"/>
      <c r="AR93" s="75"/>
      <c r="AS93" s="75"/>
      <c r="AT93" s="75"/>
      <c r="AU93" s="75"/>
      <c r="AV93" s="75"/>
      <c r="AW93" s="75"/>
      <c r="AX93" s="75"/>
      <c r="AY93" s="75"/>
      <c r="AZ93" s="75"/>
      <c r="BA93" s="75"/>
      <c r="BB93" s="75"/>
      <c r="BC93" s="75"/>
      <c r="BD93" s="75"/>
      <c r="BE93" s="75"/>
      <c r="BF93" s="75"/>
      <c r="BG93" s="75"/>
      <c r="BH93" s="75"/>
      <c r="BI93" s="75"/>
      <c r="BJ93" s="75"/>
      <c r="BK93" s="75"/>
      <c r="BL93" s="75"/>
      <c r="BM93" s="75"/>
      <c r="BN93" s="75"/>
      <c r="BO93" s="75"/>
      <c r="BP93" s="75"/>
      <c r="BQ93" s="75"/>
      <c r="BR93" s="75"/>
      <c r="BS93" s="75"/>
      <c r="BT93" s="75"/>
      <c r="BU93" s="75"/>
      <c r="BV93" s="75"/>
      <c r="BW93" s="75"/>
      <c r="BX93" s="75"/>
      <c r="BY93" s="75"/>
      <c r="BZ93" s="75"/>
      <c r="CA93" s="75"/>
      <c r="CB93" s="75"/>
      <c r="CC93" s="75"/>
      <c r="CD93" s="75"/>
      <c r="CE93" s="75"/>
      <c r="CF93" s="75"/>
      <c r="CG93" s="75"/>
      <c r="CH93" s="75"/>
      <c r="CI93" s="75"/>
      <c r="CJ93" s="75"/>
      <c r="CK93" s="75"/>
      <c r="CL93" s="75"/>
      <c r="CM93" s="75"/>
      <c r="CN93" s="75"/>
      <c r="CO93" s="75"/>
      <c r="CP93" s="75"/>
      <c r="CQ93" s="75"/>
      <c r="CR93" s="75"/>
      <c r="CS93" s="75"/>
      <c r="CT93" s="75"/>
      <c r="CU93" s="75"/>
      <c r="CV93" s="75"/>
      <c r="CW93" s="75"/>
      <c r="CX93" s="75"/>
      <c r="CY93" s="75"/>
      <c r="CZ93" s="75"/>
      <c r="DA93" s="75"/>
      <c r="DB93" s="75"/>
      <c r="DC93" s="75"/>
      <c r="DD93" s="75"/>
    </row>
    <row r="94" spans="1:108">
      <c r="A94" s="75" t="s">
        <v>117</v>
      </c>
      <c r="B94" s="75" t="s">
        <v>94</v>
      </c>
      <c r="C94" s="75" t="s">
        <v>85</v>
      </c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8"/>
      <c r="Q94" s="78"/>
      <c r="R94" s="78"/>
      <c r="S94" s="88"/>
      <c r="T94" s="78"/>
      <c r="U94" s="75"/>
      <c r="V94" s="78">
        <v>29201</v>
      </c>
      <c r="W94" s="78">
        <v>19467</v>
      </c>
      <c r="X94" s="75"/>
      <c r="Y94" s="75"/>
      <c r="Z94" s="75"/>
      <c r="AA94" s="75"/>
      <c r="AB94" s="75"/>
      <c r="AC94" s="75"/>
      <c r="AD94" s="75"/>
      <c r="AE94" s="75"/>
      <c r="AF94" s="75"/>
      <c r="AG94" s="75"/>
      <c r="AH94" s="75"/>
      <c r="AI94" s="75"/>
      <c r="AJ94" s="75"/>
      <c r="AK94" s="75"/>
      <c r="AL94" s="75"/>
      <c r="AM94" s="75"/>
      <c r="AN94" s="75"/>
      <c r="AO94" s="75"/>
      <c r="AP94" s="75"/>
      <c r="AQ94" s="75"/>
      <c r="AR94" s="75"/>
      <c r="AS94" s="75"/>
      <c r="AT94" s="75"/>
      <c r="AU94" s="75"/>
      <c r="AV94" s="75"/>
      <c r="AW94" s="75"/>
      <c r="AX94" s="75"/>
      <c r="AY94" s="75"/>
      <c r="AZ94" s="75"/>
      <c r="BA94" s="75"/>
      <c r="BB94" s="75"/>
      <c r="BC94" s="75"/>
      <c r="BD94" s="75"/>
      <c r="BE94" s="75"/>
      <c r="BF94" s="75"/>
      <c r="BG94" s="75"/>
      <c r="BH94" s="75"/>
      <c r="BI94" s="75"/>
      <c r="BJ94" s="75"/>
      <c r="BK94" s="75"/>
      <c r="BL94" s="75"/>
      <c r="BM94" s="75"/>
      <c r="BN94" s="75"/>
      <c r="BO94" s="75"/>
      <c r="BP94" s="75"/>
      <c r="BQ94" s="75"/>
      <c r="BR94" s="75"/>
      <c r="BS94" s="75"/>
      <c r="BT94" s="75"/>
      <c r="BU94" s="75"/>
      <c r="BV94" s="75"/>
      <c r="BW94" s="75"/>
      <c r="BX94" s="75"/>
      <c r="BY94" s="75"/>
      <c r="BZ94" s="75"/>
      <c r="CA94" s="75"/>
      <c r="CB94" s="75"/>
      <c r="CC94" s="75"/>
      <c r="CD94" s="75"/>
      <c r="CE94" s="75"/>
      <c r="CF94" s="75"/>
      <c r="CG94" s="75"/>
      <c r="CH94" s="75"/>
      <c r="CI94" s="75"/>
      <c r="CJ94" s="75"/>
      <c r="CK94" s="75"/>
      <c r="CL94" s="75"/>
      <c r="CM94" s="75"/>
      <c r="CN94" s="75"/>
      <c r="CO94" s="75"/>
      <c r="CP94" s="75"/>
      <c r="CQ94" s="75"/>
      <c r="CR94" s="75"/>
      <c r="CS94" s="75"/>
      <c r="CT94" s="75"/>
      <c r="CU94" s="75"/>
      <c r="CV94" s="75"/>
      <c r="CW94" s="75"/>
      <c r="CX94" s="75"/>
      <c r="CY94" s="75"/>
      <c r="CZ94" s="75"/>
      <c r="DA94" s="75"/>
      <c r="DB94" s="75"/>
      <c r="DC94" s="75"/>
      <c r="DD94" s="75"/>
    </row>
    <row r="95" spans="1:108">
      <c r="A95" s="75" t="s">
        <v>117</v>
      </c>
      <c r="B95" s="75" t="s">
        <v>94</v>
      </c>
      <c r="C95" s="75" t="s">
        <v>85</v>
      </c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89"/>
      <c r="T95" s="75"/>
      <c r="U95" s="75"/>
      <c r="V95" s="78">
        <v>4705</v>
      </c>
      <c r="W95" s="78">
        <v>3136</v>
      </c>
      <c r="X95" s="75"/>
      <c r="Y95" s="75"/>
      <c r="Z95" s="75"/>
      <c r="AA95" s="75"/>
      <c r="AB95" s="75"/>
      <c r="AC95" s="75"/>
      <c r="AD95" s="75"/>
      <c r="AE95" s="75"/>
      <c r="AF95" s="75"/>
      <c r="AG95" s="75"/>
      <c r="AH95" s="75"/>
      <c r="AI95" s="75"/>
      <c r="AJ95" s="75"/>
      <c r="AK95" s="75"/>
      <c r="AL95" s="75"/>
      <c r="AM95" s="75"/>
      <c r="AN95" s="75"/>
      <c r="AO95" s="75"/>
      <c r="AP95" s="75"/>
      <c r="AQ95" s="75"/>
      <c r="AR95" s="75"/>
      <c r="AS95" s="75"/>
      <c r="AT95" s="75"/>
      <c r="AU95" s="75"/>
      <c r="AV95" s="75"/>
      <c r="AW95" s="75"/>
      <c r="AX95" s="75"/>
      <c r="AY95" s="75"/>
      <c r="AZ95" s="75"/>
      <c r="BA95" s="75"/>
      <c r="BB95" s="75"/>
      <c r="BC95" s="75"/>
      <c r="BD95" s="75"/>
      <c r="BE95" s="75"/>
      <c r="BF95" s="75"/>
      <c r="BG95" s="75"/>
      <c r="BH95" s="75"/>
      <c r="BI95" s="75"/>
      <c r="BJ95" s="75"/>
      <c r="BK95" s="75"/>
      <c r="BL95" s="75"/>
      <c r="BM95" s="75"/>
      <c r="BN95" s="75"/>
      <c r="BO95" s="75"/>
      <c r="BP95" s="75"/>
      <c r="BQ95" s="75"/>
      <c r="BR95" s="75"/>
      <c r="BS95" s="75"/>
      <c r="BT95" s="75"/>
      <c r="BU95" s="75"/>
      <c r="BV95" s="75"/>
      <c r="BW95" s="75"/>
      <c r="BX95" s="75"/>
      <c r="BY95" s="75"/>
      <c r="BZ95" s="75"/>
      <c r="CA95" s="75"/>
      <c r="CB95" s="75"/>
      <c r="CC95" s="75"/>
      <c r="CD95" s="75"/>
      <c r="CE95" s="75"/>
      <c r="CF95" s="75"/>
      <c r="CG95" s="75"/>
      <c r="CH95" s="75"/>
      <c r="CI95" s="75"/>
      <c r="CJ95" s="75"/>
      <c r="CK95" s="75"/>
      <c r="CL95" s="75"/>
      <c r="CM95" s="75"/>
      <c r="CN95" s="75"/>
      <c r="CO95" s="75"/>
      <c r="CP95" s="75"/>
      <c r="CQ95" s="75"/>
      <c r="CR95" s="75"/>
      <c r="CS95" s="75"/>
      <c r="CT95" s="75"/>
      <c r="CU95" s="75"/>
      <c r="CV95" s="75"/>
      <c r="CW95" s="75"/>
      <c r="CX95" s="75"/>
      <c r="CY95" s="75"/>
      <c r="CZ95" s="75"/>
      <c r="DA95" s="75"/>
      <c r="DB95" s="75"/>
      <c r="DC95" s="75"/>
      <c r="DD95" s="75"/>
    </row>
    <row r="96" spans="1:108">
      <c r="A96" s="75" t="s">
        <v>117</v>
      </c>
      <c r="B96" s="75" t="s">
        <v>94</v>
      </c>
      <c r="C96" s="75" t="s">
        <v>85</v>
      </c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89"/>
      <c r="T96" s="75"/>
      <c r="U96" s="75"/>
      <c r="V96" s="75">
        <v>689</v>
      </c>
      <c r="W96" s="75">
        <v>459</v>
      </c>
      <c r="X96" s="75"/>
      <c r="Y96" s="75"/>
      <c r="Z96" s="75"/>
      <c r="AA96" s="75"/>
      <c r="AB96" s="75"/>
      <c r="AC96" s="75"/>
      <c r="AD96" s="75"/>
      <c r="AE96" s="75"/>
      <c r="AF96" s="75"/>
      <c r="AG96" s="75"/>
      <c r="AH96" s="75"/>
      <c r="AI96" s="75"/>
      <c r="AJ96" s="75"/>
      <c r="AK96" s="75"/>
      <c r="AL96" s="75"/>
      <c r="AM96" s="75"/>
      <c r="AN96" s="75"/>
      <c r="AO96" s="75"/>
      <c r="AP96" s="75"/>
      <c r="AQ96" s="75"/>
      <c r="AR96" s="75"/>
      <c r="AS96" s="75"/>
      <c r="AT96" s="75"/>
      <c r="AU96" s="75"/>
      <c r="AV96" s="75"/>
      <c r="AW96" s="75"/>
      <c r="AX96" s="75"/>
      <c r="AY96" s="75"/>
      <c r="AZ96" s="75"/>
      <c r="BA96" s="75"/>
      <c r="BB96" s="75"/>
      <c r="BC96" s="75"/>
      <c r="BD96" s="75"/>
      <c r="BE96" s="75"/>
      <c r="BF96" s="75"/>
      <c r="BG96" s="75"/>
      <c r="BH96" s="75"/>
      <c r="BI96" s="75"/>
      <c r="BJ96" s="75"/>
      <c r="BK96" s="75"/>
      <c r="BL96" s="75"/>
      <c r="BM96" s="75"/>
      <c r="BN96" s="75"/>
      <c r="BO96" s="75"/>
      <c r="BP96" s="75"/>
      <c r="BQ96" s="75"/>
      <c r="BR96" s="75"/>
      <c r="BS96" s="75"/>
      <c r="BT96" s="75"/>
      <c r="BU96" s="75"/>
      <c r="BV96" s="75"/>
      <c r="BW96" s="75"/>
      <c r="BX96" s="75"/>
      <c r="BY96" s="75"/>
      <c r="BZ96" s="75"/>
      <c r="CA96" s="75"/>
      <c r="CB96" s="75"/>
      <c r="CC96" s="75"/>
      <c r="CD96" s="75"/>
      <c r="CE96" s="75"/>
      <c r="CF96" s="75"/>
      <c r="CG96" s="75"/>
      <c r="CH96" s="75"/>
      <c r="CI96" s="75"/>
      <c r="CJ96" s="75"/>
      <c r="CK96" s="75"/>
      <c r="CL96" s="75"/>
      <c r="CM96" s="75"/>
      <c r="CN96" s="75"/>
      <c r="CO96" s="75"/>
      <c r="CP96" s="75"/>
      <c r="CQ96" s="75"/>
      <c r="CR96" s="75"/>
      <c r="CS96" s="75"/>
      <c r="CT96" s="75"/>
      <c r="CU96" s="75"/>
      <c r="CV96" s="75"/>
      <c r="CW96" s="75"/>
      <c r="CX96" s="75"/>
      <c r="CY96" s="75"/>
      <c r="CZ96" s="75"/>
      <c r="DA96" s="75"/>
      <c r="DB96" s="75"/>
      <c r="DC96" s="75"/>
      <c r="DD96" s="75"/>
    </row>
    <row r="97" spans="1:108">
      <c r="A97" s="75" t="s">
        <v>116</v>
      </c>
      <c r="B97" s="75" t="s">
        <v>92</v>
      </c>
      <c r="C97" s="75" t="s">
        <v>85</v>
      </c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89"/>
      <c r="T97" s="75"/>
      <c r="U97" s="75"/>
      <c r="V97" s="78">
        <v>67859</v>
      </c>
      <c r="W97" s="78">
        <v>67859</v>
      </c>
      <c r="X97" s="75"/>
      <c r="Y97" s="75"/>
      <c r="Z97" s="75"/>
      <c r="AA97" s="75"/>
      <c r="AB97" s="75"/>
      <c r="AC97" s="75"/>
      <c r="AD97" s="75"/>
      <c r="AE97" s="75"/>
      <c r="AF97" s="75"/>
      <c r="AG97" s="75"/>
      <c r="AH97" s="75"/>
      <c r="AI97" s="75"/>
      <c r="AJ97" s="75"/>
      <c r="AK97" s="75"/>
      <c r="AL97" s="75"/>
      <c r="AM97" s="75"/>
      <c r="AN97" s="75"/>
      <c r="AO97" s="75"/>
      <c r="AP97" s="75"/>
      <c r="AQ97" s="75"/>
      <c r="AR97" s="75"/>
      <c r="AS97" s="75"/>
      <c r="AT97" s="75"/>
      <c r="AU97" s="75"/>
      <c r="AV97" s="75"/>
      <c r="AW97" s="75"/>
      <c r="AX97" s="75"/>
      <c r="AY97" s="75"/>
      <c r="AZ97" s="75"/>
      <c r="BA97" s="75"/>
      <c r="BB97" s="75"/>
      <c r="BC97" s="75"/>
      <c r="BD97" s="75"/>
      <c r="BE97" s="75"/>
      <c r="BF97" s="75"/>
      <c r="BG97" s="75"/>
      <c r="BH97" s="75"/>
      <c r="BI97" s="75"/>
      <c r="BJ97" s="75"/>
      <c r="BK97" s="75"/>
      <c r="BL97" s="75"/>
      <c r="BM97" s="75"/>
      <c r="BN97" s="75"/>
      <c r="BO97" s="75"/>
      <c r="BP97" s="75"/>
      <c r="BQ97" s="75"/>
      <c r="BR97" s="75"/>
      <c r="BS97" s="75"/>
      <c r="BT97" s="75"/>
      <c r="BU97" s="75"/>
      <c r="BV97" s="75"/>
      <c r="BW97" s="75"/>
      <c r="BX97" s="75"/>
      <c r="BY97" s="75"/>
      <c r="BZ97" s="75"/>
      <c r="CA97" s="75"/>
      <c r="CB97" s="75"/>
      <c r="CC97" s="75"/>
      <c r="CD97" s="75"/>
      <c r="CE97" s="75"/>
      <c r="CF97" s="75"/>
      <c r="CG97" s="75"/>
      <c r="CH97" s="75"/>
      <c r="CI97" s="75"/>
      <c r="CJ97" s="75"/>
      <c r="CK97" s="75"/>
      <c r="CL97" s="75"/>
      <c r="CM97" s="75"/>
      <c r="CN97" s="75"/>
      <c r="CO97" s="75"/>
      <c r="CP97" s="75"/>
      <c r="CQ97" s="75"/>
      <c r="CR97" s="75"/>
      <c r="CS97" s="75"/>
      <c r="CT97" s="75"/>
      <c r="CU97" s="75"/>
      <c r="CV97" s="75"/>
      <c r="CW97" s="75"/>
      <c r="CX97" s="75"/>
      <c r="CY97" s="75"/>
      <c r="CZ97" s="75"/>
      <c r="DA97" s="75"/>
      <c r="DB97" s="75"/>
      <c r="DC97" s="75"/>
      <c r="DD97" s="75"/>
    </row>
    <row r="98" spans="1:108">
      <c r="A98" s="75" t="s">
        <v>116</v>
      </c>
      <c r="B98" s="75" t="s">
        <v>92</v>
      </c>
      <c r="C98" s="75" t="s">
        <v>85</v>
      </c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89"/>
      <c r="T98" s="75"/>
      <c r="U98" s="75"/>
      <c r="V98" s="78">
        <v>6415</v>
      </c>
      <c r="W98" s="78">
        <v>6415</v>
      </c>
      <c r="X98" s="75"/>
      <c r="Y98" s="75"/>
      <c r="Z98" s="75"/>
      <c r="AA98" s="75"/>
      <c r="AB98" s="75"/>
      <c r="AC98" s="75"/>
      <c r="AD98" s="75"/>
      <c r="AE98" s="75"/>
      <c r="AF98" s="75"/>
      <c r="AG98" s="75"/>
      <c r="AH98" s="75"/>
      <c r="AI98" s="75"/>
      <c r="AJ98" s="75"/>
      <c r="AK98" s="75"/>
      <c r="AL98" s="75"/>
      <c r="AM98" s="75"/>
      <c r="AN98" s="75"/>
      <c r="AO98" s="75"/>
      <c r="AP98" s="75"/>
      <c r="AQ98" s="75"/>
      <c r="AR98" s="75"/>
      <c r="AS98" s="75"/>
      <c r="AT98" s="75"/>
      <c r="AU98" s="75"/>
      <c r="AV98" s="75"/>
      <c r="AW98" s="75"/>
      <c r="AX98" s="75"/>
      <c r="AY98" s="75"/>
      <c r="AZ98" s="75"/>
      <c r="BA98" s="75"/>
      <c r="BB98" s="75"/>
      <c r="BC98" s="75"/>
      <c r="BD98" s="75"/>
      <c r="BE98" s="75"/>
      <c r="BF98" s="75"/>
      <c r="BG98" s="75"/>
      <c r="BH98" s="75"/>
      <c r="BI98" s="75"/>
      <c r="BJ98" s="75"/>
      <c r="BK98" s="75"/>
      <c r="BL98" s="75"/>
      <c r="BM98" s="75"/>
      <c r="BN98" s="75"/>
      <c r="BO98" s="75"/>
      <c r="BP98" s="75"/>
      <c r="BQ98" s="75"/>
      <c r="BR98" s="75"/>
      <c r="BS98" s="75"/>
      <c r="BT98" s="75"/>
      <c r="BU98" s="75"/>
      <c r="BV98" s="75"/>
      <c r="BW98" s="75"/>
      <c r="BX98" s="75"/>
      <c r="BY98" s="75"/>
      <c r="BZ98" s="75"/>
      <c r="CA98" s="75"/>
      <c r="CB98" s="75"/>
      <c r="CC98" s="75"/>
      <c r="CD98" s="75"/>
      <c r="CE98" s="75"/>
      <c r="CF98" s="75"/>
      <c r="CG98" s="75"/>
      <c r="CH98" s="75"/>
      <c r="CI98" s="75"/>
      <c r="CJ98" s="75"/>
      <c r="CK98" s="75"/>
      <c r="CL98" s="75"/>
      <c r="CM98" s="75"/>
      <c r="CN98" s="75"/>
      <c r="CO98" s="75"/>
      <c r="CP98" s="75"/>
      <c r="CQ98" s="75"/>
      <c r="CR98" s="75"/>
      <c r="CS98" s="75"/>
      <c r="CT98" s="75"/>
      <c r="CU98" s="75"/>
      <c r="CV98" s="75"/>
      <c r="CW98" s="75"/>
      <c r="CX98" s="75"/>
      <c r="CY98" s="75"/>
      <c r="CZ98" s="75"/>
      <c r="DA98" s="75"/>
      <c r="DB98" s="75"/>
      <c r="DC98" s="75"/>
      <c r="DD98" s="75"/>
    </row>
    <row r="99" spans="1:108">
      <c r="A99" s="75" t="s">
        <v>116</v>
      </c>
      <c r="B99" s="75" t="s">
        <v>92</v>
      </c>
      <c r="C99" s="75" t="s">
        <v>85</v>
      </c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89"/>
      <c r="T99" s="75"/>
      <c r="U99" s="75"/>
      <c r="V99" s="78">
        <v>5685</v>
      </c>
      <c r="W99" s="78">
        <v>5684</v>
      </c>
      <c r="X99" s="75"/>
      <c r="Y99" s="75"/>
      <c r="Z99" s="75"/>
      <c r="AA99" s="75"/>
      <c r="AB99" s="75"/>
      <c r="AC99" s="75"/>
      <c r="AD99" s="75"/>
      <c r="AE99" s="75"/>
      <c r="AF99" s="75"/>
      <c r="AG99" s="75"/>
      <c r="AH99" s="75"/>
      <c r="AI99" s="75"/>
      <c r="AJ99" s="75"/>
      <c r="AK99" s="75"/>
      <c r="AL99" s="75"/>
      <c r="AM99" s="75"/>
      <c r="AN99" s="75"/>
      <c r="AO99" s="75"/>
      <c r="AP99" s="75"/>
      <c r="AQ99" s="75"/>
      <c r="AR99" s="75"/>
      <c r="AS99" s="75"/>
      <c r="AT99" s="75"/>
      <c r="AU99" s="75"/>
      <c r="AV99" s="75"/>
      <c r="AW99" s="75"/>
      <c r="AX99" s="75"/>
      <c r="AY99" s="75"/>
      <c r="AZ99" s="75"/>
      <c r="BA99" s="75"/>
      <c r="BB99" s="75"/>
      <c r="BC99" s="75"/>
      <c r="BD99" s="75"/>
      <c r="BE99" s="75"/>
      <c r="BF99" s="75"/>
      <c r="BG99" s="75"/>
      <c r="BH99" s="75"/>
      <c r="BI99" s="75"/>
      <c r="BJ99" s="75"/>
      <c r="BK99" s="75"/>
      <c r="BL99" s="75"/>
      <c r="BM99" s="75"/>
      <c r="BN99" s="75"/>
      <c r="BO99" s="75"/>
      <c r="BP99" s="75"/>
      <c r="BQ99" s="75"/>
      <c r="BR99" s="75"/>
      <c r="BS99" s="75"/>
      <c r="BT99" s="75"/>
      <c r="BU99" s="75"/>
      <c r="BV99" s="75"/>
      <c r="BW99" s="75"/>
      <c r="BX99" s="75"/>
      <c r="BY99" s="75"/>
      <c r="BZ99" s="75"/>
      <c r="CA99" s="75"/>
      <c r="CB99" s="75"/>
      <c r="CC99" s="75"/>
      <c r="CD99" s="75"/>
      <c r="CE99" s="75"/>
      <c r="CF99" s="75"/>
      <c r="CG99" s="75"/>
      <c r="CH99" s="75"/>
      <c r="CI99" s="75"/>
      <c r="CJ99" s="75"/>
      <c r="CK99" s="75"/>
      <c r="CL99" s="75"/>
      <c r="CM99" s="75"/>
      <c r="CN99" s="75"/>
      <c r="CO99" s="75"/>
      <c r="CP99" s="75"/>
      <c r="CQ99" s="75"/>
      <c r="CR99" s="75"/>
      <c r="CS99" s="75"/>
      <c r="CT99" s="75"/>
      <c r="CU99" s="75"/>
      <c r="CV99" s="75"/>
      <c r="CW99" s="75"/>
      <c r="CX99" s="75"/>
      <c r="CY99" s="75"/>
      <c r="CZ99" s="75"/>
      <c r="DA99" s="75"/>
      <c r="DB99" s="75"/>
      <c r="DC99" s="75"/>
      <c r="DD99" s="75"/>
    </row>
    <row r="100" spans="1:108">
      <c r="A100" s="75" t="s">
        <v>167</v>
      </c>
      <c r="B100" s="75" t="s">
        <v>90</v>
      </c>
      <c r="C100" s="75" t="s">
        <v>85</v>
      </c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89"/>
      <c r="T100" s="75"/>
      <c r="U100" s="75"/>
      <c r="V100" s="78">
        <v>23562</v>
      </c>
      <c r="W100" s="78">
        <v>141372</v>
      </c>
      <c r="X100" s="78">
        <v>23562</v>
      </c>
      <c r="Y100" s="75"/>
      <c r="Z100" s="75"/>
      <c r="AA100" s="75"/>
      <c r="AB100" s="75"/>
      <c r="AC100" s="75"/>
      <c r="AD100" s="75"/>
      <c r="AE100" s="75"/>
      <c r="AF100" s="75"/>
      <c r="AG100" s="75"/>
      <c r="AH100" s="75"/>
      <c r="AI100" s="75"/>
      <c r="AJ100" s="75"/>
      <c r="AK100" s="75"/>
      <c r="AL100" s="75"/>
      <c r="AM100" s="75"/>
      <c r="AN100" s="75"/>
      <c r="AO100" s="75"/>
      <c r="AP100" s="75"/>
      <c r="AQ100" s="75"/>
      <c r="AR100" s="75"/>
      <c r="AS100" s="75"/>
      <c r="AT100" s="75"/>
      <c r="AU100" s="75"/>
      <c r="AV100" s="75"/>
      <c r="AW100" s="75"/>
      <c r="AX100" s="75"/>
      <c r="AY100" s="75"/>
      <c r="AZ100" s="75"/>
      <c r="BA100" s="75"/>
      <c r="BB100" s="75"/>
      <c r="BC100" s="75"/>
      <c r="BD100" s="75"/>
      <c r="BE100" s="75"/>
      <c r="BF100" s="75"/>
      <c r="BG100" s="75"/>
      <c r="BH100" s="75"/>
      <c r="BI100" s="75"/>
      <c r="BJ100" s="75"/>
      <c r="BK100" s="75"/>
      <c r="BL100" s="75"/>
      <c r="BM100" s="75"/>
      <c r="BN100" s="75"/>
      <c r="BO100" s="75"/>
      <c r="BP100" s="75"/>
      <c r="BQ100" s="75"/>
      <c r="BR100" s="75"/>
      <c r="BS100" s="75"/>
      <c r="BT100" s="75"/>
      <c r="BU100" s="75"/>
      <c r="BV100" s="75"/>
      <c r="BW100" s="75"/>
      <c r="BX100" s="75"/>
      <c r="BY100" s="75"/>
      <c r="BZ100" s="75"/>
      <c r="CA100" s="75"/>
      <c r="CB100" s="75"/>
      <c r="CC100" s="75"/>
      <c r="CD100" s="75"/>
      <c r="CE100" s="75"/>
      <c r="CF100" s="75"/>
      <c r="CG100" s="75"/>
      <c r="CH100" s="75"/>
      <c r="CI100" s="75"/>
      <c r="CJ100" s="75"/>
      <c r="CK100" s="75"/>
      <c r="CL100" s="75"/>
      <c r="CM100" s="75"/>
      <c r="CN100" s="75"/>
      <c r="CO100" s="75"/>
      <c r="CP100" s="75"/>
      <c r="CQ100" s="75"/>
      <c r="CR100" s="75"/>
      <c r="CS100" s="75"/>
      <c r="CT100" s="75"/>
      <c r="CU100" s="75"/>
      <c r="CV100" s="75"/>
      <c r="CW100" s="75"/>
      <c r="CX100" s="75"/>
      <c r="CY100" s="75"/>
      <c r="CZ100" s="75"/>
      <c r="DA100" s="75"/>
      <c r="DB100" s="75"/>
      <c r="DC100" s="75"/>
      <c r="DD100" s="75"/>
    </row>
    <row r="101" spans="1:108">
      <c r="A101" s="75" t="s">
        <v>167</v>
      </c>
      <c r="B101" s="75" t="s">
        <v>90</v>
      </c>
      <c r="C101" s="75" t="s">
        <v>85</v>
      </c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89"/>
      <c r="T101" s="75"/>
      <c r="U101" s="75"/>
      <c r="V101" s="78">
        <v>1485</v>
      </c>
      <c r="W101" s="78">
        <v>8910</v>
      </c>
      <c r="X101" s="78">
        <v>1485</v>
      </c>
      <c r="Y101" s="75"/>
      <c r="Z101" s="75"/>
      <c r="AA101" s="75"/>
      <c r="AB101" s="75"/>
      <c r="AC101" s="75"/>
      <c r="AD101" s="75"/>
      <c r="AE101" s="75"/>
      <c r="AF101" s="75"/>
      <c r="AG101" s="75"/>
      <c r="AH101" s="75"/>
      <c r="AI101" s="75"/>
      <c r="AJ101" s="75"/>
      <c r="AK101" s="75"/>
      <c r="AL101" s="75"/>
      <c r="AM101" s="75"/>
      <c r="AN101" s="75"/>
      <c r="AO101" s="75"/>
      <c r="AP101" s="75"/>
      <c r="AQ101" s="75"/>
      <c r="AR101" s="75"/>
      <c r="AS101" s="75"/>
      <c r="AT101" s="75"/>
      <c r="AU101" s="75"/>
      <c r="AV101" s="75"/>
      <c r="AW101" s="75"/>
      <c r="AX101" s="75"/>
      <c r="AY101" s="75"/>
      <c r="AZ101" s="75"/>
      <c r="BA101" s="75"/>
      <c r="BB101" s="75"/>
      <c r="BC101" s="75"/>
      <c r="BD101" s="75"/>
      <c r="BE101" s="75"/>
      <c r="BF101" s="75"/>
      <c r="BG101" s="75"/>
      <c r="BH101" s="75"/>
      <c r="BI101" s="75"/>
      <c r="BJ101" s="75"/>
      <c r="BK101" s="75"/>
      <c r="BL101" s="75"/>
      <c r="BM101" s="75"/>
      <c r="BN101" s="75"/>
      <c r="BO101" s="75"/>
      <c r="BP101" s="75"/>
      <c r="BQ101" s="75"/>
      <c r="BR101" s="75"/>
      <c r="BS101" s="75"/>
      <c r="BT101" s="75"/>
      <c r="BU101" s="75"/>
      <c r="BV101" s="75"/>
      <c r="BW101" s="75"/>
      <c r="BX101" s="75"/>
      <c r="BY101" s="75"/>
      <c r="BZ101" s="75"/>
      <c r="CA101" s="75"/>
      <c r="CB101" s="75"/>
      <c r="CC101" s="75"/>
      <c r="CD101" s="75"/>
      <c r="CE101" s="75"/>
      <c r="CF101" s="75"/>
      <c r="CG101" s="75"/>
      <c r="CH101" s="75"/>
      <c r="CI101" s="75"/>
      <c r="CJ101" s="75"/>
      <c r="CK101" s="75"/>
      <c r="CL101" s="75"/>
      <c r="CM101" s="75"/>
      <c r="CN101" s="75"/>
      <c r="CO101" s="75"/>
      <c r="CP101" s="75"/>
      <c r="CQ101" s="75"/>
      <c r="CR101" s="75"/>
      <c r="CS101" s="75"/>
      <c r="CT101" s="75"/>
      <c r="CU101" s="75"/>
      <c r="CV101" s="75"/>
      <c r="CW101" s="75"/>
      <c r="CX101" s="75"/>
      <c r="CY101" s="75"/>
      <c r="CZ101" s="75"/>
      <c r="DA101" s="75"/>
      <c r="DB101" s="75"/>
      <c r="DC101" s="75"/>
      <c r="DD101" s="75"/>
    </row>
    <row r="102" spans="1:108">
      <c r="A102" s="75" t="s">
        <v>167</v>
      </c>
      <c r="B102" s="75" t="s">
        <v>90</v>
      </c>
      <c r="C102" s="75" t="s">
        <v>85</v>
      </c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89"/>
      <c r="T102" s="75"/>
      <c r="U102" s="75"/>
      <c r="V102" s="78">
        <v>1436</v>
      </c>
      <c r="W102" s="78">
        <v>8613</v>
      </c>
      <c r="X102" s="78">
        <v>1436</v>
      </c>
      <c r="Y102" s="75"/>
      <c r="Z102" s="75"/>
      <c r="AA102" s="75"/>
      <c r="AB102" s="75"/>
      <c r="AC102" s="75"/>
      <c r="AD102" s="75"/>
      <c r="AE102" s="75"/>
      <c r="AF102" s="75"/>
      <c r="AG102" s="75"/>
      <c r="AH102" s="75"/>
      <c r="AI102" s="75"/>
      <c r="AJ102" s="75"/>
      <c r="AK102" s="75"/>
      <c r="AL102" s="75"/>
      <c r="AM102" s="75"/>
      <c r="AN102" s="75"/>
      <c r="AO102" s="75"/>
      <c r="AP102" s="75"/>
      <c r="AQ102" s="75"/>
      <c r="AR102" s="75"/>
      <c r="AS102" s="75"/>
      <c r="AT102" s="75"/>
      <c r="AU102" s="75"/>
      <c r="AV102" s="75"/>
      <c r="AW102" s="75"/>
      <c r="AX102" s="75"/>
      <c r="AY102" s="75"/>
      <c r="AZ102" s="75"/>
      <c r="BA102" s="75"/>
      <c r="BB102" s="75"/>
      <c r="BC102" s="75"/>
      <c r="BD102" s="75"/>
      <c r="BE102" s="75"/>
      <c r="BF102" s="75"/>
      <c r="BG102" s="75"/>
      <c r="BH102" s="75"/>
      <c r="BI102" s="75"/>
      <c r="BJ102" s="75"/>
      <c r="BK102" s="75"/>
      <c r="BL102" s="75"/>
      <c r="BM102" s="75"/>
      <c r="BN102" s="75"/>
      <c r="BO102" s="75"/>
      <c r="BP102" s="75"/>
      <c r="BQ102" s="75"/>
      <c r="BR102" s="75"/>
      <c r="BS102" s="75"/>
      <c r="BT102" s="75"/>
      <c r="BU102" s="75"/>
      <c r="BV102" s="75"/>
      <c r="BW102" s="75"/>
      <c r="BX102" s="75"/>
      <c r="BY102" s="75"/>
      <c r="BZ102" s="75"/>
      <c r="CA102" s="75"/>
      <c r="CB102" s="75"/>
      <c r="CC102" s="75"/>
      <c r="CD102" s="75"/>
      <c r="CE102" s="75"/>
      <c r="CF102" s="75"/>
      <c r="CG102" s="75"/>
      <c r="CH102" s="75"/>
      <c r="CI102" s="75"/>
      <c r="CJ102" s="75"/>
      <c r="CK102" s="75"/>
      <c r="CL102" s="75"/>
      <c r="CM102" s="75"/>
      <c r="CN102" s="75"/>
      <c r="CO102" s="75"/>
      <c r="CP102" s="75"/>
      <c r="CQ102" s="75"/>
      <c r="CR102" s="75"/>
      <c r="CS102" s="75"/>
      <c r="CT102" s="75"/>
      <c r="CU102" s="75"/>
      <c r="CV102" s="75"/>
      <c r="CW102" s="75"/>
      <c r="CX102" s="75"/>
      <c r="CY102" s="75"/>
      <c r="CZ102" s="75"/>
      <c r="DA102" s="75"/>
      <c r="DB102" s="75"/>
      <c r="DC102" s="75"/>
      <c r="DD102" s="75"/>
    </row>
    <row r="103" spans="1:108">
      <c r="A103" s="75" t="s">
        <v>118</v>
      </c>
      <c r="B103" s="75" t="s">
        <v>139</v>
      </c>
      <c r="C103" s="75" t="s">
        <v>85</v>
      </c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89"/>
      <c r="T103" s="75"/>
      <c r="U103" s="75">
        <v>384</v>
      </c>
      <c r="V103" s="78">
        <v>1538</v>
      </c>
      <c r="W103" s="75"/>
      <c r="X103" s="75"/>
      <c r="Y103" s="75"/>
      <c r="Z103" s="75"/>
      <c r="AA103" s="75"/>
      <c r="AB103" s="75"/>
      <c r="AC103" s="75"/>
      <c r="AD103" s="75"/>
      <c r="AE103" s="75"/>
      <c r="AF103" s="75"/>
      <c r="AG103" s="75"/>
      <c r="AH103" s="75"/>
      <c r="AI103" s="75"/>
      <c r="AJ103" s="75"/>
      <c r="AK103" s="75"/>
      <c r="AL103" s="75"/>
      <c r="AM103" s="75"/>
      <c r="AN103" s="75"/>
      <c r="AO103" s="75"/>
      <c r="AP103" s="75"/>
      <c r="AQ103" s="75"/>
      <c r="AR103" s="75"/>
      <c r="AS103" s="75"/>
      <c r="AT103" s="75"/>
      <c r="AU103" s="75"/>
      <c r="AV103" s="75"/>
      <c r="AW103" s="75"/>
      <c r="AX103" s="75"/>
      <c r="AY103" s="75"/>
      <c r="AZ103" s="75"/>
      <c r="BA103" s="75"/>
      <c r="BB103" s="75"/>
      <c r="BC103" s="75"/>
      <c r="BD103" s="75"/>
      <c r="BE103" s="75"/>
      <c r="BF103" s="75"/>
      <c r="BG103" s="75"/>
      <c r="BH103" s="75"/>
      <c r="BI103" s="75"/>
      <c r="BJ103" s="75"/>
      <c r="BK103" s="75"/>
      <c r="BL103" s="75"/>
      <c r="BM103" s="75"/>
      <c r="BN103" s="75"/>
      <c r="BO103" s="75"/>
      <c r="BP103" s="75"/>
      <c r="BQ103" s="75"/>
      <c r="BR103" s="75"/>
      <c r="BS103" s="75"/>
      <c r="BT103" s="75"/>
      <c r="BU103" s="75"/>
      <c r="BV103" s="75"/>
      <c r="BW103" s="75"/>
      <c r="BX103" s="75"/>
      <c r="BY103" s="75"/>
      <c r="BZ103" s="75"/>
      <c r="CA103" s="75"/>
      <c r="CB103" s="75"/>
      <c r="CC103" s="75"/>
      <c r="CD103" s="75"/>
      <c r="CE103" s="75"/>
      <c r="CF103" s="75"/>
      <c r="CG103" s="75"/>
      <c r="CH103" s="75"/>
      <c r="CI103" s="75"/>
      <c r="CJ103" s="75"/>
      <c r="CK103" s="75"/>
      <c r="CL103" s="75"/>
      <c r="CM103" s="75"/>
      <c r="CN103" s="75"/>
      <c r="CO103" s="75"/>
      <c r="CP103" s="75"/>
      <c r="CQ103" s="75"/>
      <c r="CR103" s="75"/>
      <c r="CS103" s="75"/>
      <c r="CT103" s="75"/>
      <c r="CU103" s="75"/>
      <c r="CV103" s="75"/>
      <c r="CW103" s="75"/>
      <c r="CX103" s="75"/>
      <c r="CY103" s="75"/>
      <c r="CZ103" s="75"/>
      <c r="DA103" s="75"/>
      <c r="DB103" s="75"/>
      <c r="DC103" s="75"/>
      <c r="DD103" s="75"/>
    </row>
    <row r="104" spans="1:108">
      <c r="A104" s="75" t="s">
        <v>140</v>
      </c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89"/>
      <c r="T104" s="75"/>
      <c r="U104" s="75"/>
      <c r="V104" s="75"/>
      <c r="W104" s="75"/>
      <c r="X104" s="78">
        <v>62681</v>
      </c>
      <c r="Y104" s="78">
        <v>102517</v>
      </c>
      <c r="Z104" s="78">
        <v>62735</v>
      </c>
      <c r="AA104" s="75"/>
      <c r="AB104" s="75"/>
      <c r="AC104" s="75"/>
      <c r="AD104" s="75"/>
      <c r="AE104" s="75"/>
      <c r="AF104" s="75"/>
      <c r="AG104" s="75"/>
      <c r="AH104" s="75"/>
      <c r="AI104" s="75"/>
      <c r="AJ104" s="75"/>
      <c r="AK104" s="75"/>
      <c r="AL104" s="75"/>
      <c r="AM104" s="75"/>
      <c r="AN104" s="75"/>
      <c r="AO104" s="75"/>
      <c r="AP104" s="75"/>
      <c r="AQ104" s="75"/>
      <c r="AR104" s="75"/>
      <c r="AS104" s="75"/>
      <c r="AT104" s="75"/>
      <c r="AU104" s="75"/>
      <c r="AV104" s="75"/>
      <c r="AW104" s="75"/>
      <c r="AX104" s="75"/>
      <c r="AY104" s="75"/>
      <c r="AZ104" s="75"/>
      <c r="BA104" s="75"/>
      <c r="BB104" s="75"/>
      <c r="BC104" s="75"/>
      <c r="BD104" s="75"/>
      <c r="BE104" s="75"/>
      <c r="BF104" s="75"/>
      <c r="BG104" s="75"/>
      <c r="BH104" s="75"/>
      <c r="BI104" s="75"/>
      <c r="BJ104" s="75"/>
      <c r="BK104" s="75"/>
      <c r="BL104" s="75"/>
      <c r="BM104" s="75"/>
      <c r="BN104" s="75"/>
      <c r="BO104" s="75"/>
      <c r="BP104" s="75"/>
      <c r="BQ104" s="75"/>
      <c r="BR104" s="75"/>
      <c r="BS104" s="75"/>
      <c r="BT104" s="75"/>
      <c r="BU104" s="75"/>
      <c r="BV104" s="75"/>
      <c r="BW104" s="75"/>
      <c r="BX104" s="75"/>
      <c r="BY104" s="75"/>
      <c r="BZ104" s="75"/>
      <c r="CA104" s="75"/>
      <c r="CB104" s="75"/>
      <c r="CC104" s="75"/>
      <c r="CD104" s="75"/>
      <c r="CE104" s="75"/>
      <c r="CF104" s="75"/>
      <c r="CG104" s="75"/>
      <c r="CH104" s="75"/>
      <c r="CI104" s="75"/>
      <c r="CJ104" s="75"/>
      <c r="CK104" s="75"/>
      <c r="CL104" s="75"/>
      <c r="CM104" s="75"/>
      <c r="CN104" s="75"/>
      <c r="CO104" s="75"/>
      <c r="CP104" s="75"/>
      <c r="CQ104" s="75"/>
      <c r="CR104" s="75"/>
      <c r="CS104" s="75"/>
      <c r="CT104" s="75"/>
      <c r="CU104" s="75"/>
      <c r="CV104" s="75"/>
      <c r="CW104" s="75"/>
      <c r="CX104" s="75"/>
      <c r="CY104" s="75"/>
      <c r="CZ104" s="75"/>
      <c r="DA104" s="75"/>
      <c r="DB104" s="75"/>
      <c r="DC104" s="75"/>
      <c r="DD104" s="75"/>
    </row>
    <row r="105" spans="1:108">
      <c r="A105" s="75" t="s">
        <v>168</v>
      </c>
      <c r="B105" s="75" t="s">
        <v>142</v>
      </c>
      <c r="C105" s="75" t="s">
        <v>85</v>
      </c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89"/>
      <c r="T105" s="75"/>
      <c r="U105" s="75"/>
      <c r="V105" s="75"/>
      <c r="W105" s="75"/>
      <c r="X105" s="75"/>
      <c r="Y105" s="78">
        <v>5644</v>
      </c>
      <c r="Z105" s="78">
        <v>5644</v>
      </c>
      <c r="AA105" s="75"/>
      <c r="AB105" s="75"/>
      <c r="AC105" s="75"/>
      <c r="AD105" s="75"/>
      <c r="AE105" s="75"/>
      <c r="AF105" s="75"/>
      <c r="AG105" s="75"/>
      <c r="AH105" s="75"/>
      <c r="AI105" s="75"/>
      <c r="AJ105" s="75"/>
      <c r="AK105" s="75"/>
      <c r="AL105" s="75"/>
      <c r="AM105" s="75"/>
      <c r="AN105" s="75"/>
      <c r="AO105" s="75"/>
      <c r="AP105" s="75"/>
      <c r="AQ105" s="75"/>
      <c r="AR105" s="75"/>
      <c r="AS105" s="75"/>
      <c r="AT105" s="75"/>
      <c r="AU105" s="75"/>
      <c r="AV105" s="75"/>
      <c r="AW105" s="75"/>
      <c r="AX105" s="75"/>
      <c r="AY105" s="75"/>
      <c r="AZ105" s="75"/>
      <c r="BA105" s="75"/>
      <c r="BB105" s="75"/>
      <c r="BC105" s="75"/>
      <c r="BD105" s="75"/>
      <c r="BE105" s="75"/>
      <c r="BF105" s="75"/>
      <c r="BG105" s="75"/>
      <c r="BH105" s="75"/>
      <c r="BI105" s="75"/>
      <c r="BJ105" s="75"/>
      <c r="BK105" s="75"/>
      <c r="BL105" s="75"/>
      <c r="BM105" s="75"/>
      <c r="BN105" s="75"/>
      <c r="BO105" s="75"/>
      <c r="BP105" s="75"/>
      <c r="BQ105" s="75"/>
      <c r="BR105" s="75"/>
      <c r="BS105" s="75"/>
      <c r="BT105" s="75"/>
      <c r="BU105" s="75"/>
      <c r="BV105" s="75"/>
      <c r="BW105" s="75"/>
      <c r="BX105" s="75"/>
      <c r="BY105" s="75"/>
      <c r="BZ105" s="75"/>
      <c r="CA105" s="75"/>
      <c r="CB105" s="75"/>
      <c r="CC105" s="75"/>
      <c r="CD105" s="75"/>
      <c r="CE105" s="75"/>
      <c r="CF105" s="75"/>
      <c r="CG105" s="75"/>
      <c r="CH105" s="75"/>
      <c r="CI105" s="75"/>
      <c r="CJ105" s="75"/>
      <c r="CK105" s="75"/>
      <c r="CL105" s="75"/>
      <c r="CM105" s="75"/>
      <c r="CN105" s="75"/>
      <c r="CO105" s="75"/>
      <c r="CP105" s="75"/>
      <c r="CQ105" s="75"/>
      <c r="CR105" s="75"/>
      <c r="CS105" s="75"/>
      <c r="CT105" s="75"/>
      <c r="CU105" s="75"/>
      <c r="CV105" s="75"/>
      <c r="CW105" s="75"/>
      <c r="CX105" s="75"/>
      <c r="CY105" s="75"/>
      <c r="CZ105" s="75"/>
      <c r="DA105" s="75"/>
      <c r="DB105" s="75"/>
      <c r="DC105" s="75"/>
      <c r="DD105" s="75"/>
    </row>
    <row r="106" spans="1:108">
      <c r="A106" s="75" t="s">
        <v>168</v>
      </c>
      <c r="B106" s="75" t="s">
        <v>142</v>
      </c>
      <c r="C106" s="75" t="s">
        <v>85</v>
      </c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89"/>
      <c r="T106" s="75"/>
      <c r="U106" s="75"/>
      <c r="V106" s="75"/>
      <c r="W106" s="75"/>
      <c r="X106" s="75"/>
      <c r="Y106" s="78">
        <v>6773</v>
      </c>
      <c r="Z106" s="78">
        <v>6773</v>
      </c>
      <c r="AA106" s="75"/>
      <c r="AB106" s="75"/>
      <c r="AC106" s="75"/>
      <c r="AD106" s="75"/>
      <c r="AE106" s="75"/>
      <c r="AF106" s="75"/>
      <c r="AG106" s="75"/>
      <c r="AH106" s="75"/>
      <c r="AI106" s="75"/>
      <c r="AJ106" s="75"/>
      <c r="AK106" s="75"/>
      <c r="AL106" s="75"/>
      <c r="AM106" s="75"/>
      <c r="AN106" s="75"/>
      <c r="AO106" s="75"/>
      <c r="AP106" s="75"/>
      <c r="AQ106" s="75"/>
      <c r="AR106" s="75"/>
      <c r="AS106" s="75"/>
      <c r="AT106" s="75"/>
      <c r="AU106" s="75"/>
      <c r="AV106" s="75"/>
      <c r="AW106" s="75"/>
      <c r="AX106" s="75"/>
      <c r="AY106" s="75"/>
      <c r="AZ106" s="75"/>
      <c r="BA106" s="75"/>
      <c r="BB106" s="75"/>
      <c r="BC106" s="75"/>
      <c r="BD106" s="75"/>
      <c r="BE106" s="75"/>
      <c r="BF106" s="75"/>
      <c r="BG106" s="75"/>
      <c r="BH106" s="75"/>
      <c r="BI106" s="75"/>
      <c r="BJ106" s="75"/>
      <c r="BK106" s="75"/>
      <c r="BL106" s="75"/>
      <c r="BM106" s="75"/>
      <c r="BN106" s="75"/>
      <c r="BO106" s="75"/>
      <c r="BP106" s="75"/>
      <c r="BQ106" s="75"/>
      <c r="BR106" s="75"/>
      <c r="BS106" s="75"/>
      <c r="BT106" s="75"/>
      <c r="BU106" s="75"/>
      <c r="BV106" s="75"/>
      <c r="BW106" s="75"/>
      <c r="BX106" s="75"/>
      <c r="BY106" s="75"/>
      <c r="BZ106" s="75"/>
      <c r="CA106" s="75"/>
      <c r="CB106" s="75"/>
      <c r="CC106" s="75"/>
      <c r="CD106" s="75"/>
      <c r="CE106" s="75"/>
      <c r="CF106" s="75"/>
      <c r="CG106" s="75"/>
      <c r="CH106" s="75"/>
      <c r="CI106" s="75"/>
      <c r="CJ106" s="75"/>
      <c r="CK106" s="75"/>
      <c r="CL106" s="75"/>
      <c r="CM106" s="75"/>
      <c r="CN106" s="75"/>
      <c r="CO106" s="75"/>
      <c r="CP106" s="75"/>
      <c r="CQ106" s="75"/>
      <c r="CR106" s="75"/>
      <c r="CS106" s="75"/>
      <c r="CT106" s="75"/>
      <c r="CU106" s="75"/>
      <c r="CV106" s="75"/>
      <c r="CW106" s="75"/>
      <c r="CX106" s="75"/>
      <c r="CY106" s="75"/>
      <c r="CZ106" s="75"/>
      <c r="DA106" s="75"/>
      <c r="DB106" s="75"/>
      <c r="DC106" s="75"/>
      <c r="DD106" s="75"/>
    </row>
    <row r="107" spans="1:108">
      <c r="A107" s="75" t="s">
        <v>168</v>
      </c>
      <c r="B107" s="75" t="s">
        <v>142</v>
      </c>
      <c r="C107" s="75" t="s">
        <v>85</v>
      </c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89"/>
      <c r="T107" s="75"/>
      <c r="U107" s="75"/>
      <c r="V107" s="75"/>
      <c r="W107" s="75"/>
      <c r="X107" s="75"/>
      <c r="Y107" s="75">
        <v>672</v>
      </c>
      <c r="Z107" s="75">
        <v>672</v>
      </c>
      <c r="AA107" s="75"/>
      <c r="AB107" s="75"/>
      <c r="AC107" s="75"/>
      <c r="AD107" s="75"/>
      <c r="AE107" s="75"/>
      <c r="AF107" s="75"/>
      <c r="AG107" s="75"/>
      <c r="AH107" s="75"/>
      <c r="AI107" s="75"/>
      <c r="AJ107" s="75"/>
      <c r="AK107" s="75"/>
      <c r="AL107" s="75"/>
      <c r="AM107" s="75"/>
      <c r="AN107" s="75"/>
      <c r="AO107" s="75"/>
      <c r="AP107" s="75"/>
      <c r="AQ107" s="75"/>
      <c r="AR107" s="75"/>
      <c r="AS107" s="75"/>
      <c r="AT107" s="75"/>
      <c r="AU107" s="75"/>
      <c r="AV107" s="75"/>
      <c r="AW107" s="75"/>
      <c r="AX107" s="75"/>
      <c r="AY107" s="75"/>
      <c r="AZ107" s="75"/>
      <c r="BA107" s="75"/>
      <c r="BB107" s="75"/>
      <c r="BC107" s="75"/>
      <c r="BD107" s="75"/>
      <c r="BE107" s="75"/>
      <c r="BF107" s="75"/>
      <c r="BG107" s="75"/>
      <c r="BH107" s="75"/>
      <c r="BI107" s="75"/>
      <c r="BJ107" s="75"/>
      <c r="BK107" s="75"/>
      <c r="BL107" s="75"/>
      <c r="BM107" s="75"/>
      <c r="BN107" s="75"/>
      <c r="BO107" s="75"/>
      <c r="BP107" s="75"/>
      <c r="BQ107" s="75"/>
      <c r="BR107" s="75"/>
      <c r="BS107" s="75"/>
      <c r="BT107" s="75"/>
      <c r="BU107" s="75"/>
      <c r="BV107" s="75"/>
      <c r="BW107" s="75"/>
      <c r="BX107" s="75"/>
      <c r="BY107" s="75"/>
      <c r="BZ107" s="75"/>
      <c r="CA107" s="75"/>
      <c r="CB107" s="75"/>
      <c r="CC107" s="75"/>
      <c r="CD107" s="75"/>
      <c r="CE107" s="75"/>
      <c r="CF107" s="75"/>
      <c r="CG107" s="75"/>
      <c r="CH107" s="75"/>
      <c r="CI107" s="75"/>
      <c r="CJ107" s="75"/>
      <c r="CK107" s="75"/>
      <c r="CL107" s="75"/>
      <c r="CM107" s="75"/>
      <c r="CN107" s="75"/>
      <c r="CO107" s="75"/>
      <c r="CP107" s="75"/>
      <c r="CQ107" s="75"/>
      <c r="CR107" s="75"/>
      <c r="CS107" s="75"/>
      <c r="CT107" s="75"/>
      <c r="CU107" s="75"/>
      <c r="CV107" s="75"/>
      <c r="CW107" s="75"/>
      <c r="CX107" s="75"/>
      <c r="CY107" s="75"/>
      <c r="CZ107" s="75"/>
      <c r="DA107" s="75"/>
      <c r="DB107" s="75"/>
      <c r="DC107" s="75"/>
      <c r="DD107" s="75"/>
    </row>
    <row r="108" spans="1:108">
      <c r="A108" s="75" t="s">
        <v>168</v>
      </c>
      <c r="B108" s="75" t="s">
        <v>142</v>
      </c>
      <c r="C108" s="75" t="s">
        <v>85</v>
      </c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89"/>
      <c r="T108" s="75"/>
      <c r="U108" s="75"/>
      <c r="V108" s="75"/>
      <c r="W108" s="75"/>
      <c r="X108" s="75"/>
      <c r="Y108" s="75">
        <v>806</v>
      </c>
      <c r="Z108" s="75">
        <v>806</v>
      </c>
      <c r="AA108" s="75"/>
      <c r="AB108" s="75"/>
      <c r="AC108" s="75"/>
      <c r="AD108" s="75"/>
      <c r="AE108" s="75"/>
      <c r="AF108" s="75"/>
      <c r="AG108" s="75"/>
      <c r="AH108" s="75"/>
      <c r="AI108" s="75"/>
      <c r="AJ108" s="75"/>
      <c r="AK108" s="75"/>
      <c r="AL108" s="75"/>
      <c r="AM108" s="75"/>
      <c r="AN108" s="75"/>
      <c r="AO108" s="75"/>
      <c r="AP108" s="75"/>
      <c r="AQ108" s="75"/>
      <c r="AR108" s="75"/>
      <c r="AS108" s="75"/>
      <c r="AT108" s="75"/>
      <c r="AU108" s="75"/>
      <c r="AV108" s="75"/>
      <c r="AW108" s="75"/>
      <c r="AX108" s="75"/>
      <c r="AY108" s="75"/>
      <c r="AZ108" s="75"/>
      <c r="BA108" s="75"/>
      <c r="BB108" s="75"/>
      <c r="BC108" s="75"/>
      <c r="BD108" s="75"/>
      <c r="BE108" s="75"/>
      <c r="BF108" s="75"/>
      <c r="BG108" s="75"/>
      <c r="BH108" s="75"/>
      <c r="BI108" s="75"/>
      <c r="BJ108" s="75"/>
      <c r="BK108" s="75"/>
      <c r="BL108" s="75"/>
      <c r="BM108" s="75"/>
      <c r="BN108" s="75"/>
      <c r="BO108" s="75"/>
      <c r="BP108" s="75"/>
      <c r="BQ108" s="75"/>
      <c r="BR108" s="75"/>
      <c r="BS108" s="75"/>
      <c r="BT108" s="75"/>
      <c r="BU108" s="75"/>
      <c r="BV108" s="75"/>
      <c r="BW108" s="75"/>
      <c r="BX108" s="75"/>
      <c r="BY108" s="75"/>
      <c r="BZ108" s="75"/>
      <c r="CA108" s="75"/>
      <c r="CB108" s="75"/>
      <c r="CC108" s="75"/>
      <c r="CD108" s="75"/>
      <c r="CE108" s="75"/>
      <c r="CF108" s="75"/>
      <c r="CG108" s="75"/>
      <c r="CH108" s="75"/>
      <c r="CI108" s="75"/>
      <c r="CJ108" s="75"/>
      <c r="CK108" s="75"/>
      <c r="CL108" s="75"/>
      <c r="CM108" s="75"/>
      <c r="CN108" s="75"/>
      <c r="CO108" s="75"/>
      <c r="CP108" s="75"/>
      <c r="CQ108" s="75"/>
      <c r="CR108" s="75"/>
      <c r="CS108" s="75"/>
      <c r="CT108" s="75"/>
      <c r="CU108" s="75"/>
      <c r="CV108" s="75"/>
      <c r="CW108" s="75"/>
      <c r="CX108" s="75"/>
      <c r="CY108" s="75"/>
      <c r="CZ108" s="75"/>
      <c r="DA108" s="75"/>
      <c r="DB108" s="75"/>
      <c r="DC108" s="75"/>
      <c r="DD108" s="75"/>
    </row>
    <row r="109" spans="1:108">
      <c r="A109" s="75" t="s">
        <v>169</v>
      </c>
      <c r="B109" s="75" t="s">
        <v>144</v>
      </c>
      <c r="C109" s="75" t="s">
        <v>85</v>
      </c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89"/>
      <c r="T109" s="75"/>
      <c r="U109" s="75"/>
      <c r="V109" s="75"/>
      <c r="W109" s="75"/>
      <c r="X109" s="75"/>
      <c r="Y109" s="78">
        <v>3583</v>
      </c>
      <c r="Z109" s="78">
        <v>1792</v>
      </c>
      <c r="AA109" s="75"/>
      <c r="AB109" s="75"/>
      <c r="AC109" s="75"/>
      <c r="AD109" s="75"/>
      <c r="AE109" s="75"/>
      <c r="AF109" s="75"/>
      <c r="AG109" s="75"/>
      <c r="AH109" s="75"/>
      <c r="AI109" s="75"/>
      <c r="AJ109" s="75"/>
      <c r="AK109" s="75"/>
      <c r="AL109" s="75"/>
      <c r="AM109" s="75"/>
      <c r="AN109" s="75"/>
      <c r="AO109" s="75"/>
      <c r="AP109" s="75"/>
      <c r="AQ109" s="75"/>
      <c r="AR109" s="75"/>
      <c r="AS109" s="75"/>
      <c r="AT109" s="75"/>
      <c r="AU109" s="75"/>
      <c r="AV109" s="75"/>
      <c r="AW109" s="75"/>
      <c r="AX109" s="75"/>
      <c r="AY109" s="75"/>
      <c r="AZ109" s="75"/>
      <c r="BA109" s="75"/>
      <c r="BB109" s="75"/>
      <c r="BC109" s="75"/>
      <c r="BD109" s="75"/>
      <c r="BE109" s="75"/>
      <c r="BF109" s="75"/>
      <c r="BG109" s="75"/>
      <c r="BH109" s="75"/>
      <c r="BI109" s="75"/>
      <c r="BJ109" s="75"/>
      <c r="BK109" s="75"/>
      <c r="BL109" s="75"/>
      <c r="BM109" s="75"/>
      <c r="BN109" s="75"/>
      <c r="BO109" s="75"/>
      <c r="BP109" s="75"/>
      <c r="BQ109" s="75"/>
      <c r="BR109" s="75"/>
      <c r="BS109" s="75"/>
      <c r="BT109" s="75"/>
      <c r="BU109" s="75"/>
      <c r="BV109" s="75"/>
      <c r="BW109" s="75"/>
      <c r="BX109" s="75"/>
      <c r="BY109" s="75"/>
      <c r="BZ109" s="75"/>
      <c r="CA109" s="75"/>
      <c r="CB109" s="75"/>
      <c r="CC109" s="75"/>
      <c r="CD109" s="75"/>
      <c r="CE109" s="75"/>
      <c r="CF109" s="75"/>
      <c r="CG109" s="75"/>
      <c r="CH109" s="75"/>
      <c r="CI109" s="75"/>
      <c r="CJ109" s="75"/>
      <c r="CK109" s="75"/>
      <c r="CL109" s="75"/>
      <c r="CM109" s="75"/>
      <c r="CN109" s="75"/>
      <c r="CO109" s="75"/>
      <c r="CP109" s="75"/>
      <c r="CQ109" s="75"/>
      <c r="CR109" s="75"/>
      <c r="CS109" s="75"/>
      <c r="CT109" s="75"/>
      <c r="CU109" s="75"/>
      <c r="CV109" s="75"/>
      <c r="CW109" s="75"/>
      <c r="CX109" s="75"/>
      <c r="CY109" s="75"/>
      <c r="CZ109" s="75"/>
      <c r="DA109" s="75"/>
      <c r="DB109" s="75"/>
      <c r="DC109" s="75"/>
      <c r="DD109" s="75"/>
    </row>
    <row r="110" spans="1:108">
      <c r="A110" s="75" t="s">
        <v>169</v>
      </c>
      <c r="B110" s="75" t="s">
        <v>144</v>
      </c>
      <c r="C110" s="75" t="s">
        <v>85</v>
      </c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89"/>
      <c r="T110" s="75"/>
      <c r="U110" s="75"/>
      <c r="V110" s="75"/>
      <c r="W110" s="75"/>
      <c r="X110" s="75"/>
      <c r="Y110" s="78">
        <v>4300</v>
      </c>
      <c r="Z110" s="78">
        <v>2150</v>
      </c>
      <c r="AA110" s="75"/>
      <c r="AB110" s="75"/>
      <c r="AC110" s="75"/>
      <c r="AD110" s="75"/>
      <c r="AE110" s="75"/>
      <c r="AF110" s="75"/>
      <c r="AG110" s="75"/>
      <c r="AH110" s="75"/>
      <c r="AI110" s="75"/>
      <c r="AJ110" s="75"/>
      <c r="AK110" s="75"/>
      <c r="AL110" s="75"/>
      <c r="AM110" s="75"/>
      <c r="AN110" s="75"/>
      <c r="AO110" s="75"/>
      <c r="AP110" s="75"/>
      <c r="AQ110" s="75"/>
      <c r="AR110" s="75"/>
      <c r="AS110" s="75"/>
      <c r="AT110" s="75"/>
      <c r="AU110" s="75"/>
      <c r="AV110" s="75"/>
      <c r="AW110" s="75"/>
      <c r="AX110" s="75"/>
      <c r="AY110" s="75"/>
      <c r="AZ110" s="75"/>
      <c r="BA110" s="75"/>
      <c r="BB110" s="75"/>
      <c r="BC110" s="75"/>
      <c r="BD110" s="75"/>
      <c r="BE110" s="75"/>
      <c r="BF110" s="75"/>
      <c r="BG110" s="75"/>
      <c r="BH110" s="75"/>
      <c r="BI110" s="75"/>
      <c r="BJ110" s="75"/>
      <c r="BK110" s="75"/>
      <c r="BL110" s="75"/>
      <c r="BM110" s="75"/>
      <c r="BN110" s="75"/>
      <c r="BO110" s="75"/>
      <c r="BP110" s="75"/>
      <c r="BQ110" s="75"/>
      <c r="BR110" s="75"/>
      <c r="BS110" s="75"/>
      <c r="BT110" s="75"/>
      <c r="BU110" s="75"/>
      <c r="BV110" s="75"/>
      <c r="BW110" s="75"/>
      <c r="BX110" s="75"/>
      <c r="BY110" s="75"/>
      <c r="BZ110" s="75"/>
      <c r="CA110" s="75"/>
      <c r="CB110" s="75"/>
      <c r="CC110" s="75"/>
      <c r="CD110" s="75"/>
      <c r="CE110" s="75"/>
      <c r="CF110" s="75"/>
      <c r="CG110" s="75"/>
      <c r="CH110" s="75"/>
      <c r="CI110" s="75"/>
      <c r="CJ110" s="75"/>
      <c r="CK110" s="75"/>
      <c r="CL110" s="75"/>
      <c r="CM110" s="75"/>
      <c r="CN110" s="75"/>
      <c r="CO110" s="75"/>
      <c r="CP110" s="75"/>
      <c r="CQ110" s="75"/>
      <c r="CR110" s="75"/>
      <c r="CS110" s="75"/>
      <c r="CT110" s="75"/>
      <c r="CU110" s="75"/>
      <c r="CV110" s="75"/>
      <c r="CW110" s="75"/>
      <c r="CX110" s="75"/>
      <c r="CY110" s="75"/>
      <c r="CZ110" s="75"/>
      <c r="DA110" s="75"/>
      <c r="DB110" s="75"/>
      <c r="DC110" s="75"/>
      <c r="DD110" s="75"/>
    </row>
    <row r="111" spans="1:108">
      <c r="A111" s="75" t="s">
        <v>170</v>
      </c>
      <c r="B111" s="75" t="s">
        <v>146</v>
      </c>
      <c r="C111" s="75" t="s">
        <v>85</v>
      </c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89"/>
      <c r="T111" s="75"/>
      <c r="U111" s="75"/>
      <c r="V111" s="75"/>
      <c r="W111" s="75"/>
      <c r="X111" s="78">
        <v>13686</v>
      </c>
      <c r="Y111" s="78">
        <v>13686</v>
      </c>
      <c r="Z111" s="75"/>
      <c r="AA111" s="75"/>
      <c r="AB111" s="75"/>
      <c r="AC111" s="75"/>
      <c r="AD111" s="75"/>
      <c r="AE111" s="75"/>
      <c r="AF111" s="75"/>
      <c r="AG111" s="75"/>
      <c r="AH111" s="75"/>
      <c r="AI111" s="75"/>
      <c r="AJ111" s="75"/>
      <c r="AK111" s="75"/>
      <c r="AL111" s="75"/>
      <c r="AM111" s="75"/>
      <c r="AN111" s="75"/>
      <c r="AO111" s="75"/>
      <c r="AP111" s="75"/>
      <c r="AQ111" s="75"/>
      <c r="AR111" s="75"/>
      <c r="AS111" s="75"/>
      <c r="AT111" s="75"/>
      <c r="AU111" s="75"/>
      <c r="AV111" s="75"/>
      <c r="AW111" s="75"/>
      <c r="AX111" s="75"/>
      <c r="AY111" s="75"/>
      <c r="AZ111" s="75"/>
      <c r="BA111" s="75"/>
      <c r="BB111" s="75"/>
      <c r="BC111" s="75"/>
      <c r="BD111" s="75"/>
      <c r="BE111" s="75"/>
      <c r="BF111" s="75"/>
      <c r="BG111" s="75"/>
      <c r="BH111" s="75"/>
      <c r="BI111" s="75"/>
      <c r="BJ111" s="75"/>
      <c r="BK111" s="75"/>
      <c r="BL111" s="75"/>
      <c r="BM111" s="75"/>
      <c r="BN111" s="75"/>
      <c r="BO111" s="75"/>
      <c r="BP111" s="75"/>
      <c r="BQ111" s="75"/>
      <c r="BR111" s="75"/>
      <c r="BS111" s="75"/>
      <c r="BT111" s="75"/>
      <c r="BU111" s="75"/>
      <c r="BV111" s="75"/>
      <c r="BW111" s="75"/>
      <c r="BX111" s="75"/>
      <c r="BY111" s="75"/>
      <c r="BZ111" s="75"/>
      <c r="CA111" s="75"/>
      <c r="CB111" s="75"/>
      <c r="CC111" s="75"/>
      <c r="CD111" s="75"/>
      <c r="CE111" s="75"/>
      <c r="CF111" s="75"/>
      <c r="CG111" s="75"/>
      <c r="CH111" s="75"/>
      <c r="CI111" s="75"/>
      <c r="CJ111" s="75"/>
      <c r="CK111" s="75"/>
      <c r="CL111" s="75"/>
      <c r="CM111" s="75"/>
      <c r="CN111" s="75"/>
      <c r="CO111" s="75"/>
      <c r="CP111" s="75"/>
      <c r="CQ111" s="75"/>
      <c r="CR111" s="75"/>
      <c r="CS111" s="75"/>
      <c r="CT111" s="75"/>
      <c r="CU111" s="75"/>
      <c r="CV111" s="75"/>
      <c r="CW111" s="75"/>
      <c r="CX111" s="75"/>
      <c r="CY111" s="75"/>
      <c r="CZ111" s="75"/>
      <c r="DA111" s="75"/>
      <c r="DB111" s="75"/>
      <c r="DC111" s="75"/>
      <c r="DD111" s="75"/>
    </row>
    <row r="112" spans="1:108">
      <c r="A112" s="75" t="s">
        <v>170</v>
      </c>
      <c r="B112" s="75" t="s">
        <v>146</v>
      </c>
      <c r="C112" s="75" t="s">
        <v>85</v>
      </c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89"/>
      <c r="T112" s="75"/>
      <c r="U112" s="75"/>
      <c r="V112" s="75"/>
      <c r="W112" s="75"/>
      <c r="X112" s="78">
        <v>1786</v>
      </c>
      <c r="Y112" s="78">
        <v>1786</v>
      </c>
      <c r="Z112" s="75"/>
      <c r="AA112" s="75"/>
      <c r="AB112" s="75"/>
      <c r="AC112" s="75"/>
      <c r="AD112" s="75"/>
      <c r="AE112" s="75"/>
      <c r="AF112" s="75"/>
      <c r="AG112" s="75"/>
      <c r="AH112" s="75"/>
      <c r="AI112" s="75"/>
      <c r="AJ112" s="75"/>
      <c r="AK112" s="75"/>
      <c r="AL112" s="75"/>
      <c r="AM112" s="75"/>
      <c r="AN112" s="75"/>
      <c r="AO112" s="75"/>
      <c r="AP112" s="75"/>
      <c r="AQ112" s="75"/>
      <c r="AR112" s="75"/>
      <c r="AS112" s="75"/>
      <c r="AT112" s="75"/>
      <c r="AU112" s="75"/>
      <c r="AV112" s="75"/>
      <c r="AW112" s="75"/>
      <c r="AX112" s="75"/>
      <c r="AY112" s="75"/>
      <c r="AZ112" s="75"/>
      <c r="BA112" s="75"/>
      <c r="BB112" s="75"/>
      <c r="BC112" s="75"/>
      <c r="BD112" s="75"/>
      <c r="BE112" s="75"/>
      <c r="BF112" s="75"/>
      <c r="BG112" s="75"/>
      <c r="BH112" s="75"/>
      <c r="BI112" s="75"/>
      <c r="BJ112" s="75"/>
      <c r="BK112" s="75"/>
      <c r="BL112" s="75"/>
      <c r="BM112" s="75"/>
      <c r="BN112" s="75"/>
      <c r="BO112" s="75"/>
      <c r="BP112" s="75"/>
      <c r="BQ112" s="75"/>
      <c r="BR112" s="75"/>
      <c r="BS112" s="75"/>
      <c r="BT112" s="75"/>
      <c r="BU112" s="75"/>
      <c r="BV112" s="75"/>
      <c r="BW112" s="75"/>
      <c r="BX112" s="75"/>
      <c r="BY112" s="75"/>
      <c r="BZ112" s="75"/>
      <c r="CA112" s="75"/>
      <c r="CB112" s="75"/>
      <c r="CC112" s="75"/>
      <c r="CD112" s="75"/>
      <c r="CE112" s="75"/>
      <c r="CF112" s="75"/>
      <c r="CG112" s="75"/>
      <c r="CH112" s="75"/>
      <c r="CI112" s="75"/>
      <c r="CJ112" s="75"/>
      <c r="CK112" s="75"/>
      <c r="CL112" s="75"/>
      <c r="CM112" s="75"/>
      <c r="CN112" s="75"/>
      <c r="CO112" s="75"/>
      <c r="CP112" s="75"/>
      <c r="CQ112" s="75"/>
      <c r="CR112" s="75"/>
      <c r="CS112" s="75"/>
      <c r="CT112" s="75"/>
      <c r="CU112" s="75"/>
      <c r="CV112" s="75"/>
      <c r="CW112" s="75"/>
      <c r="CX112" s="75"/>
      <c r="CY112" s="75"/>
      <c r="CZ112" s="75"/>
      <c r="DA112" s="75"/>
      <c r="DB112" s="75"/>
      <c r="DC112" s="75"/>
      <c r="DD112" s="75"/>
    </row>
    <row r="113" spans="1:108">
      <c r="A113" s="75" t="s">
        <v>170</v>
      </c>
      <c r="B113" s="75" t="s">
        <v>146</v>
      </c>
      <c r="C113" s="75" t="s">
        <v>85</v>
      </c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89"/>
      <c r="T113" s="75"/>
      <c r="U113" s="75"/>
      <c r="V113" s="75"/>
      <c r="W113" s="75"/>
      <c r="X113" s="78">
        <v>3350</v>
      </c>
      <c r="Y113" s="78">
        <v>3350</v>
      </c>
      <c r="Z113" s="75"/>
      <c r="AA113" s="75"/>
      <c r="AB113" s="75"/>
      <c r="AC113" s="75"/>
      <c r="AD113" s="75"/>
      <c r="AE113" s="75"/>
      <c r="AF113" s="75"/>
      <c r="AG113" s="75"/>
      <c r="AH113" s="75"/>
      <c r="AI113" s="75"/>
      <c r="AJ113" s="75"/>
      <c r="AK113" s="75"/>
      <c r="AL113" s="75"/>
      <c r="AM113" s="75"/>
      <c r="AN113" s="75"/>
      <c r="AO113" s="75"/>
      <c r="AP113" s="75"/>
      <c r="AQ113" s="75"/>
      <c r="AR113" s="75"/>
      <c r="AS113" s="75"/>
      <c r="AT113" s="75"/>
      <c r="AU113" s="75"/>
      <c r="AV113" s="75"/>
      <c r="AW113" s="75"/>
      <c r="AX113" s="75"/>
      <c r="AY113" s="75"/>
      <c r="AZ113" s="75"/>
      <c r="BA113" s="75"/>
      <c r="BB113" s="75"/>
      <c r="BC113" s="75"/>
      <c r="BD113" s="75"/>
      <c r="BE113" s="75"/>
      <c r="BF113" s="75"/>
      <c r="BG113" s="75"/>
      <c r="BH113" s="75"/>
      <c r="BI113" s="75"/>
      <c r="BJ113" s="75"/>
      <c r="BK113" s="75"/>
      <c r="BL113" s="75"/>
      <c r="BM113" s="75"/>
      <c r="BN113" s="75"/>
      <c r="BO113" s="75"/>
      <c r="BP113" s="75"/>
      <c r="BQ113" s="75"/>
      <c r="BR113" s="75"/>
      <c r="BS113" s="75"/>
      <c r="BT113" s="75"/>
      <c r="BU113" s="75"/>
      <c r="BV113" s="75"/>
      <c r="BW113" s="75"/>
      <c r="BX113" s="75"/>
      <c r="BY113" s="75"/>
      <c r="BZ113" s="75"/>
      <c r="CA113" s="75"/>
      <c r="CB113" s="75"/>
      <c r="CC113" s="75"/>
      <c r="CD113" s="75"/>
      <c r="CE113" s="75"/>
      <c r="CF113" s="75"/>
      <c r="CG113" s="75"/>
      <c r="CH113" s="75"/>
      <c r="CI113" s="75"/>
      <c r="CJ113" s="75"/>
      <c r="CK113" s="75"/>
      <c r="CL113" s="75"/>
      <c r="CM113" s="75"/>
      <c r="CN113" s="75"/>
      <c r="CO113" s="75"/>
      <c r="CP113" s="75"/>
      <c r="CQ113" s="75"/>
      <c r="CR113" s="75"/>
      <c r="CS113" s="75"/>
      <c r="CT113" s="75"/>
      <c r="CU113" s="75"/>
      <c r="CV113" s="75"/>
      <c r="CW113" s="75"/>
      <c r="CX113" s="75"/>
      <c r="CY113" s="75"/>
      <c r="CZ113" s="75"/>
      <c r="DA113" s="75"/>
      <c r="DB113" s="75"/>
      <c r="DC113" s="75"/>
      <c r="DD113" s="75"/>
    </row>
    <row r="114" spans="1:108">
      <c r="A114" s="75" t="s">
        <v>171</v>
      </c>
      <c r="B114" s="75" t="s">
        <v>150</v>
      </c>
      <c r="C114" s="75" t="s">
        <v>85</v>
      </c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89"/>
      <c r="T114" s="75"/>
      <c r="U114" s="75"/>
      <c r="V114" s="75"/>
      <c r="W114" s="75"/>
      <c r="X114" s="75"/>
      <c r="Y114" s="75"/>
      <c r="Z114" s="78">
        <v>25344</v>
      </c>
      <c r="AA114" s="75"/>
      <c r="AB114" s="75"/>
      <c r="AC114" s="75"/>
      <c r="AD114" s="75"/>
      <c r="AE114" s="75"/>
      <c r="AF114" s="75"/>
      <c r="AG114" s="75"/>
      <c r="AH114" s="75"/>
      <c r="AI114" s="75"/>
      <c r="AJ114" s="75"/>
      <c r="AK114" s="75"/>
      <c r="AL114" s="75"/>
      <c r="AM114" s="75"/>
      <c r="AN114" s="75"/>
      <c r="AO114" s="75"/>
      <c r="AP114" s="75"/>
      <c r="AQ114" s="75"/>
      <c r="AR114" s="75"/>
      <c r="AS114" s="75"/>
      <c r="AT114" s="75"/>
      <c r="AU114" s="75"/>
      <c r="AV114" s="75"/>
      <c r="AW114" s="75"/>
      <c r="AX114" s="75"/>
      <c r="AY114" s="75"/>
      <c r="AZ114" s="75"/>
      <c r="BA114" s="75"/>
      <c r="BB114" s="75"/>
      <c r="BC114" s="75"/>
      <c r="BD114" s="75"/>
      <c r="BE114" s="75"/>
      <c r="BF114" s="75"/>
      <c r="BG114" s="75"/>
      <c r="BH114" s="75"/>
      <c r="BI114" s="75"/>
      <c r="BJ114" s="75"/>
      <c r="BK114" s="75"/>
      <c r="BL114" s="75"/>
      <c r="BM114" s="75"/>
      <c r="BN114" s="75"/>
      <c r="BO114" s="75"/>
      <c r="BP114" s="75"/>
      <c r="BQ114" s="75"/>
      <c r="BR114" s="75"/>
      <c r="BS114" s="75"/>
      <c r="BT114" s="75"/>
      <c r="BU114" s="75"/>
      <c r="BV114" s="75"/>
      <c r="BW114" s="75"/>
      <c r="BX114" s="75"/>
      <c r="BY114" s="75"/>
      <c r="BZ114" s="75"/>
      <c r="CA114" s="75"/>
      <c r="CB114" s="75"/>
      <c r="CC114" s="75"/>
      <c r="CD114" s="75"/>
      <c r="CE114" s="75"/>
      <c r="CF114" s="75"/>
      <c r="CG114" s="75"/>
      <c r="CH114" s="75"/>
      <c r="CI114" s="75"/>
      <c r="CJ114" s="75"/>
      <c r="CK114" s="75"/>
      <c r="CL114" s="75"/>
      <c r="CM114" s="75"/>
      <c r="CN114" s="75"/>
      <c r="CO114" s="75"/>
      <c r="CP114" s="75"/>
      <c r="CQ114" s="75"/>
      <c r="CR114" s="75"/>
      <c r="CS114" s="75"/>
      <c r="CT114" s="75"/>
      <c r="CU114" s="75"/>
      <c r="CV114" s="75"/>
      <c r="CW114" s="75"/>
      <c r="CX114" s="75"/>
      <c r="CY114" s="75"/>
      <c r="CZ114" s="75"/>
      <c r="DA114" s="75"/>
      <c r="DB114" s="75"/>
      <c r="DC114" s="75"/>
      <c r="DD114" s="75"/>
    </row>
    <row r="115" spans="1:108">
      <c r="A115" s="75" t="s">
        <v>171</v>
      </c>
      <c r="B115" s="75" t="s">
        <v>150</v>
      </c>
      <c r="C115" s="75" t="s">
        <v>85</v>
      </c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89"/>
      <c r="T115" s="78"/>
      <c r="U115" s="78"/>
      <c r="V115" s="75"/>
      <c r="W115" s="75"/>
      <c r="X115" s="75"/>
      <c r="Y115" s="75"/>
      <c r="Z115" s="78">
        <v>3762</v>
      </c>
      <c r="AA115" s="75"/>
      <c r="AB115" s="75"/>
      <c r="AC115" s="75"/>
      <c r="AD115" s="75"/>
      <c r="AE115" s="75"/>
      <c r="AF115" s="75"/>
      <c r="AG115" s="75"/>
      <c r="AH115" s="75"/>
      <c r="AI115" s="75"/>
      <c r="AJ115" s="75"/>
      <c r="AK115" s="75"/>
      <c r="AL115" s="75"/>
      <c r="AM115" s="75"/>
      <c r="AN115" s="75"/>
      <c r="AO115" s="75"/>
      <c r="AP115" s="75"/>
      <c r="AQ115" s="75"/>
      <c r="AR115" s="75"/>
      <c r="AS115" s="75"/>
      <c r="AT115" s="75"/>
      <c r="AU115" s="75"/>
      <c r="AV115" s="75"/>
      <c r="AW115" s="75"/>
      <c r="AX115" s="75"/>
      <c r="AY115" s="75"/>
      <c r="AZ115" s="75"/>
      <c r="BA115" s="75"/>
      <c r="BB115" s="75"/>
      <c r="BC115" s="75"/>
      <c r="BD115" s="75"/>
      <c r="BE115" s="75"/>
      <c r="BF115" s="75"/>
      <c r="BG115" s="75"/>
      <c r="BH115" s="75"/>
      <c r="BI115" s="75"/>
      <c r="BJ115" s="75"/>
      <c r="BK115" s="75"/>
      <c r="BL115" s="75"/>
      <c r="BM115" s="75"/>
      <c r="BN115" s="75"/>
      <c r="BO115" s="75"/>
      <c r="BP115" s="75"/>
      <c r="BQ115" s="75"/>
      <c r="BR115" s="75"/>
      <c r="BS115" s="75"/>
      <c r="BT115" s="75"/>
      <c r="BU115" s="75"/>
      <c r="BV115" s="75"/>
      <c r="BW115" s="75"/>
      <c r="BX115" s="75"/>
      <c r="BY115" s="75"/>
      <c r="BZ115" s="75"/>
      <c r="CA115" s="75"/>
      <c r="CB115" s="75"/>
      <c r="CC115" s="75"/>
      <c r="CD115" s="75"/>
      <c r="CE115" s="75"/>
      <c r="CF115" s="75"/>
      <c r="CG115" s="75"/>
      <c r="CH115" s="75"/>
      <c r="CI115" s="75"/>
      <c r="CJ115" s="75"/>
      <c r="CK115" s="75"/>
      <c r="CL115" s="75"/>
      <c r="CM115" s="75"/>
      <c r="CN115" s="75"/>
      <c r="CO115" s="75"/>
      <c r="CP115" s="75"/>
      <c r="CQ115" s="75"/>
      <c r="CR115" s="75"/>
      <c r="CS115" s="75"/>
      <c r="CT115" s="75"/>
      <c r="CU115" s="75"/>
      <c r="CV115" s="75"/>
      <c r="CW115" s="75"/>
      <c r="CX115" s="75"/>
      <c r="CY115" s="75"/>
      <c r="CZ115" s="75"/>
      <c r="DA115" s="75"/>
      <c r="DB115" s="75"/>
      <c r="DC115" s="75"/>
      <c r="DD115" s="75"/>
    </row>
    <row r="116" spans="1:108">
      <c r="A116" s="75" t="s">
        <v>171</v>
      </c>
      <c r="B116" s="75" t="s">
        <v>150</v>
      </c>
      <c r="C116" s="75" t="s">
        <v>85</v>
      </c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89"/>
      <c r="T116" s="78"/>
      <c r="U116" s="78"/>
      <c r="V116" s="78"/>
      <c r="W116" s="75"/>
      <c r="X116" s="75"/>
      <c r="Y116" s="75"/>
      <c r="Z116" s="78">
        <v>9306</v>
      </c>
      <c r="AA116" s="75"/>
      <c r="AB116" s="75"/>
      <c r="AC116" s="75"/>
      <c r="AD116" s="75"/>
      <c r="AE116" s="75"/>
      <c r="AF116" s="75"/>
      <c r="AG116" s="75"/>
      <c r="AH116" s="75"/>
      <c r="AI116" s="75"/>
      <c r="AJ116" s="75"/>
      <c r="AK116" s="75"/>
      <c r="AL116" s="75"/>
      <c r="AM116" s="75"/>
      <c r="AN116" s="75"/>
      <c r="AO116" s="75"/>
      <c r="AP116" s="75"/>
      <c r="AQ116" s="75"/>
      <c r="AR116" s="75"/>
      <c r="AS116" s="75"/>
      <c r="AT116" s="75"/>
      <c r="AU116" s="75"/>
      <c r="AV116" s="75"/>
      <c r="AW116" s="75"/>
      <c r="AX116" s="75"/>
      <c r="AY116" s="75"/>
      <c r="AZ116" s="75"/>
      <c r="BA116" s="75"/>
      <c r="BB116" s="75"/>
      <c r="BC116" s="75"/>
      <c r="BD116" s="75"/>
      <c r="BE116" s="75"/>
      <c r="BF116" s="75"/>
      <c r="BG116" s="75"/>
      <c r="BH116" s="75"/>
      <c r="BI116" s="75"/>
      <c r="BJ116" s="75"/>
      <c r="BK116" s="75"/>
      <c r="BL116" s="75"/>
      <c r="BM116" s="75"/>
      <c r="BN116" s="75"/>
      <c r="BO116" s="75"/>
      <c r="BP116" s="75"/>
      <c r="BQ116" s="75"/>
      <c r="BR116" s="75"/>
      <c r="BS116" s="75"/>
      <c r="BT116" s="75"/>
      <c r="BU116" s="75"/>
      <c r="BV116" s="75"/>
      <c r="BW116" s="75"/>
      <c r="BX116" s="75"/>
      <c r="BY116" s="75"/>
      <c r="BZ116" s="75"/>
      <c r="CA116" s="75"/>
      <c r="CB116" s="75"/>
      <c r="CC116" s="75"/>
      <c r="CD116" s="75"/>
      <c r="CE116" s="75"/>
      <c r="CF116" s="75"/>
      <c r="CG116" s="75"/>
      <c r="CH116" s="75"/>
      <c r="CI116" s="75"/>
      <c r="CJ116" s="75"/>
      <c r="CK116" s="75"/>
      <c r="CL116" s="75"/>
      <c r="CM116" s="75"/>
      <c r="CN116" s="75"/>
      <c r="CO116" s="75"/>
      <c r="CP116" s="75"/>
      <c r="CQ116" s="75"/>
      <c r="CR116" s="75"/>
      <c r="CS116" s="75"/>
      <c r="CT116" s="75"/>
      <c r="CU116" s="75"/>
      <c r="CV116" s="75"/>
      <c r="CW116" s="75"/>
      <c r="CX116" s="75"/>
      <c r="CY116" s="75"/>
      <c r="CZ116" s="75"/>
      <c r="DA116" s="75"/>
      <c r="DB116" s="75"/>
      <c r="DC116" s="75"/>
      <c r="DD116" s="75"/>
    </row>
    <row r="117" spans="1:108">
      <c r="A117" s="75" t="s">
        <v>172</v>
      </c>
      <c r="B117" s="75" t="s">
        <v>152</v>
      </c>
      <c r="C117" s="75" t="s">
        <v>85</v>
      </c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89"/>
      <c r="T117" s="75"/>
      <c r="U117" s="75"/>
      <c r="V117" s="78"/>
      <c r="W117" s="75"/>
      <c r="X117" s="78">
        <v>23584</v>
      </c>
      <c r="Y117" s="78">
        <v>23584</v>
      </c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  <c r="AX117" s="75"/>
      <c r="AY117" s="75"/>
      <c r="AZ117" s="75"/>
      <c r="BA117" s="75"/>
      <c r="BB117" s="75"/>
      <c r="BC117" s="75"/>
      <c r="BD117" s="75"/>
      <c r="BE117" s="75"/>
      <c r="BF117" s="75"/>
      <c r="BG117" s="75"/>
      <c r="BH117" s="75"/>
      <c r="BI117" s="75"/>
      <c r="BJ117" s="75"/>
      <c r="BK117" s="75"/>
      <c r="BL117" s="75"/>
      <c r="BM117" s="75"/>
      <c r="BN117" s="75"/>
      <c r="BO117" s="75"/>
      <c r="BP117" s="75"/>
      <c r="BQ117" s="75"/>
      <c r="BR117" s="75"/>
      <c r="BS117" s="75"/>
      <c r="BT117" s="75"/>
      <c r="BU117" s="75"/>
      <c r="BV117" s="75"/>
      <c r="BW117" s="75"/>
      <c r="BX117" s="75"/>
      <c r="BY117" s="75"/>
      <c r="BZ117" s="75"/>
      <c r="CA117" s="75"/>
      <c r="CB117" s="75"/>
      <c r="CC117" s="75"/>
      <c r="CD117" s="75"/>
      <c r="CE117" s="75"/>
      <c r="CF117" s="75"/>
      <c r="CG117" s="75"/>
      <c r="CH117" s="75"/>
      <c r="CI117" s="75"/>
      <c r="CJ117" s="75"/>
      <c r="CK117" s="75"/>
      <c r="CL117" s="75"/>
      <c r="CM117" s="75"/>
      <c r="CN117" s="75"/>
      <c r="CO117" s="75"/>
      <c r="CP117" s="75"/>
      <c r="CQ117" s="75"/>
      <c r="CR117" s="75"/>
      <c r="CS117" s="75"/>
      <c r="CT117" s="75"/>
      <c r="CU117" s="75"/>
      <c r="CV117" s="75"/>
      <c r="CW117" s="75"/>
      <c r="CX117" s="75"/>
      <c r="CY117" s="75"/>
      <c r="CZ117" s="75"/>
      <c r="DA117" s="75"/>
      <c r="DB117" s="75"/>
      <c r="DC117" s="75"/>
      <c r="DD117" s="75"/>
    </row>
    <row r="118" spans="1:108">
      <c r="A118" s="75" t="s">
        <v>173</v>
      </c>
      <c r="B118" s="75" t="s">
        <v>148</v>
      </c>
      <c r="C118" s="75" t="s">
        <v>85</v>
      </c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88"/>
      <c r="T118" s="78"/>
      <c r="U118" s="78"/>
      <c r="V118" s="78"/>
      <c r="W118" s="75"/>
      <c r="X118" s="78">
        <v>9488</v>
      </c>
      <c r="Y118" s="78">
        <v>14232</v>
      </c>
      <c r="Z118" s="75"/>
      <c r="AA118" s="75"/>
      <c r="AB118" s="75"/>
      <c r="AC118" s="75"/>
      <c r="AD118" s="75"/>
      <c r="AE118" s="75"/>
      <c r="AF118" s="75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  <c r="AX118" s="75"/>
      <c r="AY118" s="75"/>
      <c r="AZ118" s="75"/>
      <c r="BA118" s="75"/>
      <c r="BB118" s="75"/>
      <c r="BC118" s="75"/>
      <c r="BD118" s="75"/>
      <c r="BE118" s="75"/>
      <c r="BF118" s="75"/>
      <c r="BG118" s="75"/>
      <c r="BH118" s="75"/>
      <c r="BI118" s="75"/>
      <c r="BJ118" s="75"/>
      <c r="BK118" s="75"/>
      <c r="BL118" s="75"/>
      <c r="BM118" s="75"/>
      <c r="BN118" s="75"/>
      <c r="BO118" s="75"/>
      <c r="BP118" s="75"/>
      <c r="BQ118" s="75"/>
      <c r="BR118" s="75"/>
      <c r="BS118" s="75"/>
      <c r="BT118" s="75"/>
      <c r="BU118" s="75"/>
      <c r="BV118" s="75"/>
      <c r="BW118" s="75"/>
      <c r="BX118" s="75"/>
      <c r="BY118" s="75"/>
      <c r="BZ118" s="75"/>
      <c r="CA118" s="75"/>
      <c r="CB118" s="75"/>
      <c r="CC118" s="75"/>
      <c r="CD118" s="75"/>
      <c r="CE118" s="75"/>
      <c r="CF118" s="75"/>
      <c r="CG118" s="75"/>
      <c r="CH118" s="75"/>
      <c r="CI118" s="75"/>
      <c r="CJ118" s="75"/>
      <c r="CK118" s="75"/>
      <c r="CL118" s="75"/>
      <c r="CM118" s="75"/>
      <c r="CN118" s="75"/>
      <c r="CO118" s="75"/>
      <c r="CP118" s="75"/>
      <c r="CQ118" s="75"/>
      <c r="CR118" s="75"/>
      <c r="CS118" s="75"/>
      <c r="CT118" s="75"/>
      <c r="CU118" s="75"/>
      <c r="CV118" s="75"/>
      <c r="CW118" s="75"/>
      <c r="CX118" s="75"/>
      <c r="CY118" s="75"/>
      <c r="CZ118" s="75"/>
      <c r="DA118" s="75"/>
      <c r="DB118" s="75"/>
      <c r="DC118" s="75"/>
      <c r="DD118" s="75"/>
    </row>
    <row r="119" spans="1:108">
      <c r="A119" s="75" t="s">
        <v>173</v>
      </c>
      <c r="B119" s="75" t="s">
        <v>148</v>
      </c>
      <c r="C119" s="75" t="s">
        <v>85</v>
      </c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89"/>
      <c r="T119" s="75"/>
      <c r="U119" s="75"/>
      <c r="V119" s="75"/>
      <c r="W119" s="75"/>
      <c r="X119" s="78">
        <v>1822</v>
      </c>
      <c r="Y119" s="78">
        <v>2732</v>
      </c>
      <c r="Z119" s="75"/>
      <c r="AA119" s="75"/>
      <c r="AB119" s="75"/>
      <c r="AC119" s="75"/>
      <c r="AD119" s="75"/>
      <c r="AE119" s="75"/>
      <c r="AF119" s="75"/>
      <c r="AG119" s="75"/>
      <c r="AH119" s="75"/>
      <c r="AI119" s="75"/>
      <c r="AJ119" s="75"/>
      <c r="AK119" s="75"/>
      <c r="AL119" s="75"/>
      <c r="AM119" s="75"/>
      <c r="AN119" s="75"/>
      <c r="AO119" s="75"/>
      <c r="AP119" s="75"/>
      <c r="AQ119" s="75"/>
      <c r="AR119" s="75"/>
      <c r="AS119" s="75"/>
      <c r="AT119" s="75"/>
      <c r="AU119" s="75"/>
      <c r="AV119" s="75"/>
      <c r="AW119" s="75"/>
      <c r="AX119" s="75"/>
      <c r="AY119" s="75"/>
      <c r="AZ119" s="75"/>
      <c r="BA119" s="75"/>
      <c r="BB119" s="75"/>
      <c r="BC119" s="75"/>
      <c r="BD119" s="75"/>
      <c r="BE119" s="75"/>
      <c r="BF119" s="75"/>
      <c r="BG119" s="75"/>
      <c r="BH119" s="75"/>
      <c r="BI119" s="75"/>
      <c r="BJ119" s="75"/>
      <c r="BK119" s="75"/>
      <c r="BL119" s="75"/>
      <c r="BM119" s="75"/>
      <c r="BN119" s="75"/>
      <c r="BO119" s="75"/>
      <c r="BP119" s="75"/>
      <c r="BQ119" s="75"/>
      <c r="BR119" s="75"/>
      <c r="BS119" s="75"/>
      <c r="BT119" s="75"/>
      <c r="BU119" s="75"/>
      <c r="BV119" s="75"/>
      <c r="BW119" s="75"/>
      <c r="BX119" s="75"/>
      <c r="BY119" s="75"/>
      <c r="BZ119" s="75"/>
      <c r="CA119" s="75"/>
      <c r="CB119" s="75"/>
      <c r="CC119" s="75"/>
      <c r="CD119" s="75"/>
      <c r="CE119" s="75"/>
      <c r="CF119" s="75"/>
      <c r="CG119" s="75"/>
      <c r="CH119" s="75"/>
      <c r="CI119" s="75"/>
      <c r="CJ119" s="75"/>
      <c r="CK119" s="75"/>
      <c r="CL119" s="75"/>
      <c r="CM119" s="75"/>
      <c r="CN119" s="75"/>
      <c r="CO119" s="75"/>
      <c r="CP119" s="75"/>
      <c r="CQ119" s="75"/>
      <c r="CR119" s="75"/>
      <c r="CS119" s="75"/>
      <c r="CT119" s="75"/>
      <c r="CU119" s="75"/>
      <c r="CV119" s="75"/>
      <c r="CW119" s="75"/>
      <c r="CX119" s="75"/>
      <c r="CY119" s="75"/>
      <c r="CZ119" s="75"/>
      <c r="DA119" s="75"/>
      <c r="DB119" s="75"/>
      <c r="DC119" s="75"/>
      <c r="DD119" s="75"/>
    </row>
    <row r="120" spans="1:108">
      <c r="A120" s="75" t="s">
        <v>173</v>
      </c>
      <c r="B120" s="75" t="s">
        <v>148</v>
      </c>
      <c r="C120" s="75" t="s">
        <v>85</v>
      </c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89"/>
      <c r="T120" s="75"/>
      <c r="U120" s="75"/>
      <c r="V120" s="75"/>
      <c r="W120" s="75"/>
      <c r="X120" s="78">
        <v>8966</v>
      </c>
      <c r="Y120" s="78">
        <v>13448</v>
      </c>
      <c r="Z120" s="75"/>
      <c r="AA120" s="75"/>
      <c r="AB120" s="75"/>
      <c r="AC120" s="75"/>
      <c r="AD120" s="75"/>
      <c r="AE120" s="75"/>
      <c r="AF120" s="75"/>
      <c r="AG120" s="75"/>
      <c r="AH120" s="75"/>
      <c r="AI120" s="75"/>
      <c r="AJ120" s="75"/>
      <c r="AK120" s="75"/>
      <c r="AL120" s="75"/>
      <c r="AM120" s="75"/>
      <c r="AN120" s="75"/>
      <c r="AO120" s="75"/>
      <c r="AP120" s="75"/>
      <c r="AQ120" s="75"/>
      <c r="AR120" s="75"/>
      <c r="AS120" s="75"/>
      <c r="AT120" s="75"/>
      <c r="AU120" s="75"/>
      <c r="AV120" s="75"/>
      <c r="AW120" s="75"/>
      <c r="AX120" s="75"/>
      <c r="AY120" s="75"/>
      <c r="AZ120" s="75"/>
      <c r="BA120" s="75"/>
      <c r="BB120" s="75"/>
      <c r="BC120" s="75"/>
      <c r="BD120" s="75"/>
      <c r="BE120" s="75"/>
      <c r="BF120" s="75"/>
      <c r="BG120" s="75"/>
      <c r="BH120" s="75"/>
      <c r="BI120" s="75"/>
      <c r="BJ120" s="75"/>
      <c r="BK120" s="75"/>
      <c r="BL120" s="75"/>
      <c r="BM120" s="75"/>
      <c r="BN120" s="75"/>
      <c r="BO120" s="75"/>
      <c r="BP120" s="75"/>
      <c r="BQ120" s="75"/>
      <c r="BR120" s="75"/>
      <c r="BS120" s="75"/>
      <c r="BT120" s="75"/>
      <c r="BU120" s="75"/>
      <c r="BV120" s="75"/>
      <c r="BW120" s="75"/>
      <c r="BX120" s="75"/>
      <c r="BY120" s="75"/>
      <c r="BZ120" s="75"/>
      <c r="CA120" s="75"/>
      <c r="CB120" s="75"/>
      <c r="CC120" s="75"/>
      <c r="CD120" s="75"/>
      <c r="CE120" s="75"/>
      <c r="CF120" s="75"/>
      <c r="CG120" s="75"/>
      <c r="CH120" s="75"/>
      <c r="CI120" s="75"/>
      <c r="CJ120" s="75"/>
      <c r="CK120" s="75"/>
      <c r="CL120" s="75"/>
      <c r="CM120" s="75"/>
      <c r="CN120" s="75"/>
      <c r="CO120" s="75"/>
      <c r="CP120" s="75"/>
      <c r="CQ120" s="75"/>
      <c r="CR120" s="75"/>
      <c r="CS120" s="75"/>
      <c r="CT120" s="75"/>
      <c r="CU120" s="75"/>
      <c r="CV120" s="75"/>
      <c r="CW120" s="75"/>
      <c r="CX120" s="75"/>
      <c r="CY120" s="75"/>
      <c r="CZ120" s="75"/>
      <c r="DA120" s="75"/>
      <c r="DB120" s="75"/>
      <c r="DC120" s="75"/>
      <c r="DD120" s="75"/>
    </row>
    <row r="121" spans="1:108">
      <c r="A121" s="75" t="s">
        <v>169</v>
      </c>
      <c r="B121" s="75" t="s">
        <v>144</v>
      </c>
      <c r="C121" s="75" t="s">
        <v>85</v>
      </c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89"/>
      <c r="T121" s="75"/>
      <c r="U121" s="75"/>
      <c r="V121" s="75"/>
      <c r="W121" s="75"/>
      <c r="X121" s="75"/>
      <c r="Y121" s="78">
        <v>2867</v>
      </c>
      <c r="Z121" s="78">
        <v>1433</v>
      </c>
      <c r="AA121" s="75"/>
      <c r="AB121" s="75"/>
      <c r="AC121" s="75"/>
      <c r="AD121" s="75"/>
      <c r="AE121" s="75"/>
      <c r="AF121" s="75"/>
      <c r="AG121" s="75"/>
      <c r="AH121" s="75"/>
      <c r="AI121" s="75"/>
      <c r="AJ121" s="75"/>
      <c r="AK121" s="75"/>
      <c r="AL121" s="75"/>
      <c r="AM121" s="75"/>
      <c r="AN121" s="75"/>
      <c r="AO121" s="75"/>
      <c r="AP121" s="75"/>
      <c r="AQ121" s="75"/>
      <c r="AR121" s="75"/>
      <c r="AS121" s="75"/>
      <c r="AT121" s="75"/>
      <c r="AU121" s="75"/>
      <c r="AV121" s="75"/>
      <c r="AW121" s="75"/>
      <c r="AX121" s="75"/>
      <c r="AY121" s="75"/>
      <c r="AZ121" s="75"/>
      <c r="BA121" s="75"/>
      <c r="BB121" s="75"/>
      <c r="BC121" s="75"/>
      <c r="BD121" s="75"/>
      <c r="BE121" s="75"/>
      <c r="BF121" s="75"/>
      <c r="BG121" s="75"/>
      <c r="BH121" s="75"/>
      <c r="BI121" s="75"/>
      <c r="BJ121" s="75"/>
      <c r="BK121" s="75"/>
      <c r="BL121" s="75"/>
      <c r="BM121" s="75"/>
      <c r="BN121" s="75"/>
      <c r="BO121" s="75"/>
      <c r="BP121" s="75"/>
      <c r="BQ121" s="75"/>
      <c r="BR121" s="75"/>
      <c r="BS121" s="75"/>
      <c r="BT121" s="75"/>
      <c r="BU121" s="75"/>
      <c r="BV121" s="75"/>
      <c r="BW121" s="75"/>
      <c r="BX121" s="75"/>
      <c r="BY121" s="75"/>
      <c r="BZ121" s="75"/>
      <c r="CA121" s="75"/>
      <c r="CB121" s="75"/>
      <c r="CC121" s="75"/>
      <c r="CD121" s="75"/>
      <c r="CE121" s="75"/>
      <c r="CF121" s="75"/>
      <c r="CG121" s="75"/>
      <c r="CH121" s="75"/>
      <c r="CI121" s="75"/>
      <c r="CJ121" s="75"/>
      <c r="CK121" s="75"/>
      <c r="CL121" s="75"/>
      <c r="CM121" s="75"/>
      <c r="CN121" s="75"/>
      <c r="CO121" s="75"/>
      <c r="CP121" s="75"/>
      <c r="CQ121" s="75"/>
      <c r="CR121" s="75"/>
      <c r="CS121" s="75"/>
      <c r="CT121" s="75"/>
      <c r="CU121" s="75"/>
      <c r="CV121" s="75"/>
      <c r="CW121" s="75"/>
      <c r="CX121" s="75"/>
      <c r="CY121" s="75"/>
      <c r="CZ121" s="75"/>
      <c r="DA121" s="75"/>
      <c r="DB121" s="75"/>
      <c r="DC121" s="75"/>
      <c r="DD121" s="75"/>
    </row>
    <row r="122" spans="1:108">
      <c r="A122" s="75" t="s">
        <v>168</v>
      </c>
      <c r="B122" s="75" t="s">
        <v>142</v>
      </c>
      <c r="C122" s="75" t="s">
        <v>85</v>
      </c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89"/>
      <c r="T122" s="75"/>
      <c r="U122" s="75"/>
      <c r="V122" s="75"/>
      <c r="W122" s="75"/>
      <c r="X122" s="75"/>
      <c r="Y122" s="78">
        <v>4516</v>
      </c>
      <c r="Z122" s="78">
        <v>4515</v>
      </c>
      <c r="AA122" s="75"/>
      <c r="AB122" s="75"/>
      <c r="AC122" s="75"/>
      <c r="AD122" s="75"/>
      <c r="AE122" s="75"/>
      <c r="AF122" s="75"/>
      <c r="AG122" s="75"/>
      <c r="AH122" s="75"/>
      <c r="AI122" s="75"/>
      <c r="AJ122" s="75"/>
      <c r="AK122" s="75"/>
      <c r="AL122" s="75"/>
      <c r="AM122" s="75"/>
      <c r="AN122" s="75"/>
      <c r="AO122" s="75"/>
      <c r="AP122" s="75"/>
      <c r="AQ122" s="75"/>
      <c r="AR122" s="75"/>
      <c r="AS122" s="75"/>
      <c r="AT122" s="75"/>
      <c r="AU122" s="75"/>
      <c r="AV122" s="75"/>
      <c r="AW122" s="75"/>
      <c r="AX122" s="75"/>
      <c r="AY122" s="75"/>
      <c r="AZ122" s="75"/>
      <c r="BA122" s="75"/>
      <c r="BB122" s="75"/>
      <c r="BC122" s="75"/>
      <c r="BD122" s="75"/>
      <c r="BE122" s="75"/>
      <c r="BF122" s="75"/>
      <c r="BG122" s="75"/>
      <c r="BH122" s="75"/>
      <c r="BI122" s="75"/>
      <c r="BJ122" s="75"/>
      <c r="BK122" s="75"/>
      <c r="BL122" s="75"/>
      <c r="BM122" s="75"/>
      <c r="BN122" s="75"/>
      <c r="BO122" s="75"/>
      <c r="BP122" s="75"/>
      <c r="BQ122" s="75"/>
      <c r="BR122" s="75"/>
      <c r="BS122" s="75"/>
      <c r="BT122" s="75"/>
      <c r="BU122" s="75"/>
      <c r="BV122" s="75"/>
      <c r="BW122" s="75"/>
      <c r="BX122" s="75"/>
      <c r="BY122" s="75"/>
      <c r="BZ122" s="75"/>
      <c r="CA122" s="75"/>
      <c r="CB122" s="75"/>
      <c r="CC122" s="75"/>
      <c r="CD122" s="75"/>
      <c r="CE122" s="75"/>
      <c r="CF122" s="75"/>
      <c r="CG122" s="75"/>
      <c r="CH122" s="75"/>
      <c r="CI122" s="75"/>
      <c r="CJ122" s="75"/>
      <c r="CK122" s="75"/>
      <c r="CL122" s="75"/>
      <c r="CM122" s="75"/>
      <c r="CN122" s="75"/>
      <c r="CO122" s="75"/>
      <c r="CP122" s="75"/>
      <c r="CQ122" s="75"/>
      <c r="CR122" s="75"/>
      <c r="CS122" s="75"/>
      <c r="CT122" s="75"/>
      <c r="CU122" s="75"/>
      <c r="CV122" s="75"/>
      <c r="CW122" s="75"/>
      <c r="CX122" s="75"/>
      <c r="CY122" s="75"/>
      <c r="CZ122" s="75"/>
      <c r="DA122" s="75"/>
      <c r="DB122" s="75"/>
      <c r="DC122" s="75"/>
      <c r="DD122" s="75"/>
    </row>
    <row r="123" spans="1:108">
      <c r="A123" s="75" t="s">
        <v>168</v>
      </c>
      <c r="B123" s="75" t="s">
        <v>142</v>
      </c>
      <c r="C123" s="75" t="s">
        <v>85</v>
      </c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89"/>
      <c r="T123" s="75"/>
      <c r="U123" s="75"/>
      <c r="V123" s="75"/>
      <c r="W123" s="75"/>
      <c r="X123" s="75"/>
      <c r="Y123" s="75">
        <v>538</v>
      </c>
      <c r="Z123" s="75">
        <v>537</v>
      </c>
      <c r="AA123" s="75"/>
      <c r="AB123" s="75"/>
      <c r="AC123" s="75"/>
      <c r="AD123" s="75"/>
      <c r="AE123" s="75"/>
      <c r="AF123" s="75"/>
      <c r="AG123" s="75"/>
      <c r="AH123" s="75"/>
      <c r="AI123" s="75"/>
      <c r="AJ123" s="75"/>
      <c r="AK123" s="75"/>
      <c r="AL123" s="75"/>
      <c r="AM123" s="75"/>
      <c r="AN123" s="75"/>
      <c r="AO123" s="75"/>
      <c r="AP123" s="75"/>
      <c r="AQ123" s="75"/>
      <c r="AR123" s="75"/>
      <c r="AS123" s="75"/>
      <c r="AT123" s="75"/>
      <c r="AU123" s="75"/>
      <c r="AV123" s="75"/>
      <c r="AW123" s="75"/>
      <c r="AX123" s="75"/>
      <c r="AY123" s="75"/>
      <c r="AZ123" s="75"/>
      <c r="BA123" s="75"/>
      <c r="BB123" s="75"/>
      <c r="BC123" s="75"/>
      <c r="BD123" s="75"/>
      <c r="BE123" s="75"/>
      <c r="BF123" s="75"/>
      <c r="BG123" s="75"/>
      <c r="BH123" s="75"/>
      <c r="BI123" s="75"/>
      <c r="BJ123" s="75"/>
      <c r="BK123" s="75"/>
      <c r="BL123" s="75"/>
      <c r="BM123" s="75"/>
      <c r="BN123" s="75"/>
      <c r="BO123" s="75"/>
      <c r="BP123" s="75"/>
      <c r="BQ123" s="75"/>
      <c r="BR123" s="75"/>
      <c r="BS123" s="75"/>
      <c r="BT123" s="75"/>
      <c r="BU123" s="75"/>
      <c r="BV123" s="75"/>
      <c r="BW123" s="75"/>
      <c r="BX123" s="75"/>
      <c r="BY123" s="75"/>
      <c r="BZ123" s="75"/>
      <c r="CA123" s="75"/>
      <c r="CB123" s="75"/>
      <c r="CC123" s="75"/>
      <c r="CD123" s="75"/>
      <c r="CE123" s="75"/>
      <c r="CF123" s="75"/>
      <c r="CG123" s="75"/>
      <c r="CH123" s="75"/>
      <c r="CI123" s="75"/>
      <c r="CJ123" s="75"/>
      <c r="CK123" s="75"/>
      <c r="CL123" s="75"/>
      <c r="CM123" s="75"/>
      <c r="CN123" s="75"/>
      <c r="CO123" s="75"/>
      <c r="CP123" s="75"/>
      <c r="CQ123" s="75"/>
      <c r="CR123" s="75"/>
      <c r="CS123" s="75"/>
      <c r="CT123" s="75"/>
      <c r="CU123" s="75"/>
      <c r="CV123" s="75"/>
      <c r="CW123" s="75"/>
      <c r="CX123" s="75"/>
      <c r="CY123" s="75"/>
      <c r="CZ123" s="75"/>
      <c r="DA123" s="75"/>
      <c r="DB123" s="75"/>
      <c r="DC123" s="75"/>
      <c r="DD123" s="75"/>
    </row>
    <row r="124" spans="1:108">
      <c r="A124" s="75" t="s">
        <v>38</v>
      </c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8">
        <v>22995</v>
      </c>
      <c r="M124" s="78">
        <v>31957</v>
      </c>
      <c r="N124" s="78">
        <v>45519</v>
      </c>
      <c r="O124" s="78">
        <v>45519</v>
      </c>
      <c r="P124" s="78">
        <v>46179</v>
      </c>
      <c r="Q124" s="78">
        <v>31083</v>
      </c>
      <c r="R124" s="78">
        <v>12923</v>
      </c>
      <c r="S124" s="88">
        <v>44302</v>
      </c>
      <c r="T124" s="78">
        <v>122603</v>
      </c>
      <c r="U124" s="78">
        <v>131427</v>
      </c>
      <c r="V124" s="78">
        <v>256991</v>
      </c>
      <c r="W124" s="78">
        <v>192618</v>
      </c>
      <c r="X124" s="78">
        <v>98996</v>
      </c>
      <c r="Y124" s="78">
        <v>141069</v>
      </c>
      <c r="Z124" s="78">
        <v>17441</v>
      </c>
      <c r="AA124" s="78">
        <v>25819</v>
      </c>
      <c r="AB124" s="78">
        <v>75251</v>
      </c>
      <c r="AC124" s="78">
        <v>145390</v>
      </c>
      <c r="AD124" s="78">
        <v>173775</v>
      </c>
      <c r="AE124" s="78">
        <v>40832</v>
      </c>
      <c r="AF124" s="78">
        <v>100030</v>
      </c>
      <c r="AG124" s="78">
        <v>165498</v>
      </c>
      <c r="AH124" s="78">
        <v>127706</v>
      </c>
      <c r="AI124" s="78">
        <v>126336</v>
      </c>
      <c r="AJ124" s="78">
        <v>395042</v>
      </c>
      <c r="AK124" s="78">
        <v>194549</v>
      </c>
      <c r="AL124" s="78">
        <v>219298</v>
      </c>
      <c r="AM124" s="78">
        <v>485579</v>
      </c>
      <c r="AN124" s="78">
        <v>514408</v>
      </c>
      <c r="AO124" s="78">
        <v>792861</v>
      </c>
      <c r="AP124" s="78">
        <v>95218</v>
      </c>
      <c r="AQ124" s="78">
        <v>172418</v>
      </c>
      <c r="AR124" s="78">
        <v>42923</v>
      </c>
      <c r="AS124" s="78">
        <v>60454</v>
      </c>
      <c r="AT124" s="78">
        <v>228858</v>
      </c>
      <c r="AU124" s="78">
        <v>570376</v>
      </c>
      <c r="AV124" s="78">
        <v>621216</v>
      </c>
      <c r="AW124" s="78">
        <v>492843</v>
      </c>
      <c r="AX124" s="78">
        <v>438480</v>
      </c>
      <c r="AY124" s="78">
        <v>413246</v>
      </c>
      <c r="AZ124" s="78">
        <v>523072</v>
      </c>
      <c r="BA124" s="78">
        <v>310712</v>
      </c>
      <c r="BB124" s="78">
        <v>158499</v>
      </c>
      <c r="BC124" s="78">
        <v>39331</v>
      </c>
      <c r="BD124" s="78">
        <v>38660</v>
      </c>
      <c r="BE124" s="78">
        <v>202574</v>
      </c>
      <c r="BF124" s="78">
        <v>284348</v>
      </c>
      <c r="BG124" s="78">
        <v>226814</v>
      </c>
      <c r="BH124" s="78">
        <v>208063</v>
      </c>
      <c r="BI124" s="78">
        <v>342507</v>
      </c>
      <c r="BJ124" s="78">
        <v>519078</v>
      </c>
      <c r="BK124" s="78">
        <v>590388</v>
      </c>
      <c r="BL124" s="78">
        <v>660523</v>
      </c>
      <c r="BM124" s="78">
        <v>825270</v>
      </c>
      <c r="BN124" s="78">
        <v>679949</v>
      </c>
      <c r="BO124" s="78">
        <v>562529</v>
      </c>
      <c r="BP124" s="78">
        <v>839183</v>
      </c>
      <c r="BQ124" s="78">
        <v>771572</v>
      </c>
      <c r="BR124" s="78">
        <v>838889</v>
      </c>
      <c r="BS124" s="78">
        <v>1017079</v>
      </c>
      <c r="BT124" s="78">
        <v>1395852</v>
      </c>
      <c r="BU124" s="78">
        <v>1628538</v>
      </c>
      <c r="BV124" s="78">
        <v>932523</v>
      </c>
      <c r="BW124" s="78">
        <v>736890</v>
      </c>
      <c r="BX124" s="78">
        <v>645963</v>
      </c>
      <c r="BY124" s="78">
        <v>680330</v>
      </c>
      <c r="BZ124" s="78">
        <v>1658788</v>
      </c>
      <c r="CA124" s="78">
        <v>1813817</v>
      </c>
      <c r="CB124" s="78">
        <v>1980379</v>
      </c>
      <c r="CC124" s="78">
        <v>1678551</v>
      </c>
      <c r="CD124" s="78">
        <v>1159304</v>
      </c>
      <c r="CE124" s="78">
        <v>929024</v>
      </c>
      <c r="CF124" s="78">
        <v>838784</v>
      </c>
      <c r="CG124" s="78">
        <v>876483</v>
      </c>
      <c r="CH124" s="78">
        <v>711317</v>
      </c>
      <c r="CI124" s="78">
        <v>737605</v>
      </c>
      <c r="CJ124" s="78">
        <v>986647</v>
      </c>
      <c r="CK124" s="78">
        <v>1242756</v>
      </c>
      <c r="CL124" s="78">
        <v>914431</v>
      </c>
      <c r="CM124" s="78">
        <v>431532</v>
      </c>
      <c r="CN124" s="78">
        <v>164198</v>
      </c>
      <c r="CO124" s="78">
        <v>176692</v>
      </c>
      <c r="CP124" s="78">
        <v>147088</v>
      </c>
      <c r="CQ124" s="78">
        <v>128707</v>
      </c>
      <c r="CR124" s="78">
        <v>103819</v>
      </c>
      <c r="CS124" s="78">
        <v>101570</v>
      </c>
      <c r="CT124" s="78">
        <v>104854</v>
      </c>
      <c r="CU124" s="78">
        <v>87103</v>
      </c>
      <c r="CV124" s="78">
        <v>69388</v>
      </c>
      <c r="CW124" s="78">
        <v>29062</v>
      </c>
      <c r="CX124" s="78">
        <v>8270</v>
      </c>
      <c r="CY124" s="78">
        <v>6445</v>
      </c>
      <c r="CZ124" s="78">
        <v>3080</v>
      </c>
      <c r="DA124" s="78">
        <v>6600</v>
      </c>
      <c r="DB124" s="78">
        <v>2200</v>
      </c>
      <c r="DC124" s="75"/>
      <c r="DD124" s="75"/>
    </row>
    <row r="125" spans="1:108">
      <c r="A125" s="75" t="s">
        <v>37</v>
      </c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8">
        <v>22995</v>
      </c>
      <c r="M125" s="78">
        <v>31957</v>
      </c>
      <c r="N125" s="78">
        <v>45519</v>
      </c>
      <c r="O125" s="78">
        <v>45519</v>
      </c>
      <c r="P125" s="78">
        <v>46179</v>
      </c>
      <c r="Q125" s="78">
        <v>31083</v>
      </c>
      <c r="R125" s="78">
        <v>12923</v>
      </c>
      <c r="S125" s="88">
        <v>44302</v>
      </c>
      <c r="T125" s="78">
        <v>122603</v>
      </c>
      <c r="U125" s="78">
        <v>131427</v>
      </c>
      <c r="V125" s="78">
        <v>256991</v>
      </c>
      <c r="W125" s="78">
        <v>192618</v>
      </c>
      <c r="X125" s="78">
        <v>98996</v>
      </c>
      <c r="Y125" s="78">
        <v>141069</v>
      </c>
      <c r="Z125" s="78">
        <v>17441</v>
      </c>
      <c r="AA125" s="78">
        <v>25819</v>
      </c>
      <c r="AB125" s="78">
        <v>75251</v>
      </c>
      <c r="AC125" s="78">
        <v>145390</v>
      </c>
      <c r="AD125" s="78">
        <v>173775</v>
      </c>
      <c r="AE125" s="78">
        <v>40832</v>
      </c>
      <c r="AF125" s="78">
        <v>100030</v>
      </c>
      <c r="AG125" s="78">
        <v>165498</v>
      </c>
      <c r="AH125" s="78">
        <v>127706</v>
      </c>
      <c r="AI125" s="78">
        <v>126336</v>
      </c>
      <c r="AJ125" s="78">
        <v>304040</v>
      </c>
      <c r="AK125" s="75"/>
      <c r="AL125" s="75"/>
      <c r="AM125" s="75"/>
      <c r="AN125" s="75"/>
      <c r="AO125" s="75"/>
      <c r="AP125" s="75"/>
      <c r="AQ125" s="75"/>
      <c r="AR125" s="75"/>
      <c r="AS125" s="75"/>
      <c r="AT125" s="75"/>
      <c r="AU125" s="75"/>
      <c r="AV125" s="75"/>
      <c r="AW125" s="75"/>
      <c r="AX125" s="75"/>
      <c r="AY125" s="75"/>
      <c r="AZ125" s="75"/>
      <c r="BA125" s="75"/>
      <c r="BB125" s="75"/>
      <c r="BC125" s="75"/>
      <c r="BD125" s="75"/>
      <c r="BE125" s="75"/>
      <c r="BF125" s="75"/>
      <c r="BG125" s="75"/>
      <c r="BH125" s="75"/>
      <c r="BI125" s="75"/>
      <c r="BJ125" s="75"/>
      <c r="BK125" s="75"/>
      <c r="BL125" s="75"/>
      <c r="BM125" s="75"/>
      <c r="BN125" s="75"/>
      <c r="BO125" s="75"/>
      <c r="BP125" s="75"/>
      <c r="BQ125" s="75"/>
      <c r="BR125" s="75"/>
      <c r="BS125" s="75"/>
      <c r="BT125" s="75"/>
      <c r="BU125" s="75"/>
      <c r="BV125" s="75"/>
      <c r="BW125" s="75"/>
      <c r="BX125" s="75"/>
      <c r="BY125" s="75"/>
      <c r="BZ125" s="75"/>
      <c r="CA125" s="75"/>
      <c r="CB125" s="75"/>
      <c r="CC125" s="75"/>
      <c r="CD125" s="75"/>
      <c r="CE125" s="75"/>
      <c r="CF125" s="75"/>
      <c r="CG125" s="75"/>
      <c r="CH125" s="75"/>
      <c r="CI125" s="75"/>
      <c r="CJ125" s="75"/>
      <c r="CK125" s="75"/>
      <c r="CL125" s="75"/>
      <c r="CM125" s="75"/>
      <c r="CN125" s="75"/>
      <c r="CO125" s="75"/>
      <c r="CP125" s="75"/>
      <c r="CQ125" s="75"/>
      <c r="CR125" s="75"/>
      <c r="CS125" s="75"/>
      <c r="CT125" s="75"/>
      <c r="CU125" s="75"/>
      <c r="CV125" s="75"/>
      <c r="CW125" s="75"/>
      <c r="CX125" s="75"/>
      <c r="CY125" s="75"/>
      <c r="CZ125" s="75"/>
      <c r="DA125" s="75"/>
      <c r="DB125" s="75"/>
      <c r="DC125" s="75"/>
      <c r="DD125" s="75"/>
    </row>
    <row r="126" spans="1:108">
      <c r="A126" s="75" t="s">
        <v>76</v>
      </c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8">
        <v>22995</v>
      </c>
      <c r="M126" s="78">
        <v>31957</v>
      </c>
      <c r="N126" s="78">
        <v>45519</v>
      </c>
      <c r="O126" s="78">
        <v>45519</v>
      </c>
      <c r="P126" s="78">
        <v>46179</v>
      </c>
      <c r="Q126" s="78">
        <v>31083</v>
      </c>
      <c r="R126" s="78">
        <v>12923</v>
      </c>
      <c r="S126" s="88">
        <v>44302</v>
      </c>
      <c r="T126" s="78">
        <v>122603</v>
      </c>
      <c r="U126" s="78">
        <v>131427</v>
      </c>
      <c r="V126" s="78">
        <v>256991</v>
      </c>
      <c r="W126" s="78">
        <v>192618</v>
      </c>
      <c r="X126" s="78">
        <v>98996</v>
      </c>
      <c r="Y126" s="78">
        <v>141069</v>
      </c>
      <c r="Z126" s="78">
        <v>17441</v>
      </c>
      <c r="AA126" s="78">
        <v>25819</v>
      </c>
      <c r="AB126" s="78">
        <v>75251</v>
      </c>
      <c r="AC126" s="78">
        <v>145390</v>
      </c>
      <c r="AD126" s="78">
        <v>168585</v>
      </c>
      <c r="AE126" s="78">
        <v>34604</v>
      </c>
      <c r="AF126" s="78">
        <v>95878</v>
      </c>
      <c r="AG126" s="78">
        <v>165498</v>
      </c>
      <c r="AH126" s="78">
        <v>127706</v>
      </c>
      <c r="AI126" s="78">
        <v>126336</v>
      </c>
      <c r="AJ126" s="78">
        <v>304040</v>
      </c>
      <c r="AK126" s="75"/>
      <c r="AL126" s="75"/>
      <c r="AM126" s="75"/>
      <c r="AN126" s="75"/>
      <c r="AO126" s="75"/>
      <c r="AP126" s="75"/>
      <c r="AQ126" s="75"/>
      <c r="AR126" s="75"/>
      <c r="AS126" s="75"/>
      <c r="AT126" s="75"/>
      <c r="AU126" s="75"/>
      <c r="AV126" s="75"/>
      <c r="AW126" s="75"/>
      <c r="AX126" s="75"/>
      <c r="AY126" s="75"/>
      <c r="AZ126" s="75"/>
      <c r="BA126" s="75"/>
      <c r="BB126" s="75"/>
      <c r="BC126" s="75"/>
      <c r="BD126" s="75"/>
      <c r="BE126" s="75"/>
      <c r="BF126" s="75"/>
      <c r="BG126" s="75"/>
      <c r="BH126" s="75"/>
      <c r="BI126" s="75"/>
      <c r="BJ126" s="75"/>
      <c r="BK126" s="75"/>
      <c r="BL126" s="75"/>
      <c r="BM126" s="75"/>
      <c r="BN126" s="75"/>
      <c r="BO126" s="75"/>
      <c r="BP126" s="75"/>
      <c r="BQ126" s="75"/>
      <c r="BR126" s="75"/>
      <c r="BS126" s="75"/>
      <c r="BT126" s="75"/>
      <c r="BU126" s="75"/>
      <c r="BV126" s="75"/>
      <c r="BW126" s="75"/>
      <c r="BX126" s="75"/>
      <c r="BY126" s="75"/>
      <c r="BZ126" s="75"/>
      <c r="CA126" s="75"/>
      <c r="CB126" s="75"/>
      <c r="CC126" s="75"/>
      <c r="CD126" s="75"/>
      <c r="CE126" s="75"/>
      <c r="CF126" s="75"/>
      <c r="CG126" s="75"/>
      <c r="CH126" s="75"/>
      <c r="CI126" s="75"/>
      <c r="CJ126" s="75"/>
      <c r="CK126" s="75"/>
      <c r="CL126" s="75"/>
      <c r="CM126" s="75"/>
      <c r="CN126" s="75"/>
      <c r="CO126" s="75"/>
      <c r="CP126" s="75"/>
      <c r="CQ126" s="75"/>
      <c r="CR126" s="75"/>
      <c r="CS126" s="75"/>
      <c r="CT126" s="75"/>
      <c r="CU126" s="75"/>
      <c r="CV126" s="75"/>
      <c r="CW126" s="75"/>
      <c r="CX126" s="75"/>
      <c r="CY126" s="75"/>
      <c r="CZ126" s="75"/>
      <c r="DA126" s="75"/>
      <c r="DB126" s="75"/>
      <c r="DC126" s="75"/>
      <c r="DD126" s="75"/>
    </row>
    <row r="127" spans="1:108">
      <c r="A127" s="75" t="s">
        <v>120</v>
      </c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8">
        <v>22995</v>
      </c>
      <c r="M127" s="78">
        <v>31957</v>
      </c>
      <c r="N127" s="78">
        <v>45519</v>
      </c>
      <c r="O127" s="78">
        <v>45519</v>
      </c>
      <c r="P127" s="78">
        <v>46179</v>
      </c>
      <c r="Q127" s="78">
        <v>31083</v>
      </c>
      <c r="R127" s="78">
        <v>12923</v>
      </c>
      <c r="S127" s="88">
        <v>1320</v>
      </c>
      <c r="T127" s="75"/>
      <c r="U127" s="75"/>
      <c r="V127" s="75"/>
      <c r="W127" s="75"/>
      <c r="X127" s="75"/>
      <c r="Y127" s="75"/>
      <c r="Z127" s="75"/>
      <c r="AA127" s="75"/>
      <c r="AB127" s="75"/>
      <c r="AC127" s="75"/>
      <c r="AD127" s="75"/>
      <c r="AE127" s="75"/>
      <c r="AF127" s="75"/>
      <c r="AG127" s="75"/>
      <c r="AH127" s="75"/>
      <c r="AI127" s="75"/>
      <c r="AJ127" s="75"/>
      <c r="AK127" s="75"/>
      <c r="AL127" s="75"/>
      <c r="AM127" s="75"/>
      <c r="AN127" s="75"/>
      <c r="AO127" s="75"/>
      <c r="AP127" s="75"/>
      <c r="AQ127" s="75"/>
      <c r="AR127" s="75"/>
      <c r="AS127" s="75"/>
      <c r="AT127" s="75"/>
      <c r="AU127" s="75"/>
      <c r="AV127" s="75"/>
      <c r="AW127" s="75"/>
      <c r="AX127" s="75"/>
      <c r="AY127" s="75"/>
      <c r="AZ127" s="75"/>
      <c r="BA127" s="75"/>
      <c r="BB127" s="75"/>
      <c r="BC127" s="75"/>
      <c r="BD127" s="75"/>
      <c r="BE127" s="75"/>
      <c r="BF127" s="75"/>
      <c r="BG127" s="75"/>
      <c r="BH127" s="75"/>
      <c r="BI127" s="75"/>
      <c r="BJ127" s="75"/>
      <c r="BK127" s="75"/>
      <c r="BL127" s="75"/>
      <c r="BM127" s="75"/>
      <c r="BN127" s="75"/>
      <c r="BO127" s="75"/>
      <c r="BP127" s="75"/>
      <c r="BQ127" s="75"/>
      <c r="BR127" s="75"/>
      <c r="BS127" s="75"/>
      <c r="BT127" s="75"/>
      <c r="BU127" s="75"/>
      <c r="BV127" s="75"/>
      <c r="BW127" s="75"/>
      <c r="BX127" s="75"/>
      <c r="BY127" s="75"/>
      <c r="BZ127" s="75"/>
      <c r="CA127" s="75"/>
      <c r="CB127" s="75"/>
      <c r="CC127" s="75"/>
      <c r="CD127" s="75"/>
      <c r="CE127" s="75"/>
      <c r="CF127" s="75"/>
      <c r="CG127" s="75"/>
      <c r="CH127" s="75"/>
      <c r="CI127" s="75"/>
      <c r="CJ127" s="75"/>
      <c r="CK127" s="75"/>
      <c r="CL127" s="75"/>
      <c r="CM127" s="75"/>
      <c r="CN127" s="75"/>
      <c r="CO127" s="75"/>
      <c r="CP127" s="75"/>
      <c r="CQ127" s="75"/>
      <c r="CR127" s="75"/>
      <c r="CS127" s="75"/>
      <c r="CT127" s="75"/>
      <c r="CU127" s="75"/>
      <c r="CV127" s="75"/>
      <c r="CW127" s="75"/>
      <c r="CX127" s="75"/>
      <c r="CY127" s="75"/>
      <c r="CZ127" s="75"/>
      <c r="DA127" s="75"/>
      <c r="DB127" s="75"/>
      <c r="DC127" s="75"/>
      <c r="DD127" s="75"/>
    </row>
    <row r="128" spans="1:108">
      <c r="A128" s="75" t="s">
        <v>124</v>
      </c>
      <c r="B128" s="75" t="s">
        <v>125</v>
      </c>
      <c r="C128" s="75" t="s">
        <v>85</v>
      </c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>
        <v>660</v>
      </c>
      <c r="Q128" s="78">
        <v>3960</v>
      </c>
      <c r="R128" s="78">
        <v>3960</v>
      </c>
      <c r="S128" s="88">
        <v>1320</v>
      </c>
      <c r="T128" s="75"/>
      <c r="U128" s="78"/>
      <c r="V128" s="75"/>
      <c r="W128" s="75"/>
      <c r="X128" s="75"/>
      <c r="Y128" s="75"/>
      <c r="Z128" s="75"/>
      <c r="AA128" s="75"/>
      <c r="AB128" s="75"/>
      <c r="AC128" s="75"/>
      <c r="AD128" s="75"/>
      <c r="AE128" s="75"/>
      <c r="AF128" s="75"/>
      <c r="AG128" s="75"/>
      <c r="AH128" s="75"/>
      <c r="AI128" s="75"/>
      <c r="AJ128" s="75"/>
      <c r="AK128" s="75"/>
      <c r="AL128" s="75"/>
      <c r="AM128" s="75"/>
      <c r="AN128" s="75"/>
      <c r="AO128" s="75"/>
      <c r="AP128" s="75"/>
      <c r="AQ128" s="75"/>
      <c r="AR128" s="75"/>
      <c r="AS128" s="75"/>
      <c r="AT128" s="75"/>
      <c r="AU128" s="75"/>
      <c r="AV128" s="75"/>
      <c r="AW128" s="75"/>
      <c r="AX128" s="75"/>
      <c r="AY128" s="75"/>
      <c r="AZ128" s="75"/>
      <c r="BA128" s="75"/>
      <c r="BB128" s="75"/>
      <c r="BC128" s="75"/>
      <c r="BD128" s="75"/>
      <c r="BE128" s="75"/>
      <c r="BF128" s="75"/>
      <c r="BG128" s="75"/>
      <c r="BH128" s="75"/>
      <c r="BI128" s="75"/>
      <c r="BJ128" s="75"/>
      <c r="BK128" s="75"/>
      <c r="BL128" s="75"/>
      <c r="BM128" s="75"/>
      <c r="BN128" s="75"/>
      <c r="BO128" s="75"/>
      <c r="BP128" s="75"/>
      <c r="BQ128" s="75"/>
      <c r="BR128" s="75"/>
      <c r="BS128" s="75"/>
      <c r="BT128" s="75"/>
      <c r="BU128" s="75"/>
      <c r="BV128" s="75"/>
      <c r="BW128" s="75"/>
      <c r="BX128" s="75"/>
      <c r="BY128" s="75"/>
      <c r="BZ128" s="75"/>
      <c r="CA128" s="75"/>
      <c r="CB128" s="75"/>
      <c r="CC128" s="75"/>
      <c r="CD128" s="75"/>
      <c r="CE128" s="75"/>
      <c r="CF128" s="75"/>
      <c r="CG128" s="75"/>
      <c r="CH128" s="75"/>
      <c r="CI128" s="75"/>
      <c r="CJ128" s="75"/>
      <c r="CK128" s="75"/>
      <c r="CL128" s="75"/>
      <c r="CM128" s="75"/>
      <c r="CN128" s="75"/>
      <c r="CO128" s="75"/>
      <c r="CP128" s="75"/>
      <c r="CQ128" s="75"/>
      <c r="CR128" s="75"/>
      <c r="CS128" s="75"/>
      <c r="CT128" s="75"/>
      <c r="CU128" s="75"/>
      <c r="CV128" s="75"/>
      <c r="CW128" s="75"/>
      <c r="CX128" s="75"/>
      <c r="CY128" s="75"/>
      <c r="CZ128" s="75"/>
      <c r="DA128" s="75"/>
      <c r="DB128" s="75"/>
      <c r="DC128" s="75"/>
      <c r="DD128" s="75"/>
    </row>
    <row r="129" spans="1:108">
      <c r="A129" s="75" t="s">
        <v>121</v>
      </c>
      <c r="B129" s="75" t="s">
        <v>174</v>
      </c>
      <c r="C129" s="75" t="s">
        <v>85</v>
      </c>
      <c r="D129" s="75"/>
      <c r="E129" s="75"/>
      <c r="F129" s="75"/>
      <c r="G129" s="75"/>
      <c r="H129" s="75"/>
      <c r="I129" s="75"/>
      <c r="J129" s="75"/>
      <c r="K129" s="75"/>
      <c r="L129" s="78">
        <v>22995</v>
      </c>
      <c r="M129" s="78">
        <v>22995</v>
      </c>
      <c r="N129" s="78">
        <v>27594</v>
      </c>
      <c r="O129" s="78">
        <v>27594</v>
      </c>
      <c r="P129" s="78">
        <v>27594</v>
      </c>
      <c r="Q129" s="78">
        <v>9198</v>
      </c>
      <c r="R129" s="75"/>
      <c r="S129" s="88"/>
      <c r="T129" s="78"/>
      <c r="U129" s="78"/>
      <c r="V129" s="75"/>
      <c r="W129" s="75"/>
      <c r="X129" s="75"/>
      <c r="Y129" s="75"/>
      <c r="Z129" s="75"/>
      <c r="AA129" s="75"/>
      <c r="AB129" s="75"/>
      <c r="AC129" s="75"/>
      <c r="AD129" s="75"/>
      <c r="AE129" s="75"/>
      <c r="AF129" s="75"/>
      <c r="AG129" s="75"/>
      <c r="AH129" s="75"/>
      <c r="AI129" s="75"/>
      <c r="AJ129" s="75"/>
      <c r="AK129" s="75"/>
      <c r="AL129" s="75"/>
      <c r="AM129" s="75"/>
      <c r="AN129" s="75"/>
      <c r="AO129" s="75"/>
      <c r="AP129" s="75"/>
      <c r="AQ129" s="75"/>
      <c r="AR129" s="75"/>
      <c r="AS129" s="75"/>
      <c r="AT129" s="75"/>
      <c r="AU129" s="75"/>
      <c r="AV129" s="75"/>
      <c r="AW129" s="75"/>
      <c r="AX129" s="75"/>
      <c r="AY129" s="75"/>
      <c r="AZ129" s="75"/>
      <c r="BA129" s="75"/>
      <c r="BB129" s="75"/>
      <c r="BC129" s="75"/>
      <c r="BD129" s="75"/>
      <c r="BE129" s="75"/>
      <c r="BF129" s="75"/>
      <c r="BG129" s="75"/>
      <c r="BH129" s="75"/>
      <c r="BI129" s="75"/>
      <c r="BJ129" s="75"/>
      <c r="BK129" s="75"/>
      <c r="BL129" s="75"/>
      <c r="BM129" s="75"/>
      <c r="BN129" s="75"/>
      <c r="BO129" s="75"/>
      <c r="BP129" s="75"/>
      <c r="BQ129" s="75"/>
      <c r="BR129" s="75"/>
      <c r="BS129" s="75"/>
      <c r="BT129" s="75"/>
      <c r="BU129" s="75"/>
      <c r="BV129" s="75"/>
      <c r="BW129" s="75"/>
      <c r="BX129" s="75"/>
      <c r="BY129" s="75"/>
      <c r="BZ129" s="75"/>
      <c r="CA129" s="75"/>
      <c r="CB129" s="75"/>
      <c r="CC129" s="75"/>
      <c r="CD129" s="75"/>
      <c r="CE129" s="75"/>
      <c r="CF129" s="75"/>
      <c r="CG129" s="75"/>
      <c r="CH129" s="75"/>
      <c r="CI129" s="75"/>
      <c r="CJ129" s="75"/>
      <c r="CK129" s="75"/>
      <c r="CL129" s="75"/>
      <c r="CM129" s="75"/>
      <c r="CN129" s="75"/>
      <c r="CO129" s="75"/>
      <c r="CP129" s="75"/>
      <c r="CQ129" s="75"/>
      <c r="CR129" s="75"/>
      <c r="CS129" s="75"/>
      <c r="CT129" s="75"/>
      <c r="CU129" s="75"/>
      <c r="CV129" s="75"/>
      <c r="CW129" s="75"/>
      <c r="CX129" s="75"/>
      <c r="CY129" s="75"/>
      <c r="CZ129" s="75"/>
      <c r="DA129" s="75"/>
      <c r="DB129" s="75"/>
      <c r="DC129" s="75"/>
      <c r="DD129" s="75"/>
    </row>
    <row r="130" spans="1:108">
      <c r="A130" s="75" t="s">
        <v>122</v>
      </c>
      <c r="B130" s="75" t="s">
        <v>123</v>
      </c>
      <c r="C130" s="75" t="s">
        <v>85</v>
      </c>
      <c r="D130" s="75"/>
      <c r="E130" s="75"/>
      <c r="F130" s="75"/>
      <c r="G130" s="75"/>
      <c r="H130" s="75"/>
      <c r="I130" s="75"/>
      <c r="J130" s="75"/>
      <c r="K130" s="75"/>
      <c r="L130" s="75"/>
      <c r="M130" s="78">
        <v>8963</v>
      </c>
      <c r="N130" s="78">
        <v>17926</v>
      </c>
      <c r="O130" s="78">
        <v>17926</v>
      </c>
      <c r="P130" s="78">
        <v>17926</v>
      </c>
      <c r="Q130" s="78">
        <v>17926</v>
      </c>
      <c r="R130" s="78">
        <v>8963</v>
      </c>
      <c r="S130" s="88"/>
      <c r="T130" s="78"/>
      <c r="U130" s="78"/>
      <c r="V130" s="75"/>
      <c r="W130" s="75"/>
      <c r="X130" s="75"/>
      <c r="Y130" s="75"/>
      <c r="Z130" s="75"/>
      <c r="AA130" s="75"/>
      <c r="AB130" s="75"/>
      <c r="AC130" s="75"/>
      <c r="AD130" s="75"/>
      <c r="AE130" s="75"/>
      <c r="AF130" s="75"/>
      <c r="AG130" s="75"/>
      <c r="AH130" s="75"/>
      <c r="AI130" s="75"/>
      <c r="AJ130" s="75"/>
      <c r="AK130" s="75"/>
      <c r="AL130" s="75"/>
      <c r="AM130" s="75"/>
      <c r="AN130" s="75"/>
      <c r="AO130" s="75"/>
      <c r="AP130" s="75"/>
      <c r="AQ130" s="75"/>
      <c r="AR130" s="75"/>
      <c r="AS130" s="75"/>
      <c r="AT130" s="75"/>
      <c r="AU130" s="75"/>
      <c r="AV130" s="75"/>
      <c r="AW130" s="75"/>
      <c r="AX130" s="75"/>
      <c r="AY130" s="75"/>
      <c r="AZ130" s="75"/>
      <c r="BA130" s="75"/>
      <c r="BB130" s="75"/>
      <c r="BC130" s="75"/>
      <c r="BD130" s="75"/>
      <c r="BE130" s="75"/>
      <c r="BF130" s="75"/>
      <c r="BG130" s="75"/>
      <c r="BH130" s="75"/>
      <c r="BI130" s="75"/>
      <c r="BJ130" s="75"/>
      <c r="BK130" s="75"/>
      <c r="BL130" s="75"/>
      <c r="BM130" s="75"/>
      <c r="BN130" s="75"/>
      <c r="BO130" s="75"/>
      <c r="BP130" s="75"/>
      <c r="BQ130" s="75"/>
      <c r="BR130" s="75"/>
      <c r="BS130" s="75"/>
      <c r="BT130" s="75"/>
      <c r="BU130" s="75"/>
      <c r="BV130" s="75"/>
      <c r="BW130" s="75"/>
      <c r="BX130" s="75"/>
      <c r="BY130" s="75"/>
      <c r="BZ130" s="75"/>
      <c r="CA130" s="75"/>
      <c r="CB130" s="75"/>
      <c r="CC130" s="75"/>
      <c r="CD130" s="75"/>
      <c r="CE130" s="75"/>
      <c r="CF130" s="75"/>
      <c r="CG130" s="75"/>
      <c r="CH130" s="75"/>
      <c r="CI130" s="75"/>
      <c r="CJ130" s="75"/>
      <c r="CK130" s="75"/>
      <c r="CL130" s="75"/>
      <c r="CM130" s="75"/>
      <c r="CN130" s="75"/>
      <c r="CO130" s="75"/>
      <c r="CP130" s="75"/>
      <c r="CQ130" s="75"/>
      <c r="CR130" s="75"/>
      <c r="CS130" s="75"/>
      <c r="CT130" s="75"/>
      <c r="CU130" s="75"/>
      <c r="CV130" s="75"/>
      <c r="CW130" s="75"/>
      <c r="CX130" s="75"/>
      <c r="CY130" s="75"/>
      <c r="CZ130" s="75"/>
      <c r="DA130" s="75"/>
      <c r="DB130" s="75"/>
      <c r="DC130" s="75"/>
      <c r="DD130" s="75"/>
    </row>
    <row r="131" spans="1:108">
      <c r="A131" s="75" t="s">
        <v>175</v>
      </c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88">
        <v>37985</v>
      </c>
      <c r="T131" s="78">
        <v>79291</v>
      </c>
      <c r="U131" s="78">
        <v>80221</v>
      </c>
      <c r="V131" s="78">
        <v>196156</v>
      </c>
      <c r="W131" s="75"/>
      <c r="X131" s="75"/>
      <c r="Y131" s="75"/>
      <c r="Z131" s="75"/>
      <c r="AA131" s="75"/>
      <c r="AB131" s="75"/>
      <c r="AC131" s="75"/>
      <c r="AD131" s="75"/>
      <c r="AE131" s="75"/>
      <c r="AF131" s="75"/>
      <c r="AG131" s="75"/>
      <c r="AH131" s="75"/>
      <c r="AI131" s="75"/>
      <c r="AJ131" s="75"/>
      <c r="AK131" s="75"/>
      <c r="AL131" s="75"/>
      <c r="AM131" s="75"/>
      <c r="AN131" s="75"/>
      <c r="AO131" s="75"/>
      <c r="AP131" s="75"/>
      <c r="AQ131" s="75"/>
      <c r="AR131" s="75"/>
      <c r="AS131" s="75"/>
      <c r="AT131" s="75"/>
      <c r="AU131" s="75"/>
      <c r="AV131" s="75"/>
      <c r="AW131" s="75"/>
      <c r="AX131" s="75"/>
      <c r="AY131" s="75"/>
      <c r="AZ131" s="75"/>
      <c r="BA131" s="75"/>
      <c r="BB131" s="75"/>
      <c r="BC131" s="75"/>
      <c r="BD131" s="75"/>
      <c r="BE131" s="75"/>
      <c r="BF131" s="75"/>
      <c r="BG131" s="75"/>
      <c r="BH131" s="75"/>
      <c r="BI131" s="75"/>
      <c r="BJ131" s="75"/>
      <c r="BK131" s="75"/>
      <c r="BL131" s="75"/>
      <c r="BM131" s="75"/>
      <c r="BN131" s="75"/>
      <c r="BO131" s="75"/>
      <c r="BP131" s="75"/>
      <c r="BQ131" s="75"/>
      <c r="BR131" s="75"/>
      <c r="BS131" s="75"/>
      <c r="BT131" s="75"/>
      <c r="BU131" s="75"/>
      <c r="BV131" s="75"/>
      <c r="BW131" s="75"/>
      <c r="BX131" s="75"/>
      <c r="BY131" s="75"/>
      <c r="BZ131" s="75"/>
      <c r="CA131" s="75"/>
      <c r="CB131" s="75"/>
      <c r="CC131" s="75"/>
      <c r="CD131" s="75"/>
      <c r="CE131" s="75"/>
      <c r="CF131" s="75"/>
      <c r="CG131" s="75"/>
      <c r="CH131" s="75"/>
      <c r="CI131" s="75"/>
      <c r="CJ131" s="75"/>
      <c r="CK131" s="75"/>
      <c r="CL131" s="75"/>
      <c r="CM131" s="75"/>
      <c r="CN131" s="75"/>
      <c r="CO131" s="75"/>
      <c r="CP131" s="75"/>
      <c r="CQ131" s="75"/>
      <c r="CR131" s="75"/>
      <c r="CS131" s="75"/>
      <c r="CT131" s="75"/>
      <c r="CU131" s="75"/>
      <c r="CV131" s="75"/>
      <c r="CW131" s="75"/>
      <c r="CX131" s="75"/>
      <c r="CY131" s="75"/>
      <c r="CZ131" s="75"/>
      <c r="DA131" s="75"/>
      <c r="DB131" s="75"/>
      <c r="DC131" s="75"/>
      <c r="DD131" s="75"/>
    </row>
    <row r="132" spans="1:108">
      <c r="A132" s="75" t="s">
        <v>176</v>
      </c>
      <c r="B132" s="75" t="s">
        <v>158</v>
      </c>
      <c r="C132" s="75" t="s">
        <v>177</v>
      </c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89"/>
      <c r="T132" s="75"/>
      <c r="U132" s="75"/>
      <c r="V132" s="78"/>
      <c r="W132" s="75"/>
      <c r="X132" s="75"/>
      <c r="Y132" s="75"/>
      <c r="Z132" s="75"/>
      <c r="AA132" s="75"/>
      <c r="AB132" s="75"/>
      <c r="AC132" s="75"/>
      <c r="AD132" s="75"/>
      <c r="AE132" s="75"/>
      <c r="AF132" s="75"/>
      <c r="AG132" s="75"/>
      <c r="AH132" s="75"/>
      <c r="AI132" s="75"/>
      <c r="AJ132" s="75"/>
      <c r="AK132" s="75"/>
      <c r="AL132" s="75"/>
      <c r="AM132" s="75"/>
      <c r="AN132" s="75"/>
      <c r="AO132" s="75"/>
      <c r="AP132" s="75"/>
      <c r="AQ132" s="75"/>
      <c r="AR132" s="75"/>
      <c r="AS132" s="75"/>
      <c r="AT132" s="75"/>
      <c r="AU132" s="75"/>
      <c r="AV132" s="75"/>
      <c r="AW132" s="75"/>
      <c r="AX132" s="75"/>
      <c r="AY132" s="75"/>
      <c r="AZ132" s="75"/>
      <c r="BA132" s="75"/>
      <c r="BB132" s="75"/>
      <c r="BC132" s="75"/>
      <c r="BD132" s="75"/>
      <c r="BE132" s="75"/>
      <c r="BF132" s="75"/>
      <c r="BG132" s="75"/>
      <c r="BH132" s="75"/>
      <c r="BI132" s="75"/>
      <c r="BJ132" s="75"/>
      <c r="BK132" s="75"/>
      <c r="BL132" s="75"/>
      <c r="BM132" s="75"/>
      <c r="BN132" s="75"/>
      <c r="BO132" s="75"/>
      <c r="BP132" s="75"/>
      <c r="BQ132" s="75"/>
      <c r="BR132" s="75"/>
      <c r="BS132" s="75"/>
      <c r="BT132" s="75"/>
      <c r="BU132" s="75"/>
      <c r="BV132" s="75"/>
      <c r="BW132" s="75"/>
      <c r="BX132" s="75"/>
      <c r="BY132" s="75"/>
      <c r="BZ132" s="75"/>
      <c r="CA132" s="75"/>
      <c r="CB132" s="75"/>
      <c r="CC132" s="75"/>
      <c r="CD132" s="75"/>
      <c r="CE132" s="75"/>
      <c r="CF132" s="75"/>
      <c r="CG132" s="75"/>
      <c r="CH132" s="75"/>
      <c r="CI132" s="75"/>
      <c r="CJ132" s="75"/>
      <c r="CK132" s="75"/>
      <c r="CL132" s="75"/>
      <c r="CM132" s="75"/>
      <c r="CN132" s="75"/>
      <c r="CO132" s="75"/>
      <c r="CP132" s="75"/>
      <c r="CQ132" s="75"/>
      <c r="CR132" s="75"/>
      <c r="CS132" s="75"/>
      <c r="CT132" s="75"/>
      <c r="CU132" s="75"/>
      <c r="CV132" s="75"/>
      <c r="CW132" s="75"/>
      <c r="CX132" s="75"/>
      <c r="CY132" s="75"/>
      <c r="CZ132" s="75"/>
      <c r="DA132" s="75"/>
      <c r="DB132" s="75"/>
      <c r="DC132" s="75"/>
      <c r="DD132" s="75"/>
    </row>
    <row r="133" spans="1:108">
      <c r="A133" s="75" t="s">
        <v>176</v>
      </c>
      <c r="B133" s="75" t="s">
        <v>158</v>
      </c>
      <c r="C133" s="75" t="s">
        <v>85</v>
      </c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88">
        <v>27483</v>
      </c>
      <c r="T133" s="78">
        <v>9161</v>
      </c>
      <c r="U133" s="75"/>
      <c r="V133" s="75"/>
      <c r="W133" s="75"/>
      <c r="X133" s="75"/>
      <c r="Y133" s="75"/>
      <c r="Z133" s="75"/>
      <c r="AA133" s="75"/>
      <c r="AB133" s="75"/>
      <c r="AC133" s="75"/>
      <c r="AD133" s="75"/>
      <c r="AE133" s="75"/>
      <c r="AF133" s="75"/>
      <c r="AG133" s="75"/>
      <c r="AH133" s="75"/>
      <c r="AI133" s="75"/>
      <c r="AJ133" s="75"/>
      <c r="AK133" s="75"/>
      <c r="AL133" s="75"/>
      <c r="AM133" s="75"/>
      <c r="AN133" s="75"/>
      <c r="AO133" s="75"/>
      <c r="AP133" s="75"/>
      <c r="AQ133" s="75"/>
      <c r="AR133" s="75"/>
      <c r="AS133" s="75"/>
      <c r="AT133" s="75"/>
      <c r="AU133" s="75"/>
      <c r="AV133" s="75"/>
      <c r="AW133" s="75"/>
      <c r="AX133" s="75"/>
      <c r="AY133" s="75"/>
      <c r="AZ133" s="75"/>
      <c r="BA133" s="75"/>
      <c r="BB133" s="75"/>
      <c r="BC133" s="75"/>
      <c r="BD133" s="75"/>
      <c r="BE133" s="75"/>
      <c r="BF133" s="75"/>
      <c r="BG133" s="75"/>
      <c r="BH133" s="75"/>
      <c r="BI133" s="75"/>
      <c r="BJ133" s="75"/>
      <c r="BK133" s="75"/>
      <c r="BL133" s="75"/>
      <c r="BM133" s="75"/>
      <c r="BN133" s="75"/>
      <c r="BO133" s="75"/>
      <c r="BP133" s="75"/>
      <c r="BQ133" s="75"/>
      <c r="BR133" s="75"/>
      <c r="BS133" s="75"/>
      <c r="BT133" s="75"/>
      <c r="BU133" s="75"/>
      <c r="BV133" s="75"/>
      <c r="BW133" s="75"/>
      <c r="BX133" s="75"/>
      <c r="BY133" s="75"/>
      <c r="BZ133" s="75"/>
      <c r="CA133" s="75"/>
      <c r="CB133" s="75"/>
      <c r="CC133" s="75"/>
      <c r="CD133" s="75"/>
      <c r="CE133" s="75"/>
      <c r="CF133" s="75"/>
      <c r="CG133" s="75"/>
      <c r="CH133" s="75"/>
      <c r="CI133" s="75"/>
      <c r="CJ133" s="75"/>
      <c r="CK133" s="75"/>
      <c r="CL133" s="75"/>
      <c r="CM133" s="75"/>
      <c r="CN133" s="75"/>
      <c r="CO133" s="75"/>
      <c r="CP133" s="75"/>
      <c r="CQ133" s="75"/>
      <c r="CR133" s="75"/>
      <c r="CS133" s="75"/>
      <c r="CT133" s="75"/>
      <c r="CU133" s="75"/>
      <c r="CV133" s="75"/>
      <c r="CW133" s="75"/>
      <c r="CX133" s="75"/>
      <c r="CY133" s="75"/>
      <c r="CZ133" s="75"/>
      <c r="DA133" s="75"/>
      <c r="DB133" s="75"/>
      <c r="DC133" s="75"/>
      <c r="DD133" s="75"/>
    </row>
    <row r="134" spans="1:108">
      <c r="A134" s="75" t="s">
        <v>178</v>
      </c>
      <c r="B134" s="75" t="s">
        <v>159</v>
      </c>
      <c r="C134" s="75" t="s">
        <v>85</v>
      </c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89"/>
      <c r="T134" s="78">
        <v>25240</v>
      </c>
      <c r="U134" s="78">
        <v>30288</v>
      </c>
      <c r="V134" s="75"/>
      <c r="W134" s="75"/>
      <c r="X134" s="75"/>
      <c r="Y134" s="75"/>
      <c r="Z134" s="75"/>
      <c r="AA134" s="75"/>
      <c r="AB134" s="75"/>
      <c r="AC134" s="75"/>
      <c r="AD134" s="75"/>
      <c r="AE134" s="75"/>
      <c r="AF134" s="75"/>
      <c r="AG134" s="75"/>
      <c r="AH134" s="75"/>
      <c r="AI134" s="75"/>
      <c r="AJ134" s="75"/>
      <c r="AK134" s="75"/>
      <c r="AL134" s="75"/>
      <c r="AM134" s="75"/>
      <c r="AN134" s="75"/>
      <c r="AO134" s="75"/>
      <c r="AP134" s="75"/>
      <c r="AQ134" s="75"/>
      <c r="AR134" s="75"/>
      <c r="AS134" s="75"/>
      <c r="AT134" s="75"/>
      <c r="AU134" s="75"/>
      <c r="AV134" s="75"/>
      <c r="AW134" s="75"/>
      <c r="AX134" s="75"/>
      <c r="AY134" s="75"/>
      <c r="AZ134" s="75"/>
      <c r="BA134" s="75"/>
      <c r="BB134" s="75"/>
      <c r="BC134" s="75"/>
      <c r="BD134" s="75"/>
      <c r="BE134" s="75"/>
      <c r="BF134" s="75"/>
      <c r="BG134" s="75"/>
      <c r="BH134" s="75"/>
      <c r="BI134" s="75"/>
      <c r="BJ134" s="75"/>
      <c r="BK134" s="75"/>
      <c r="BL134" s="75"/>
      <c r="BM134" s="75"/>
      <c r="BN134" s="75"/>
      <c r="BO134" s="75"/>
      <c r="BP134" s="75"/>
      <c r="BQ134" s="75"/>
      <c r="BR134" s="75"/>
      <c r="BS134" s="75"/>
      <c r="BT134" s="75"/>
      <c r="BU134" s="75"/>
      <c r="BV134" s="75"/>
      <c r="BW134" s="75"/>
      <c r="BX134" s="75"/>
      <c r="BY134" s="75"/>
      <c r="BZ134" s="75"/>
      <c r="CA134" s="75"/>
      <c r="CB134" s="75"/>
      <c r="CC134" s="75"/>
      <c r="CD134" s="75"/>
      <c r="CE134" s="75"/>
      <c r="CF134" s="75"/>
      <c r="CG134" s="75"/>
      <c r="CH134" s="75"/>
      <c r="CI134" s="75"/>
      <c r="CJ134" s="75"/>
      <c r="CK134" s="75"/>
      <c r="CL134" s="75"/>
      <c r="CM134" s="75"/>
      <c r="CN134" s="75"/>
      <c r="CO134" s="75"/>
      <c r="CP134" s="75"/>
      <c r="CQ134" s="75"/>
      <c r="CR134" s="75"/>
      <c r="CS134" s="75"/>
      <c r="CT134" s="75"/>
      <c r="CU134" s="75"/>
      <c r="CV134" s="75"/>
      <c r="CW134" s="75"/>
      <c r="CX134" s="75"/>
      <c r="CY134" s="75"/>
      <c r="CZ134" s="75"/>
      <c r="DA134" s="75"/>
      <c r="DB134" s="75"/>
      <c r="DC134" s="75"/>
      <c r="DD134" s="75"/>
    </row>
    <row r="135" spans="1:108">
      <c r="A135" s="75" t="s">
        <v>178</v>
      </c>
      <c r="B135" s="75" t="s">
        <v>159</v>
      </c>
      <c r="C135" s="75" t="s">
        <v>85</v>
      </c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89"/>
      <c r="T135" s="78">
        <v>1120</v>
      </c>
      <c r="U135" s="78">
        <v>1344</v>
      </c>
      <c r="V135" s="75"/>
      <c r="W135" s="75"/>
      <c r="X135" s="75"/>
      <c r="Y135" s="75"/>
      <c r="Z135" s="75"/>
      <c r="AA135" s="75"/>
      <c r="AB135" s="75"/>
      <c r="AC135" s="75"/>
      <c r="AD135" s="75"/>
      <c r="AE135" s="75"/>
      <c r="AF135" s="75"/>
      <c r="AG135" s="75"/>
      <c r="AH135" s="75"/>
      <c r="AI135" s="75"/>
      <c r="AJ135" s="75"/>
      <c r="AK135" s="75"/>
      <c r="AL135" s="75"/>
      <c r="AM135" s="75"/>
      <c r="AN135" s="75"/>
      <c r="AO135" s="75"/>
      <c r="AP135" s="75"/>
      <c r="AQ135" s="75"/>
      <c r="AR135" s="75"/>
      <c r="AS135" s="75"/>
      <c r="AT135" s="75"/>
      <c r="AU135" s="75"/>
      <c r="AV135" s="75"/>
      <c r="AW135" s="75"/>
      <c r="AX135" s="75"/>
      <c r="AY135" s="75"/>
      <c r="AZ135" s="75"/>
      <c r="BA135" s="75"/>
      <c r="BB135" s="75"/>
      <c r="BC135" s="75"/>
      <c r="BD135" s="75"/>
      <c r="BE135" s="75"/>
      <c r="BF135" s="75"/>
      <c r="BG135" s="75"/>
      <c r="BH135" s="75"/>
      <c r="BI135" s="75"/>
      <c r="BJ135" s="75"/>
      <c r="BK135" s="75"/>
      <c r="BL135" s="75"/>
      <c r="BM135" s="75"/>
      <c r="BN135" s="75"/>
      <c r="BO135" s="75"/>
      <c r="BP135" s="75"/>
      <c r="BQ135" s="75"/>
      <c r="BR135" s="75"/>
      <c r="BS135" s="75"/>
      <c r="BT135" s="75"/>
      <c r="BU135" s="75"/>
      <c r="BV135" s="75"/>
      <c r="BW135" s="75"/>
      <c r="BX135" s="75"/>
      <c r="BY135" s="75"/>
      <c r="BZ135" s="75"/>
      <c r="CA135" s="75"/>
      <c r="CB135" s="75"/>
      <c r="CC135" s="75"/>
      <c r="CD135" s="75"/>
      <c r="CE135" s="75"/>
      <c r="CF135" s="75"/>
      <c r="CG135" s="75"/>
      <c r="CH135" s="75"/>
      <c r="CI135" s="75"/>
      <c r="CJ135" s="75"/>
      <c r="CK135" s="75"/>
      <c r="CL135" s="75"/>
      <c r="CM135" s="75"/>
      <c r="CN135" s="75"/>
      <c r="CO135" s="75"/>
      <c r="CP135" s="75"/>
      <c r="CQ135" s="75"/>
      <c r="CR135" s="75"/>
      <c r="CS135" s="75"/>
      <c r="CT135" s="75"/>
      <c r="CU135" s="75"/>
      <c r="CV135" s="75"/>
      <c r="CW135" s="75"/>
      <c r="CX135" s="75"/>
      <c r="CY135" s="75"/>
      <c r="CZ135" s="75"/>
      <c r="DA135" s="75"/>
      <c r="DB135" s="75"/>
      <c r="DC135" s="75"/>
      <c r="DD135" s="75"/>
    </row>
    <row r="136" spans="1:108">
      <c r="A136" s="75" t="s">
        <v>179</v>
      </c>
      <c r="B136" s="75" t="s">
        <v>157</v>
      </c>
      <c r="C136" s="75" t="s">
        <v>85</v>
      </c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89"/>
      <c r="T136" s="75">
        <v>713</v>
      </c>
      <c r="U136" s="78">
        <v>1069</v>
      </c>
      <c r="V136" s="75">
        <v>356</v>
      </c>
      <c r="W136" s="75"/>
      <c r="X136" s="75"/>
      <c r="Y136" s="75"/>
      <c r="Z136" s="75"/>
      <c r="AA136" s="75"/>
      <c r="AB136" s="75"/>
      <c r="AC136" s="75"/>
      <c r="AD136" s="75"/>
      <c r="AE136" s="75"/>
      <c r="AF136" s="75"/>
      <c r="AG136" s="75"/>
      <c r="AH136" s="75"/>
      <c r="AI136" s="75"/>
      <c r="AJ136" s="75"/>
      <c r="AK136" s="75"/>
      <c r="AL136" s="75"/>
      <c r="AM136" s="75"/>
      <c r="AN136" s="75"/>
      <c r="AO136" s="75"/>
      <c r="AP136" s="75"/>
      <c r="AQ136" s="75"/>
      <c r="AR136" s="75"/>
      <c r="AS136" s="75"/>
      <c r="AT136" s="75"/>
      <c r="AU136" s="75"/>
      <c r="AV136" s="75"/>
      <c r="AW136" s="75"/>
      <c r="AX136" s="75"/>
      <c r="AY136" s="75"/>
      <c r="AZ136" s="75"/>
      <c r="BA136" s="75"/>
      <c r="BB136" s="75"/>
      <c r="BC136" s="75"/>
      <c r="BD136" s="75"/>
      <c r="BE136" s="75"/>
      <c r="BF136" s="75"/>
      <c r="BG136" s="75"/>
      <c r="BH136" s="75"/>
      <c r="BI136" s="75"/>
      <c r="BJ136" s="75"/>
      <c r="BK136" s="75"/>
      <c r="BL136" s="75"/>
      <c r="BM136" s="75"/>
      <c r="BN136" s="75"/>
      <c r="BO136" s="75"/>
      <c r="BP136" s="75"/>
      <c r="BQ136" s="75"/>
      <c r="BR136" s="75"/>
      <c r="BS136" s="75"/>
      <c r="BT136" s="75"/>
      <c r="BU136" s="75"/>
      <c r="BV136" s="75"/>
      <c r="BW136" s="75"/>
      <c r="BX136" s="75"/>
      <c r="BY136" s="75"/>
      <c r="BZ136" s="75"/>
      <c r="CA136" s="75"/>
      <c r="CB136" s="75"/>
      <c r="CC136" s="75"/>
      <c r="CD136" s="75"/>
      <c r="CE136" s="75"/>
      <c r="CF136" s="75"/>
      <c r="CG136" s="75"/>
      <c r="CH136" s="75"/>
      <c r="CI136" s="75"/>
      <c r="CJ136" s="75"/>
      <c r="CK136" s="75"/>
      <c r="CL136" s="75"/>
      <c r="CM136" s="75"/>
      <c r="CN136" s="75"/>
      <c r="CO136" s="75"/>
      <c r="CP136" s="75"/>
      <c r="CQ136" s="75"/>
      <c r="CR136" s="75"/>
      <c r="CS136" s="75"/>
      <c r="CT136" s="75"/>
      <c r="CU136" s="75"/>
      <c r="CV136" s="75"/>
      <c r="CW136" s="75"/>
      <c r="CX136" s="75"/>
      <c r="CY136" s="75"/>
      <c r="CZ136" s="75"/>
      <c r="DA136" s="75"/>
      <c r="DB136" s="75"/>
      <c r="DC136" s="75"/>
      <c r="DD136" s="75"/>
    </row>
    <row r="137" spans="1:108">
      <c r="A137" s="75" t="s">
        <v>179</v>
      </c>
      <c r="B137" s="75" t="s">
        <v>157</v>
      </c>
      <c r="C137" s="75" t="s">
        <v>85</v>
      </c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89"/>
      <c r="T137" s="78">
        <v>31680</v>
      </c>
      <c r="U137" s="78">
        <v>47520</v>
      </c>
      <c r="V137" s="78">
        <v>15840</v>
      </c>
      <c r="W137" s="75"/>
      <c r="X137" s="75"/>
      <c r="Y137" s="75"/>
      <c r="Z137" s="75"/>
      <c r="AA137" s="75"/>
      <c r="AB137" s="75"/>
      <c r="AC137" s="75"/>
      <c r="AD137" s="75"/>
      <c r="AE137" s="75"/>
      <c r="AF137" s="75"/>
      <c r="AG137" s="75"/>
      <c r="AH137" s="75"/>
      <c r="AI137" s="75"/>
      <c r="AJ137" s="75"/>
      <c r="AK137" s="75"/>
      <c r="AL137" s="75"/>
      <c r="AM137" s="75"/>
      <c r="AN137" s="75"/>
      <c r="AO137" s="75"/>
      <c r="AP137" s="75"/>
      <c r="AQ137" s="75"/>
      <c r="AR137" s="75"/>
      <c r="AS137" s="75"/>
      <c r="AT137" s="75"/>
      <c r="AU137" s="75"/>
      <c r="AV137" s="75"/>
      <c r="AW137" s="75"/>
      <c r="AX137" s="75"/>
      <c r="AY137" s="75"/>
      <c r="AZ137" s="75"/>
      <c r="BA137" s="75"/>
      <c r="BB137" s="75"/>
      <c r="BC137" s="75"/>
      <c r="BD137" s="75"/>
      <c r="BE137" s="75"/>
      <c r="BF137" s="75"/>
      <c r="BG137" s="75"/>
      <c r="BH137" s="75"/>
      <c r="BI137" s="75"/>
      <c r="BJ137" s="75"/>
      <c r="BK137" s="75"/>
      <c r="BL137" s="75"/>
      <c r="BM137" s="75"/>
      <c r="BN137" s="75"/>
      <c r="BO137" s="75"/>
      <c r="BP137" s="75"/>
      <c r="BQ137" s="75"/>
      <c r="BR137" s="75"/>
      <c r="BS137" s="75"/>
      <c r="BT137" s="75"/>
      <c r="BU137" s="75"/>
      <c r="BV137" s="75"/>
      <c r="BW137" s="75"/>
      <c r="BX137" s="75"/>
      <c r="BY137" s="75"/>
      <c r="BZ137" s="75"/>
      <c r="CA137" s="75"/>
      <c r="CB137" s="75"/>
      <c r="CC137" s="75"/>
      <c r="CD137" s="75"/>
      <c r="CE137" s="75"/>
      <c r="CF137" s="75"/>
      <c r="CG137" s="75"/>
      <c r="CH137" s="75"/>
      <c r="CI137" s="75"/>
      <c r="CJ137" s="75"/>
      <c r="CK137" s="75"/>
      <c r="CL137" s="75"/>
      <c r="CM137" s="75"/>
      <c r="CN137" s="75"/>
      <c r="CO137" s="75"/>
      <c r="CP137" s="75"/>
      <c r="CQ137" s="75"/>
      <c r="CR137" s="75"/>
      <c r="CS137" s="75"/>
      <c r="CT137" s="75"/>
      <c r="CU137" s="75"/>
      <c r="CV137" s="75"/>
      <c r="CW137" s="75"/>
      <c r="CX137" s="75"/>
      <c r="CY137" s="75"/>
      <c r="CZ137" s="75"/>
      <c r="DA137" s="75"/>
      <c r="DB137" s="75"/>
      <c r="DC137" s="75"/>
      <c r="DD137" s="75"/>
    </row>
    <row r="138" spans="1:108">
      <c r="A138" s="75" t="s">
        <v>180</v>
      </c>
      <c r="B138" s="75" t="s">
        <v>156</v>
      </c>
      <c r="C138" s="75" t="s">
        <v>85</v>
      </c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89"/>
      <c r="T138" s="75"/>
      <c r="U138" s="75"/>
      <c r="V138" s="78">
        <v>176000</v>
      </c>
      <c r="W138" s="75"/>
      <c r="X138" s="75"/>
      <c r="Y138" s="75"/>
      <c r="Z138" s="75"/>
      <c r="AA138" s="75"/>
      <c r="AB138" s="75"/>
      <c r="AC138" s="75"/>
      <c r="AD138" s="75"/>
      <c r="AE138" s="75"/>
      <c r="AF138" s="75"/>
      <c r="AG138" s="75"/>
      <c r="AH138" s="75"/>
      <c r="AI138" s="75"/>
      <c r="AJ138" s="75"/>
      <c r="AK138" s="75"/>
      <c r="AL138" s="75"/>
      <c r="AM138" s="75"/>
      <c r="AN138" s="75"/>
      <c r="AO138" s="75"/>
      <c r="AP138" s="75"/>
      <c r="AQ138" s="75"/>
      <c r="AR138" s="75"/>
      <c r="AS138" s="75"/>
      <c r="AT138" s="75"/>
      <c r="AU138" s="75"/>
      <c r="AV138" s="75"/>
      <c r="AW138" s="75"/>
      <c r="AX138" s="75"/>
      <c r="AY138" s="75"/>
      <c r="AZ138" s="75"/>
      <c r="BA138" s="75"/>
      <c r="BB138" s="75"/>
      <c r="BC138" s="75"/>
      <c r="BD138" s="75"/>
      <c r="BE138" s="75"/>
      <c r="BF138" s="75"/>
      <c r="BG138" s="75"/>
      <c r="BH138" s="75"/>
      <c r="BI138" s="75"/>
      <c r="BJ138" s="75"/>
      <c r="BK138" s="75"/>
      <c r="BL138" s="75"/>
      <c r="BM138" s="75"/>
      <c r="BN138" s="75"/>
      <c r="BO138" s="75"/>
      <c r="BP138" s="75"/>
      <c r="BQ138" s="75"/>
      <c r="BR138" s="75"/>
      <c r="BS138" s="75"/>
      <c r="BT138" s="75"/>
      <c r="BU138" s="75"/>
      <c r="BV138" s="75"/>
      <c r="BW138" s="75"/>
      <c r="BX138" s="75"/>
      <c r="BY138" s="75"/>
      <c r="BZ138" s="75"/>
      <c r="CA138" s="75"/>
      <c r="CB138" s="75"/>
      <c r="CC138" s="75"/>
      <c r="CD138" s="75"/>
      <c r="CE138" s="75"/>
      <c r="CF138" s="75"/>
      <c r="CG138" s="75"/>
      <c r="CH138" s="75"/>
      <c r="CI138" s="75"/>
      <c r="CJ138" s="75"/>
      <c r="CK138" s="75"/>
      <c r="CL138" s="75"/>
      <c r="CM138" s="75"/>
      <c r="CN138" s="75"/>
      <c r="CO138" s="75"/>
      <c r="CP138" s="75"/>
      <c r="CQ138" s="75"/>
      <c r="CR138" s="75"/>
      <c r="CS138" s="75"/>
      <c r="CT138" s="75"/>
      <c r="CU138" s="75"/>
      <c r="CV138" s="75"/>
      <c r="CW138" s="75"/>
      <c r="CX138" s="75"/>
      <c r="CY138" s="75"/>
      <c r="CZ138" s="75"/>
      <c r="DA138" s="75"/>
      <c r="DB138" s="75"/>
      <c r="DC138" s="75"/>
      <c r="DD138" s="75"/>
    </row>
    <row r="139" spans="1:108">
      <c r="A139" s="75" t="s">
        <v>180</v>
      </c>
      <c r="B139" s="75" t="s">
        <v>156</v>
      </c>
      <c r="C139" s="75" t="s">
        <v>85</v>
      </c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89"/>
      <c r="T139" s="75"/>
      <c r="U139" s="75"/>
      <c r="V139" s="78">
        <v>3960</v>
      </c>
      <c r="W139" s="75"/>
      <c r="X139" s="75"/>
      <c r="Y139" s="75"/>
      <c r="Z139" s="75"/>
      <c r="AA139" s="75"/>
      <c r="AB139" s="75"/>
      <c r="AC139" s="75"/>
      <c r="AD139" s="75"/>
      <c r="AE139" s="75"/>
      <c r="AF139" s="75"/>
      <c r="AG139" s="75"/>
      <c r="AH139" s="75"/>
      <c r="AI139" s="75"/>
      <c r="AJ139" s="75"/>
      <c r="AK139" s="75"/>
      <c r="AL139" s="75"/>
      <c r="AM139" s="75"/>
      <c r="AN139" s="75"/>
      <c r="AO139" s="75"/>
      <c r="AP139" s="75"/>
      <c r="AQ139" s="75"/>
      <c r="AR139" s="75"/>
      <c r="AS139" s="75"/>
      <c r="AT139" s="75"/>
      <c r="AU139" s="75"/>
      <c r="AV139" s="75"/>
      <c r="AW139" s="75"/>
      <c r="AX139" s="75"/>
      <c r="AY139" s="75"/>
      <c r="AZ139" s="75"/>
      <c r="BA139" s="75"/>
      <c r="BB139" s="75"/>
      <c r="BC139" s="75"/>
      <c r="BD139" s="75"/>
      <c r="BE139" s="75"/>
      <c r="BF139" s="75"/>
      <c r="BG139" s="75"/>
      <c r="BH139" s="75"/>
      <c r="BI139" s="75"/>
      <c r="BJ139" s="75"/>
      <c r="BK139" s="75"/>
      <c r="BL139" s="75"/>
      <c r="BM139" s="75"/>
      <c r="BN139" s="75"/>
      <c r="BO139" s="75"/>
      <c r="BP139" s="75"/>
      <c r="BQ139" s="75"/>
      <c r="BR139" s="75"/>
      <c r="BS139" s="75"/>
      <c r="BT139" s="75"/>
      <c r="BU139" s="75"/>
      <c r="BV139" s="75"/>
      <c r="BW139" s="75"/>
      <c r="BX139" s="75"/>
      <c r="BY139" s="75"/>
      <c r="BZ139" s="75"/>
      <c r="CA139" s="75"/>
      <c r="CB139" s="75"/>
      <c r="CC139" s="75"/>
      <c r="CD139" s="75"/>
      <c r="CE139" s="75"/>
      <c r="CF139" s="75"/>
      <c r="CG139" s="75"/>
      <c r="CH139" s="75"/>
      <c r="CI139" s="75"/>
      <c r="CJ139" s="75"/>
      <c r="CK139" s="75"/>
      <c r="CL139" s="75"/>
      <c r="CM139" s="75"/>
      <c r="CN139" s="75"/>
      <c r="CO139" s="75"/>
      <c r="CP139" s="75"/>
      <c r="CQ139" s="75"/>
      <c r="CR139" s="75"/>
      <c r="CS139" s="75"/>
      <c r="CT139" s="75"/>
      <c r="CU139" s="75"/>
      <c r="CV139" s="75"/>
      <c r="CW139" s="75"/>
      <c r="CX139" s="75"/>
      <c r="CY139" s="75"/>
      <c r="CZ139" s="75"/>
      <c r="DA139" s="75"/>
      <c r="DB139" s="75"/>
      <c r="DC139" s="75"/>
      <c r="DD139" s="75"/>
    </row>
    <row r="140" spans="1:108">
      <c r="A140" s="75" t="s">
        <v>181</v>
      </c>
      <c r="B140" s="75" t="s">
        <v>182</v>
      </c>
      <c r="C140" s="75" t="s">
        <v>85</v>
      </c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88">
        <v>10502</v>
      </c>
      <c r="T140" s="78">
        <v>7001</v>
      </c>
      <c r="U140" s="75"/>
      <c r="V140" s="75"/>
      <c r="W140" s="75"/>
      <c r="X140" s="75"/>
      <c r="Y140" s="75"/>
      <c r="Z140" s="75"/>
      <c r="AA140" s="75"/>
      <c r="AB140" s="75"/>
      <c r="AC140" s="75"/>
      <c r="AD140" s="75"/>
      <c r="AE140" s="75"/>
      <c r="AF140" s="75"/>
      <c r="AG140" s="75"/>
      <c r="AH140" s="75"/>
      <c r="AI140" s="75"/>
      <c r="AJ140" s="75"/>
      <c r="AK140" s="75"/>
      <c r="AL140" s="75"/>
      <c r="AM140" s="75"/>
      <c r="AN140" s="75"/>
      <c r="AO140" s="75"/>
      <c r="AP140" s="75"/>
      <c r="AQ140" s="75"/>
      <c r="AR140" s="75"/>
      <c r="AS140" s="75"/>
      <c r="AT140" s="75"/>
      <c r="AU140" s="75"/>
      <c r="AV140" s="75"/>
      <c r="AW140" s="75"/>
      <c r="AX140" s="75"/>
      <c r="AY140" s="75"/>
      <c r="AZ140" s="75"/>
      <c r="BA140" s="75"/>
      <c r="BB140" s="75"/>
      <c r="BC140" s="75"/>
      <c r="BD140" s="75"/>
      <c r="BE140" s="75"/>
      <c r="BF140" s="75"/>
      <c r="BG140" s="75"/>
      <c r="BH140" s="75"/>
      <c r="BI140" s="75"/>
      <c r="BJ140" s="75"/>
      <c r="BK140" s="75"/>
      <c r="BL140" s="75"/>
      <c r="BM140" s="75"/>
      <c r="BN140" s="75"/>
      <c r="BO140" s="75"/>
      <c r="BP140" s="75"/>
      <c r="BQ140" s="75"/>
      <c r="BR140" s="75"/>
      <c r="BS140" s="75"/>
      <c r="BT140" s="75"/>
      <c r="BU140" s="75"/>
      <c r="BV140" s="75"/>
      <c r="BW140" s="75"/>
      <c r="BX140" s="75"/>
      <c r="BY140" s="75"/>
      <c r="BZ140" s="75"/>
      <c r="CA140" s="75"/>
      <c r="CB140" s="75"/>
      <c r="CC140" s="75"/>
      <c r="CD140" s="75"/>
      <c r="CE140" s="75"/>
      <c r="CF140" s="75"/>
      <c r="CG140" s="75"/>
      <c r="CH140" s="75"/>
      <c r="CI140" s="75"/>
      <c r="CJ140" s="75"/>
      <c r="CK140" s="75"/>
      <c r="CL140" s="75"/>
      <c r="CM140" s="75"/>
      <c r="CN140" s="75"/>
      <c r="CO140" s="75"/>
      <c r="CP140" s="75"/>
      <c r="CQ140" s="75"/>
      <c r="CR140" s="75"/>
      <c r="CS140" s="75"/>
      <c r="CT140" s="75"/>
      <c r="CU140" s="75"/>
      <c r="CV140" s="75"/>
      <c r="CW140" s="75"/>
      <c r="CX140" s="75"/>
      <c r="CY140" s="75"/>
      <c r="CZ140" s="75"/>
      <c r="DA140" s="75"/>
      <c r="DB140" s="75"/>
      <c r="DC140" s="75"/>
      <c r="DD140" s="75"/>
    </row>
    <row r="141" spans="1:108">
      <c r="A141" s="75" t="s">
        <v>183</v>
      </c>
      <c r="B141" s="75" t="s">
        <v>160</v>
      </c>
      <c r="C141" s="75" t="s">
        <v>85</v>
      </c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89"/>
      <c r="T141" s="78">
        <v>4376</v>
      </c>
      <c r="U141" s="75"/>
      <c r="V141" s="75"/>
      <c r="W141" s="75"/>
      <c r="X141" s="75"/>
      <c r="Y141" s="75"/>
      <c r="Z141" s="75"/>
      <c r="AA141" s="75"/>
      <c r="AB141" s="75"/>
      <c r="AC141" s="75"/>
      <c r="AD141" s="75"/>
      <c r="AE141" s="75"/>
      <c r="AF141" s="75"/>
      <c r="AG141" s="75"/>
      <c r="AH141" s="75"/>
      <c r="AI141" s="75"/>
      <c r="AJ141" s="75"/>
      <c r="AK141" s="75"/>
      <c r="AL141" s="75"/>
      <c r="AM141" s="75"/>
      <c r="AN141" s="75"/>
      <c r="AO141" s="75"/>
      <c r="AP141" s="75"/>
      <c r="AQ141" s="75"/>
      <c r="AR141" s="75"/>
      <c r="AS141" s="75"/>
      <c r="AT141" s="75"/>
      <c r="AU141" s="75"/>
      <c r="AV141" s="75"/>
      <c r="AW141" s="75"/>
      <c r="AX141" s="75"/>
      <c r="AY141" s="75"/>
      <c r="AZ141" s="75"/>
      <c r="BA141" s="75"/>
      <c r="BB141" s="75"/>
      <c r="BC141" s="75"/>
      <c r="BD141" s="75"/>
      <c r="BE141" s="75"/>
      <c r="BF141" s="75"/>
      <c r="BG141" s="75"/>
      <c r="BH141" s="75"/>
      <c r="BI141" s="75"/>
      <c r="BJ141" s="75"/>
      <c r="BK141" s="75"/>
      <c r="BL141" s="75"/>
      <c r="BM141" s="75"/>
      <c r="BN141" s="75"/>
      <c r="BO141" s="75"/>
      <c r="BP141" s="75"/>
      <c r="BQ141" s="75"/>
      <c r="BR141" s="75"/>
      <c r="BS141" s="75"/>
      <c r="BT141" s="75"/>
      <c r="BU141" s="75"/>
      <c r="BV141" s="75"/>
      <c r="BW141" s="75"/>
      <c r="BX141" s="75"/>
      <c r="BY141" s="75"/>
      <c r="BZ141" s="75"/>
      <c r="CA141" s="75"/>
      <c r="CB141" s="75"/>
      <c r="CC141" s="75"/>
      <c r="CD141" s="75"/>
      <c r="CE141" s="75"/>
      <c r="CF141" s="75"/>
      <c r="CG141" s="75"/>
      <c r="CH141" s="75"/>
      <c r="CI141" s="75"/>
      <c r="CJ141" s="75"/>
      <c r="CK141" s="75"/>
      <c r="CL141" s="75"/>
      <c r="CM141" s="75"/>
      <c r="CN141" s="75"/>
      <c r="CO141" s="75"/>
      <c r="CP141" s="75"/>
      <c r="CQ141" s="75"/>
      <c r="CR141" s="75"/>
      <c r="CS141" s="75"/>
      <c r="CT141" s="75"/>
      <c r="CU141" s="75"/>
      <c r="CV141" s="75"/>
      <c r="CW141" s="75"/>
      <c r="CX141" s="75"/>
      <c r="CY141" s="75"/>
      <c r="CZ141" s="75"/>
      <c r="DA141" s="75"/>
      <c r="DB141" s="75"/>
      <c r="DC141" s="75"/>
      <c r="DD141" s="75"/>
    </row>
    <row r="142" spans="1:108">
      <c r="A142" s="75" t="s">
        <v>184</v>
      </c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88">
        <v>4997</v>
      </c>
      <c r="T142" s="78">
        <v>43312</v>
      </c>
      <c r="U142" s="78">
        <v>51206</v>
      </c>
      <c r="V142" s="78">
        <v>30365</v>
      </c>
      <c r="W142" s="78">
        <v>98781</v>
      </c>
      <c r="X142" s="75"/>
      <c r="Y142" s="75"/>
      <c r="Z142" s="75"/>
      <c r="AA142" s="75"/>
      <c r="AB142" s="75"/>
      <c r="AC142" s="75"/>
      <c r="AD142" s="75"/>
      <c r="AE142" s="75"/>
      <c r="AF142" s="75"/>
      <c r="AG142" s="75"/>
      <c r="AH142" s="75"/>
      <c r="AI142" s="75"/>
      <c r="AJ142" s="75"/>
      <c r="AK142" s="75"/>
      <c r="AL142" s="75"/>
      <c r="AM142" s="75"/>
      <c r="AN142" s="75"/>
      <c r="AO142" s="75"/>
      <c r="AP142" s="75"/>
      <c r="AQ142" s="75"/>
      <c r="AR142" s="75"/>
      <c r="AS142" s="75"/>
      <c r="AT142" s="75"/>
      <c r="AU142" s="75"/>
      <c r="AV142" s="75"/>
      <c r="AW142" s="75"/>
      <c r="AX142" s="75"/>
      <c r="AY142" s="75"/>
      <c r="AZ142" s="75"/>
      <c r="BA142" s="75"/>
      <c r="BB142" s="75"/>
      <c r="BC142" s="75"/>
      <c r="BD142" s="75"/>
      <c r="BE142" s="75"/>
      <c r="BF142" s="75"/>
      <c r="BG142" s="75"/>
      <c r="BH142" s="75"/>
      <c r="BI142" s="75"/>
      <c r="BJ142" s="75"/>
      <c r="BK142" s="75"/>
      <c r="BL142" s="75"/>
      <c r="BM142" s="75"/>
      <c r="BN142" s="75"/>
      <c r="BO142" s="75"/>
      <c r="BP142" s="75"/>
      <c r="BQ142" s="75"/>
      <c r="BR142" s="75"/>
      <c r="BS142" s="75"/>
      <c r="BT142" s="75"/>
      <c r="BU142" s="75"/>
      <c r="BV142" s="75"/>
      <c r="BW142" s="75"/>
      <c r="BX142" s="75"/>
      <c r="BY142" s="75"/>
      <c r="BZ142" s="75"/>
      <c r="CA142" s="75"/>
      <c r="CB142" s="75"/>
      <c r="CC142" s="75"/>
      <c r="CD142" s="75"/>
      <c r="CE142" s="75"/>
      <c r="CF142" s="75"/>
      <c r="CG142" s="75"/>
      <c r="CH142" s="75"/>
      <c r="CI142" s="75"/>
      <c r="CJ142" s="75"/>
      <c r="CK142" s="75"/>
      <c r="CL142" s="75"/>
      <c r="CM142" s="75"/>
      <c r="CN142" s="75"/>
      <c r="CO142" s="75"/>
      <c r="CP142" s="75"/>
      <c r="CQ142" s="75"/>
      <c r="CR142" s="75"/>
      <c r="CS142" s="75"/>
      <c r="CT142" s="75"/>
      <c r="CU142" s="75"/>
      <c r="CV142" s="75"/>
      <c r="CW142" s="75"/>
      <c r="CX142" s="75"/>
      <c r="CY142" s="75"/>
      <c r="CZ142" s="75"/>
      <c r="DA142" s="75"/>
      <c r="DB142" s="75"/>
      <c r="DC142" s="75"/>
      <c r="DD142" s="75"/>
    </row>
    <row r="143" spans="1:108">
      <c r="A143" s="75" t="s">
        <v>185</v>
      </c>
      <c r="B143" s="75" t="s">
        <v>186</v>
      </c>
      <c r="C143" s="75" t="s">
        <v>85</v>
      </c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88">
        <v>4997</v>
      </c>
      <c r="T143" s="78">
        <v>24984</v>
      </c>
      <c r="U143" s="75"/>
      <c r="V143" s="75"/>
      <c r="W143" s="75"/>
      <c r="X143" s="75"/>
      <c r="Y143" s="75"/>
      <c r="Z143" s="75"/>
      <c r="AA143" s="75"/>
      <c r="AB143" s="75"/>
      <c r="AC143" s="75"/>
      <c r="AD143" s="75"/>
      <c r="AE143" s="75"/>
      <c r="AF143" s="75"/>
      <c r="AG143" s="75"/>
      <c r="AH143" s="75"/>
      <c r="AI143" s="75"/>
      <c r="AJ143" s="75"/>
      <c r="AK143" s="75"/>
      <c r="AL143" s="75"/>
      <c r="AM143" s="75"/>
      <c r="AN143" s="75"/>
      <c r="AO143" s="75"/>
      <c r="AP143" s="75"/>
      <c r="AQ143" s="75"/>
      <c r="AR143" s="75"/>
      <c r="AS143" s="75"/>
      <c r="AT143" s="75"/>
      <c r="AU143" s="75"/>
      <c r="AV143" s="75"/>
      <c r="AW143" s="75"/>
      <c r="AX143" s="75"/>
      <c r="AY143" s="75"/>
      <c r="AZ143" s="75"/>
      <c r="BA143" s="75"/>
      <c r="BB143" s="75"/>
      <c r="BC143" s="75"/>
      <c r="BD143" s="75"/>
      <c r="BE143" s="75"/>
      <c r="BF143" s="75"/>
      <c r="BG143" s="75"/>
      <c r="BH143" s="75"/>
      <c r="BI143" s="75"/>
      <c r="BJ143" s="75"/>
      <c r="BK143" s="75"/>
      <c r="BL143" s="75"/>
      <c r="BM143" s="75"/>
      <c r="BN143" s="75"/>
      <c r="BO143" s="75"/>
      <c r="BP143" s="75"/>
      <c r="BQ143" s="75"/>
      <c r="BR143" s="75"/>
      <c r="BS143" s="75"/>
      <c r="BT143" s="75"/>
      <c r="BU143" s="75"/>
      <c r="BV143" s="75"/>
      <c r="BW143" s="75"/>
      <c r="BX143" s="75"/>
      <c r="BY143" s="75"/>
      <c r="BZ143" s="75"/>
      <c r="CA143" s="75"/>
      <c r="CB143" s="75"/>
      <c r="CC143" s="75"/>
      <c r="CD143" s="75"/>
      <c r="CE143" s="75"/>
      <c r="CF143" s="75"/>
      <c r="CG143" s="75"/>
      <c r="CH143" s="75"/>
      <c r="CI143" s="75"/>
      <c r="CJ143" s="75"/>
      <c r="CK143" s="75"/>
      <c r="CL143" s="75"/>
      <c r="CM143" s="75"/>
      <c r="CN143" s="75"/>
      <c r="CO143" s="75"/>
      <c r="CP143" s="75"/>
      <c r="CQ143" s="75"/>
      <c r="CR143" s="75"/>
      <c r="CS143" s="75"/>
      <c r="CT143" s="75"/>
      <c r="CU143" s="75"/>
      <c r="CV143" s="75"/>
      <c r="CW143" s="75"/>
      <c r="CX143" s="75"/>
      <c r="CY143" s="75"/>
      <c r="CZ143" s="75"/>
      <c r="DA143" s="75"/>
      <c r="DB143" s="75"/>
      <c r="DC143" s="75"/>
      <c r="DD143" s="75"/>
    </row>
    <row r="144" spans="1:108">
      <c r="A144" s="75" t="s">
        <v>187</v>
      </c>
      <c r="B144" s="75" t="s">
        <v>188</v>
      </c>
      <c r="C144" s="75" t="s">
        <v>85</v>
      </c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89"/>
      <c r="T144" s="75"/>
      <c r="U144" s="78">
        <v>15183</v>
      </c>
      <c r="V144" s="78">
        <v>30365</v>
      </c>
      <c r="W144" s="78">
        <v>5061</v>
      </c>
      <c r="X144" s="75"/>
      <c r="Y144" s="75"/>
      <c r="Z144" s="75"/>
      <c r="AA144" s="75"/>
      <c r="AB144" s="75"/>
      <c r="AC144" s="75"/>
      <c r="AD144" s="75"/>
      <c r="AE144" s="75"/>
      <c r="AF144" s="75"/>
      <c r="AG144" s="75"/>
      <c r="AH144" s="75"/>
      <c r="AI144" s="75"/>
      <c r="AJ144" s="75"/>
      <c r="AK144" s="75"/>
      <c r="AL144" s="75"/>
      <c r="AM144" s="75"/>
      <c r="AN144" s="75"/>
      <c r="AO144" s="75"/>
      <c r="AP144" s="75"/>
      <c r="AQ144" s="75"/>
      <c r="AR144" s="75"/>
      <c r="AS144" s="75"/>
      <c r="AT144" s="75"/>
      <c r="AU144" s="75"/>
      <c r="AV144" s="75"/>
      <c r="AW144" s="75"/>
      <c r="AX144" s="75"/>
      <c r="AY144" s="75"/>
      <c r="AZ144" s="75"/>
      <c r="BA144" s="75"/>
      <c r="BB144" s="75"/>
      <c r="BC144" s="75"/>
      <c r="BD144" s="75"/>
      <c r="BE144" s="75"/>
      <c r="BF144" s="75"/>
      <c r="BG144" s="75"/>
      <c r="BH144" s="75"/>
      <c r="BI144" s="75"/>
      <c r="BJ144" s="75"/>
      <c r="BK144" s="75"/>
      <c r="BL144" s="75"/>
      <c r="BM144" s="75"/>
      <c r="BN144" s="75"/>
      <c r="BO144" s="75"/>
      <c r="BP144" s="75"/>
      <c r="BQ144" s="75"/>
      <c r="BR144" s="75"/>
      <c r="BS144" s="75"/>
      <c r="BT144" s="75"/>
      <c r="BU144" s="75"/>
      <c r="BV144" s="75"/>
      <c r="BW144" s="75"/>
      <c r="BX144" s="75"/>
      <c r="BY144" s="75"/>
      <c r="BZ144" s="75"/>
      <c r="CA144" s="75"/>
      <c r="CB144" s="75"/>
      <c r="CC144" s="75"/>
      <c r="CD144" s="75"/>
      <c r="CE144" s="75"/>
      <c r="CF144" s="75"/>
      <c r="CG144" s="75"/>
      <c r="CH144" s="75"/>
      <c r="CI144" s="75"/>
      <c r="CJ144" s="75"/>
      <c r="CK144" s="75"/>
      <c r="CL144" s="75"/>
      <c r="CM144" s="75"/>
      <c r="CN144" s="75"/>
      <c r="CO144" s="75"/>
      <c r="CP144" s="75"/>
      <c r="CQ144" s="75"/>
      <c r="CR144" s="75"/>
      <c r="CS144" s="75"/>
      <c r="CT144" s="75"/>
      <c r="CU144" s="75"/>
      <c r="CV144" s="75"/>
      <c r="CW144" s="75"/>
      <c r="CX144" s="75"/>
      <c r="CY144" s="75"/>
      <c r="CZ144" s="75"/>
      <c r="DA144" s="75"/>
      <c r="DB144" s="75"/>
      <c r="DC144" s="75"/>
      <c r="DD144" s="75"/>
    </row>
    <row r="145" spans="1:108">
      <c r="A145" s="75" t="s">
        <v>189</v>
      </c>
      <c r="B145" s="75" t="s">
        <v>190</v>
      </c>
      <c r="C145" s="75" t="s">
        <v>85</v>
      </c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89"/>
      <c r="T145" s="75"/>
      <c r="U145" s="75"/>
      <c r="V145" s="75"/>
      <c r="W145" s="78">
        <v>93720</v>
      </c>
      <c r="X145" s="75"/>
      <c r="Y145" s="75"/>
      <c r="Z145" s="75"/>
      <c r="AA145" s="75"/>
      <c r="AB145" s="75"/>
      <c r="AC145" s="75"/>
      <c r="AD145" s="75"/>
      <c r="AE145" s="75"/>
      <c r="AF145" s="75"/>
      <c r="AG145" s="75"/>
      <c r="AH145" s="75"/>
      <c r="AI145" s="75"/>
      <c r="AJ145" s="75"/>
      <c r="AK145" s="75"/>
      <c r="AL145" s="75"/>
      <c r="AM145" s="75"/>
      <c r="AN145" s="75"/>
      <c r="AO145" s="75"/>
      <c r="AP145" s="75"/>
      <c r="AQ145" s="75"/>
      <c r="AR145" s="75"/>
      <c r="AS145" s="75"/>
      <c r="AT145" s="75"/>
      <c r="AU145" s="75"/>
      <c r="AV145" s="75"/>
      <c r="AW145" s="75"/>
      <c r="AX145" s="75"/>
      <c r="AY145" s="75"/>
      <c r="AZ145" s="75"/>
      <c r="BA145" s="75"/>
      <c r="BB145" s="75"/>
      <c r="BC145" s="75"/>
      <c r="BD145" s="75"/>
      <c r="BE145" s="75"/>
      <c r="BF145" s="75"/>
      <c r="BG145" s="75"/>
      <c r="BH145" s="75"/>
      <c r="BI145" s="75"/>
      <c r="BJ145" s="75"/>
      <c r="BK145" s="75"/>
      <c r="BL145" s="75"/>
      <c r="BM145" s="75"/>
      <c r="BN145" s="75"/>
      <c r="BO145" s="75"/>
      <c r="BP145" s="75"/>
      <c r="BQ145" s="75"/>
      <c r="BR145" s="75"/>
      <c r="BS145" s="75"/>
      <c r="BT145" s="75"/>
      <c r="BU145" s="75"/>
      <c r="BV145" s="75"/>
      <c r="BW145" s="75"/>
      <c r="BX145" s="75"/>
      <c r="BY145" s="75"/>
      <c r="BZ145" s="75"/>
      <c r="CA145" s="75"/>
      <c r="CB145" s="75"/>
      <c r="CC145" s="75"/>
      <c r="CD145" s="75"/>
      <c r="CE145" s="75"/>
      <c r="CF145" s="75"/>
      <c r="CG145" s="75"/>
      <c r="CH145" s="75"/>
      <c r="CI145" s="75"/>
      <c r="CJ145" s="75"/>
      <c r="CK145" s="75"/>
      <c r="CL145" s="75"/>
      <c r="CM145" s="75"/>
      <c r="CN145" s="75"/>
      <c r="CO145" s="75"/>
      <c r="CP145" s="75"/>
      <c r="CQ145" s="75"/>
      <c r="CR145" s="75"/>
      <c r="CS145" s="75"/>
      <c r="CT145" s="75"/>
      <c r="CU145" s="75"/>
      <c r="CV145" s="75"/>
      <c r="CW145" s="75"/>
      <c r="CX145" s="75"/>
      <c r="CY145" s="75"/>
      <c r="CZ145" s="75"/>
      <c r="DA145" s="75"/>
      <c r="DB145" s="75"/>
      <c r="DC145" s="75"/>
      <c r="DD145" s="75"/>
    </row>
    <row r="146" spans="1:108">
      <c r="A146" s="75" t="s">
        <v>191</v>
      </c>
      <c r="B146" s="75" t="s">
        <v>192</v>
      </c>
      <c r="C146" s="75" t="s">
        <v>85</v>
      </c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89"/>
      <c r="T146" s="78">
        <v>5834</v>
      </c>
      <c r="U146" s="75"/>
      <c r="V146" s="75"/>
      <c r="W146" s="75"/>
      <c r="X146" s="75"/>
      <c r="Y146" s="75"/>
      <c r="Z146" s="75"/>
      <c r="AA146" s="75"/>
      <c r="AB146" s="75"/>
      <c r="AC146" s="75"/>
      <c r="AD146" s="75"/>
      <c r="AE146" s="75"/>
      <c r="AF146" s="75"/>
      <c r="AG146" s="75"/>
      <c r="AH146" s="75"/>
      <c r="AI146" s="75"/>
      <c r="AJ146" s="75"/>
      <c r="AK146" s="75"/>
      <c r="AL146" s="75"/>
      <c r="AM146" s="75"/>
      <c r="AN146" s="75"/>
      <c r="AO146" s="75"/>
      <c r="AP146" s="75"/>
      <c r="AQ146" s="75"/>
      <c r="AR146" s="75"/>
      <c r="AS146" s="75"/>
      <c r="AT146" s="75"/>
      <c r="AU146" s="75"/>
      <c r="AV146" s="75"/>
      <c r="AW146" s="75"/>
      <c r="AX146" s="75"/>
      <c r="AY146" s="75"/>
      <c r="AZ146" s="75"/>
      <c r="BA146" s="75"/>
      <c r="BB146" s="75"/>
      <c r="BC146" s="75"/>
      <c r="BD146" s="75"/>
      <c r="BE146" s="75"/>
      <c r="BF146" s="75"/>
      <c r="BG146" s="75"/>
      <c r="BH146" s="75"/>
      <c r="BI146" s="75"/>
      <c r="BJ146" s="75"/>
      <c r="BK146" s="75"/>
      <c r="BL146" s="75"/>
      <c r="BM146" s="75"/>
      <c r="BN146" s="75"/>
      <c r="BO146" s="75"/>
      <c r="BP146" s="75"/>
      <c r="BQ146" s="75"/>
      <c r="BR146" s="75"/>
      <c r="BS146" s="75"/>
      <c r="BT146" s="75"/>
      <c r="BU146" s="75"/>
      <c r="BV146" s="75"/>
      <c r="BW146" s="75"/>
      <c r="BX146" s="75"/>
      <c r="BY146" s="75"/>
      <c r="BZ146" s="75"/>
      <c r="CA146" s="75"/>
      <c r="CB146" s="75"/>
      <c r="CC146" s="75"/>
      <c r="CD146" s="75"/>
      <c r="CE146" s="75"/>
      <c r="CF146" s="75"/>
      <c r="CG146" s="75"/>
      <c r="CH146" s="75"/>
      <c r="CI146" s="75"/>
      <c r="CJ146" s="75"/>
      <c r="CK146" s="75"/>
      <c r="CL146" s="75"/>
      <c r="CM146" s="75"/>
      <c r="CN146" s="75"/>
      <c r="CO146" s="75"/>
      <c r="CP146" s="75"/>
      <c r="CQ146" s="75"/>
      <c r="CR146" s="75"/>
      <c r="CS146" s="75"/>
      <c r="CT146" s="75"/>
      <c r="CU146" s="75"/>
      <c r="CV146" s="75"/>
      <c r="CW146" s="75"/>
      <c r="CX146" s="75"/>
      <c r="CY146" s="75"/>
      <c r="CZ146" s="75"/>
      <c r="DA146" s="75"/>
      <c r="DB146" s="75"/>
      <c r="DC146" s="75"/>
      <c r="DD146" s="75"/>
    </row>
    <row r="147" spans="1:108">
      <c r="A147" s="75" t="s">
        <v>193</v>
      </c>
      <c r="B147" s="75" t="s">
        <v>194</v>
      </c>
      <c r="C147" s="75" t="s">
        <v>85</v>
      </c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89"/>
      <c r="T147" s="78">
        <v>11765</v>
      </c>
      <c r="U147" s="78">
        <v>35294</v>
      </c>
      <c r="V147" s="75"/>
      <c r="W147" s="75"/>
      <c r="X147" s="75"/>
      <c r="Y147" s="75"/>
      <c r="Z147" s="75"/>
      <c r="AA147" s="75"/>
      <c r="AB147" s="75"/>
      <c r="AC147" s="75"/>
      <c r="AD147" s="75"/>
      <c r="AE147" s="75"/>
      <c r="AF147" s="75"/>
      <c r="AG147" s="75"/>
      <c r="AH147" s="75"/>
      <c r="AI147" s="75"/>
      <c r="AJ147" s="75"/>
      <c r="AK147" s="75"/>
      <c r="AL147" s="75"/>
      <c r="AM147" s="75"/>
      <c r="AN147" s="75"/>
      <c r="AO147" s="75"/>
      <c r="AP147" s="75"/>
      <c r="AQ147" s="75"/>
      <c r="AR147" s="75"/>
      <c r="AS147" s="75"/>
      <c r="AT147" s="75"/>
      <c r="AU147" s="75"/>
      <c r="AV147" s="75"/>
      <c r="AW147" s="75"/>
      <c r="AX147" s="75"/>
      <c r="AY147" s="75"/>
      <c r="AZ147" s="75"/>
      <c r="BA147" s="75"/>
      <c r="BB147" s="75"/>
      <c r="BC147" s="75"/>
      <c r="BD147" s="75"/>
      <c r="BE147" s="75"/>
      <c r="BF147" s="75"/>
      <c r="BG147" s="75"/>
      <c r="BH147" s="75"/>
      <c r="BI147" s="75"/>
      <c r="BJ147" s="75"/>
      <c r="BK147" s="75"/>
      <c r="BL147" s="75"/>
      <c r="BM147" s="75"/>
      <c r="BN147" s="75"/>
      <c r="BO147" s="75"/>
      <c r="BP147" s="75"/>
      <c r="BQ147" s="75"/>
      <c r="BR147" s="75"/>
      <c r="BS147" s="75"/>
      <c r="BT147" s="75"/>
      <c r="BU147" s="75"/>
      <c r="BV147" s="75"/>
      <c r="BW147" s="75"/>
      <c r="BX147" s="75"/>
      <c r="BY147" s="75"/>
      <c r="BZ147" s="75"/>
      <c r="CA147" s="75"/>
      <c r="CB147" s="75"/>
      <c r="CC147" s="75"/>
      <c r="CD147" s="75"/>
      <c r="CE147" s="75"/>
      <c r="CF147" s="75"/>
      <c r="CG147" s="75"/>
      <c r="CH147" s="75"/>
      <c r="CI147" s="75"/>
      <c r="CJ147" s="75"/>
      <c r="CK147" s="75"/>
      <c r="CL147" s="75"/>
      <c r="CM147" s="75"/>
      <c r="CN147" s="75"/>
      <c r="CO147" s="75"/>
      <c r="CP147" s="75"/>
      <c r="CQ147" s="75"/>
      <c r="CR147" s="75"/>
      <c r="CS147" s="75"/>
      <c r="CT147" s="75"/>
      <c r="CU147" s="75"/>
      <c r="CV147" s="75"/>
      <c r="CW147" s="75"/>
      <c r="CX147" s="75"/>
      <c r="CY147" s="75"/>
      <c r="CZ147" s="75"/>
      <c r="DA147" s="75"/>
      <c r="DB147" s="75"/>
      <c r="DC147" s="75"/>
      <c r="DD147" s="75"/>
    </row>
    <row r="148" spans="1:108">
      <c r="A148" s="75" t="s">
        <v>195</v>
      </c>
      <c r="B148" s="75" t="s">
        <v>196</v>
      </c>
      <c r="C148" s="75" t="s">
        <v>85</v>
      </c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89"/>
      <c r="T148" s="75">
        <v>730</v>
      </c>
      <c r="U148" s="75">
        <v>730</v>
      </c>
      <c r="V148" s="75"/>
      <c r="W148" s="75"/>
      <c r="X148" s="75"/>
      <c r="Y148" s="75"/>
      <c r="Z148" s="75"/>
      <c r="AA148" s="75"/>
      <c r="AB148" s="75"/>
      <c r="AC148" s="75"/>
      <c r="AD148" s="75"/>
      <c r="AE148" s="75"/>
      <c r="AF148" s="75"/>
      <c r="AG148" s="75"/>
      <c r="AH148" s="75"/>
      <c r="AI148" s="75"/>
      <c r="AJ148" s="75"/>
      <c r="AK148" s="75"/>
      <c r="AL148" s="75"/>
      <c r="AM148" s="75"/>
      <c r="AN148" s="75"/>
      <c r="AO148" s="75"/>
      <c r="AP148" s="75"/>
      <c r="AQ148" s="75"/>
      <c r="AR148" s="75"/>
      <c r="AS148" s="75"/>
      <c r="AT148" s="75"/>
      <c r="AU148" s="75"/>
      <c r="AV148" s="75"/>
      <c r="AW148" s="75"/>
      <c r="AX148" s="75"/>
      <c r="AY148" s="75"/>
      <c r="AZ148" s="75"/>
      <c r="BA148" s="75"/>
      <c r="BB148" s="75"/>
      <c r="BC148" s="75"/>
      <c r="BD148" s="75"/>
      <c r="BE148" s="75"/>
      <c r="BF148" s="75"/>
      <c r="BG148" s="75"/>
      <c r="BH148" s="75"/>
      <c r="BI148" s="75"/>
      <c r="BJ148" s="75"/>
      <c r="BK148" s="75"/>
      <c r="BL148" s="75"/>
      <c r="BM148" s="75"/>
      <c r="BN148" s="75"/>
      <c r="BO148" s="75"/>
      <c r="BP148" s="75"/>
      <c r="BQ148" s="75"/>
      <c r="BR148" s="75"/>
      <c r="BS148" s="75"/>
      <c r="BT148" s="75"/>
      <c r="BU148" s="75"/>
      <c r="BV148" s="75"/>
      <c r="BW148" s="75"/>
      <c r="BX148" s="75"/>
      <c r="BY148" s="75"/>
      <c r="BZ148" s="75"/>
      <c r="CA148" s="75"/>
      <c r="CB148" s="75"/>
      <c r="CC148" s="75"/>
      <c r="CD148" s="75"/>
      <c r="CE148" s="75"/>
      <c r="CF148" s="75"/>
      <c r="CG148" s="75"/>
      <c r="CH148" s="75"/>
      <c r="CI148" s="75"/>
      <c r="CJ148" s="75"/>
      <c r="CK148" s="75"/>
      <c r="CL148" s="75"/>
      <c r="CM148" s="75"/>
      <c r="CN148" s="75"/>
      <c r="CO148" s="75"/>
      <c r="CP148" s="75"/>
      <c r="CQ148" s="75"/>
      <c r="CR148" s="75"/>
      <c r="CS148" s="75"/>
      <c r="CT148" s="75"/>
      <c r="CU148" s="75"/>
      <c r="CV148" s="75"/>
      <c r="CW148" s="75"/>
      <c r="CX148" s="75"/>
      <c r="CY148" s="75"/>
      <c r="CZ148" s="75"/>
      <c r="DA148" s="75"/>
      <c r="DB148" s="75"/>
      <c r="DC148" s="75"/>
      <c r="DD148" s="75"/>
    </row>
    <row r="149" spans="1:108">
      <c r="A149" s="75" t="s">
        <v>197</v>
      </c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89"/>
      <c r="T149" s="75"/>
      <c r="U149" s="75"/>
      <c r="V149" s="75"/>
      <c r="W149" s="78">
        <v>28521</v>
      </c>
      <c r="X149" s="78">
        <v>48264</v>
      </c>
      <c r="Y149" s="78">
        <v>47406</v>
      </c>
      <c r="Z149" s="75"/>
      <c r="AA149" s="75"/>
      <c r="AB149" s="75"/>
      <c r="AC149" s="75"/>
      <c r="AD149" s="75"/>
      <c r="AE149" s="75"/>
      <c r="AF149" s="75"/>
      <c r="AG149" s="75"/>
      <c r="AH149" s="75"/>
      <c r="AI149" s="75"/>
      <c r="AJ149" s="75"/>
      <c r="AK149" s="75"/>
      <c r="AL149" s="75"/>
      <c r="AM149" s="75"/>
      <c r="AN149" s="75"/>
      <c r="AO149" s="75"/>
      <c r="AP149" s="75"/>
      <c r="AQ149" s="75"/>
      <c r="AR149" s="75"/>
      <c r="AS149" s="75"/>
      <c r="AT149" s="75"/>
      <c r="AU149" s="75"/>
      <c r="AV149" s="75"/>
      <c r="AW149" s="75"/>
      <c r="AX149" s="75"/>
      <c r="AY149" s="75"/>
      <c r="AZ149" s="75"/>
      <c r="BA149" s="75"/>
      <c r="BB149" s="75"/>
      <c r="BC149" s="75"/>
      <c r="BD149" s="75"/>
      <c r="BE149" s="75"/>
      <c r="BF149" s="75"/>
      <c r="BG149" s="75"/>
      <c r="BH149" s="75"/>
      <c r="BI149" s="75"/>
      <c r="BJ149" s="75"/>
      <c r="BK149" s="75"/>
      <c r="BL149" s="75"/>
      <c r="BM149" s="75"/>
      <c r="BN149" s="75"/>
      <c r="BO149" s="75"/>
      <c r="BP149" s="75"/>
      <c r="BQ149" s="75"/>
      <c r="BR149" s="75"/>
      <c r="BS149" s="75"/>
      <c r="BT149" s="75"/>
      <c r="BU149" s="75"/>
      <c r="BV149" s="75"/>
      <c r="BW149" s="75"/>
      <c r="BX149" s="75"/>
      <c r="BY149" s="75"/>
      <c r="BZ149" s="75"/>
      <c r="CA149" s="75"/>
      <c r="CB149" s="75"/>
      <c r="CC149" s="75"/>
      <c r="CD149" s="75"/>
      <c r="CE149" s="75"/>
      <c r="CF149" s="75"/>
      <c r="CG149" s="75"/>
      <c r="CH149" s="75"/>
      <c r="CI149" s="75"/>
      <c r="CJ149" s="75"/>
      <c r="CK149" s="75"/>
      <c r="CL149" s="75"/>
      <c r="CM149" s="75"/>
      <c r="CN149" s="75"/>
      <c r="CO149" s="75"/>
      <c r="CP149" s="75"/>
      <c r="CQ149" s="75"/>
      <c r="CR149" s="75"/>
      <c r="CS149" s="75"/>
      <c r="CT149" s="75"/>
      <c r="CU149" s="75"/>
      <c r="CV149" s="75"/>
      <c r="CW149" s="75"/>
      <c r="CX149" s="75"/>
      <c r="CY149" s="75"/>
      <c r="CZ149" s="75"/>
      <c r="DA149" s="75"/>
      <c r="DB149" s="75"/>
      <c r="DC149" s="75"/>
      <c r="DD149" s="75"/>
    </row>
    <row r="150" spans="1:108">
      <c r="A150" s="75" t="s">
        <v>198</v>
      </c>
      <c r="B150" s="75" t="s">
        <v>199</v>
      </c>
      <c r="C150" s="75" t="s">
        <v>85</v>
      </c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89"/>
      <c r="T150" s="75"/>
      <c r="U150" s="75"/>
      <c r="V150" s="75"/>
      <c r="W150" s="78">
        <v>11704</v>
      </c>
      <c r="X150" s="78">
        <v>14630</v>
      </c>
      <c r="Y150" s="75"/>
      <c r="Z150" s="75"/>
      <c r="AA150" s="75"/>
      <c r="AB150" s="75"/>
      <c r="AC150" s="75"/>
      <c r="AD150" s="75"/>
      <c r="AE150" s="75"/>
      <c r="AF150" s="75"/>
      <c r="AG150" s="75"/>
      <c r="AH150" s="75"/>
      <c r="AI150" s="75"/>
      <c r="AJ150" s="75"/>
      <c r="AK150" s="75"/>
      <c r="AL150" s="75"/>
      <c r="AM150" s="75"/>
      <c r="AN150" s="75"/>
      <c r="AO150" s="75"/>
      <c r="AP150" s="75"/>
      <c r="AQ150" s="75"/>
      <c r="AR150" s="75"/>
      <c r="AS150" s="75"/>
      <c r="AT150" s="75"/>
      <c r="AU150" s="75"/>
      <c r="AV150" s="75"/>
      <c r="AW150" s="75"/>
      <c r="AX150" s="75"/>
      <c r="AY150" s="75"/>
      <c r="AZ150" s="75"/>
      <c r="BA150" s="75"/>
      <c r="BB150" s="75"/>
      <c r="BC150" s="75"/>
      <c r="BD150" s="75"/>
      <c r="BE150" s="75"/>
      <c r="BF150" s="75"/>
      <c r="BG150" s="75"/>
      <c r="BH150" s="75"/>
      <c r="BI150" s="75"/>
      <c r="BJ150" s="75"/>
      <c r="BK150" s="75"/>
      <c r="BL150" s="75"/>
      <c r="BM150" s="75"/>
      <c r="BN150" s="75"/>
      <c r="BO150" s="75"/>
      <c r="BP150" s="75"/>
      <c r="BQ150" s="75"/>
      <c r="BR150" s="75"/>
      <c r="BS150" s="75"/>
      <c r="BT150" s="75"/>
      <c r="BU150" s="75"/>
      <c r="BV150" s="75"/>
      <c r="BW150" s="75"/>
      <c r="BX150" s="75"/>
      <c r="BY150" s="75"/>
      <c r="BZ150" s="75"/>
      <c r="CA150" s="75"/>
      <c r="CB150" s="75"/>
      <c r="CC150" s="75"/>
      <c r="CD150" s="75"/>
      <c r="CE150" s="75"/>
      <c r="CF150" s="75"/>
      <c r="CG150" s="75"/>
      <c r="CH150" s="75"/>
      <c r="CI150" s="75"/>
      <c r="CJ150" s="75"/>
      <c r="CK150" s="75"/>
      <c r="CL150" s="75"/>
      <c r="CM150" s="75"/>
      <c r="CN150" s="75"/>
      <c r="CO150" s="75"/>
      <c r="CP150" s="75"/>
      <c r="CQ150" s="75"/>
      <c r="CR150" s="75"/>
      <c r="CS150" s="75"/>
      <c r="CT150" s="75"/>
      <c r="CU150" s="75"/>
      <c r="CV150" s="75"/>
      <c r="CW150" s="75"/>
      <c r="CX150" s="75"/>
      <c r="CY150" s="75"/>
      <c r="CZ150" s="75"/>
      <c r="DA150" s="75"/>
      <c r="DB150" s="75"/>
      <c r="DC150" s="75"/>
      <c r="DD150" s="75"/>
    </row>
    <row r="151" spans="1:108">
      <c r="A151" s="75" t="s">
        <v>200</v>
      </c>
      <c r="B151" s="75" t="s">
        <v>201</v>
      </c>
      <c r="C151" s="75" t="s">
        <v>85</v>
      </c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89"/>
      <c r="T151" s="75"/>
      <c r="U151" s="75"/>
      <c r="V151" s="75"/>
      <c r="W151" s="78">
        <v>16817</v>
      </c>
      <c r="X151" s="78">
        <v>33634</v>
      </c>
      <c r="Y151" s="78">
        <v>5606</v>
      </c>
      <c r="Z151" s="75"/>
      <c r="AA151" s="75"/>
      <c r="AB151" s="75"/>
      <c r="AC151" s="75"/>
      <c r="AD151" s="75"/>
      <c r="AE151" s="75"/>
      <c r="AF151" s="75"/>
      <c r="AG151" s="75"/>
      <c r="AH151" s="75"/>
      <c r="AI151" s="75"/>
      <c r="AJ151" s="75"/>
      <c r="AK151" s="75"/>
      <c r="AL151" s="75"/>
      <c r="AM151" s="75"/>
      <c r="AN151" s="75"/>
      <c r="AO151" s="75"/>
      <c r="AP151" s="75"/>
      <c r="AQ151" s="75"/>
      <c r="AR151" s="75"/>
      <c r="AS151" s="75"/>
      <c r="AT151" s="75"/>
      <c r="AU151" s="75"/>
      <c r="AV151" s="75"/>
      <c r="AW151" s="75"/>
      <c r="AX151" s="75"/>
      <c r="AY151" s="75"/>
      <c r="AZ151" s="75"/>
      <c r="BA151" s="75"/>
      <c r="BB151" s="75"/>
      <c r="BC151" s="75"/>
      <c r="BD151" s="75"/>
      <c r="BE151" s="75"/>
      <c r="BF151" s="75"/>
      <c r="BG151" s="75"/>
      <c r="BH151" s="75"/>
      <c r="BI151" s="75"/>
      <c r="BJ151" s="75"/>
      <c r="BK151" s="75"/>
      <c r="BL151" s="75"/>
      <c r="BM151" s="75"/>
      <c r="BN151" s="75"/>
      <c r="BO151" s="75"/>
      <c r="BP151" s="75"/>
      <c r="BQ151" s="75"/>
      <c r="BR151" s="75"/>
      <c r="BS151" s="75"/>
      <c r="BT151" s="75"/>
      <c r="BU151" s="75"/>
      <c r="BV151" s="75"/>
      <c r="BW151" s="75"/>
      <c r="BX151" s="75"/>
      <c r="BY151" s="75"/>
      <c r="BZ151" s="75"/>
      <c r="CA151" s="75"/>
      <c r="CB151" s="75"/>
      <c r="CC151" s="75"/>
      <c r="CD151" s="75"/>
      <c r="CE151" s="75"/>
      <c r="CF151" s="75"/>
      <c r="CG151" s="75"/>
      <c r="CH151" s="75"/>
      <c r="CI151" s="75"/>
      <c r="CJ151" s="75"/>
      <c r="CK151" s="75"/>
      <c r="CL151" s="75"/>
      <c r="CM151" s="75"/>
      <c r="CN151" s="75"/>
      <c r="CO151" s="75"/>
      <c r="CP151" s="75"/>
      <c r="CQ151" s="75"/>
      <c r="CR151" s="75"/>
      <c r="CS151" s="75"/>
      <c r="CT151" s="75"/>
      <c r="CU151" s="75"/>
      <c r="CV151" s="75"/>
      <c r="CW151" s="75"/>
      <c r="CX151" s="75"/>
      <c r="CY151" s="75"/>
      <c r="CZ151" s="75"/>
      <c r="DA151" s="75"/>
      <c r="DB151" s="75"/>
      <c r="DC151" s="75"/>
      <c r="DD151" s="75"/>
    </row>
    <row r="152" spans="1:108">
      <c r="A152" s="75" t="s">
        <v>202</v>
      </c>
      <c r="B152" s="75" t="s">
        <v>203</v>
      </c>
      <c r="C152" s="75" t="s">
        <v>85</v>
      </c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89"/>
      <c r="T152" s="75"/>
      <c r="U152" s="75"/>
      <c r="V152" s="75"/>
      <c r="W152" s="75"/>
      <c r="X152" s="75"/>
      <c r="Y152" s="78">
        <v>41800</v>
      </c>
      <c r="Z152" s="75"/>
      <c r="AA152" s="75"/>
      <c r="AB152" s="75"/>
      <c r="AC152" s="75"/>
      <c r="AD152" s="75"/>
      <c r="AE152" s="75"/>
      <c r="AF152" s="75"/>
      <c r="AG152" s="75"/>
      <c r="AH152" s="75"/>
      <c r="AI152" s="75"/>
      <c r="AJ152" s="75"/>
      <c r="AK152" s="75"/>
      <c r="AL152" s="75"/>
      <c r="AM152" s="75"/>
      <c r="AN152" s="75"/>
      <c r="AO152" s="75"/>
      <c r="AP152" s="75"/>
      <c r="AQ152" s="75"/>
      <c r="AR152" s="75"/>
      <c r="AS152" s="75"/>
      <c r="AT152" s="75"/>
      <c r="AU152" s="75"/>
      <c r="AV152" s="75"/>
      <c r="AW152" s="75"/>
      <c r="AX152" s="75"/>
      <c r="AY152" s="75"/>
      <c r="AZ152" s="75"/>
      <c r="BA152" s="75"/>
      <c r="BB152" s="75"/>
      <c r="BC152" s="75"/>
      <c r="BD152" s="75"/>
      <c r="BE152" s="75"/>
      <c r="BF152" s="75"/>
      <c r="BG152" s="75"/>
      <c r="BH152" s="75"/>
      <c r="BI152" s="75"/>
      <c r="BJ152" s="75"/>
      <c r="BK152" s="75"/>
      <c r="BL152" s="75"/>
      <c r="BM152" s="75"/>
      <c r="BN152" s="75"/>
      <c r="BO152" s="75"/>
      <c r="BP152" s="75"/>
      <c r="BQ152" s="75"/>
      <c r="BR152" s="75"/>
      <c r="BS152" s="75"/>
      <c r="BT152" s="75"/>
      <c r="BU152" s="75"/>
      <c r="BV152" s="75"/>
      <c r="BW152" s="75"/>
      <c r="BX152" s="75"/>
      <c r="BY152" s="75"/>
      <c r="BZ152" s="75"/>
      <c r="CA152" s="75"/>
      <c r="CB152" s="75"/>
      <c r="CC152" s="75"/>
      <c r="CD152" s="75"/>
      <c r="CE152" s="75"/>
      <c r="CF152" s="75"/>
      <c r="CG152" s="75"/>
      <c r="CH152" s="75"/>
      <c r="CI152" s="75"/>
      <c r="CJ152" s="75"/>
      <c r="CK152" s="75"/>
      <c r="CL152" s="75"/>
      <c r="CM152" s="75"/>
      <c r="CN152" s="75"/>
      <c r="CO152" s="75"/>
      <c r="CP152" s="75"/>
      <c r="CQ152" s="75"/>
      <c r="CR152" s="75"/>
      <c r="CS152" s="75"/>
      <c r="CT152" s="75"/>
      <c r="CU152" s="75"/>
      <c r="CV152" s="75"/>
      <c r="CW152" s="75"/>
      <c r="CX152" s="75"/>
      <c r="CY152" s="75"/>
      <c r="CZ152" s="75"/>
      <c r="DA152" s="75"/>
      <c r="DB152" s="75"/>
      <c r="DC152" s="75"/>
      <c r="DD152" s="75"/>
    </row>
    <row r="153" spans="1:108">
      <c r="A153" s="75" t="s">
        <v>204</v>
      </c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89"/>
      <c r="T153" s="75"/>
      <c r="U153" s="75"/>
      <c r="V153" s="78">
        <v>30469</v>
      </c>
      <c r="W153" s="78">
        <v>65317</v>
      </c>
      <c r="X153" s="78">
        <v>50733</v>
      </c>
      <c r="Y153" s="78">
        <v>90756</v>
      </c>
      <c r="Z153" s="75"/>
      <c r="AA153" s="75"/>
      <c r="AB153" s="75"/>
      <c r="AC153" s="75"/>
      <c r="AD153" s="75"/>
      <c r="AE153" s="75"/>
      <c r="AF153" s="75"/>
      <c r="AG153" s="75"/>
      <c r="AH153" s="75"/>
      <c r="AI153" s="75"/>
      <c r="AJ153" s="75"/>
      <c r="AK153" s="75"/>
      <c r="AL153" s="75"/>
      <c r="AM153" s="75"/>
      <c r="AN153" s="75"/>
      <c r="AO153" s="75"/>
      <c r="AP153" s="75"/>
      <c r="AQ153" s="75"/>
      <c r="AR153" s="75"/>
      <c r="AS153" s="75"/>
      <c r="AT153" s="75"/>
      <c r="AU153" s="75"/>
      <c r="AV153" s="75"/>
      <c r="AW153" s="75"/>
      <c r="AX153" s="75"/>
      <c r="AY153" s="75"/>
      <c r="AZ153" s="75"/>
      <c r="BA153" s="75"/>
      <c r="BB153" s="75"/>
      <c r="BC153" s="75"/>
      <c r="BD153" s="75"/>
      <c r="BE153" s="75"/>
      <c r="BF153" s="75"/>
      <c r="BG153" s="75"/>
      <c r="BH153" s="75"/>
      <c r="BI153" s="75"/>
      <c r="BJ153" s="75"/>
      <c r="BK153" s="75"/>
      <c r="BL153" s="75"/>
      <c r="BM153" s="75"/>
      <c r="BN153" s="75"/>
      <c r="BO153" s="75"/>
      <c r="BP153" s="75"/>
      <c r="BQ153" s="75"/>
      <c r="BR153" s="75"/>
      <c r="BS153" s="75"/>
      <c r="BT153" s="75"/>
      <c r="BU153" s="75"/>
      <c r="BV153" s="75"/>
      <c r="BW153" s="75"/>
      <c r="BX153" s="75"/>
      <c r="BY153" s="75"/>
      <c r="BZ153" s="75"/>
      <c r="CA153" s="75"/>
      <c r="CB153" s="75"/>
      <c r="CC153" s="75"/>
      <c r="CD153" s="75"/>
      <c r="CE153" s="75"/>
      <c r="CF153" s="75"/>
      <c r="CG153" s="75"/>
      <c r="CH153" s="75"/>
      <c r="CI153" s="75"/>
      <c r="CJ153" s="75"/>
      <c r="CK153" s="75"/>
      <c r="CL153" s="75"/>
      <c r="CM153" s="75"/>
      <c r="CN153" s="75"/>
      <c r="CO153" s="75"/>
      <c r="CP153" s="75"/>
      <c r="CQ153" s="75"/>
      <c r="CR153" s="75"/>
      <c r="CS153" s="75"/>
      <c r="CT153" s="75"/>
      <c r="CU153" s="75"/>
      <c r="CV153" s="75"/>
      <c r="CW153" s="75"/>
      <c r="CX153" s="75"/>
      <c r="CY153" s="75"/>
      <c r="CZ153" s="75"/>
      <c r="DA153" s="75"/>
      <c r="DB153" s="75"/>
      <c r="DC153" s="75"/>
      <c r="DD153" s="75"/>
    </row>
    <row r="154" spans="1:108">
      <c r="A154" s="75" t="s">
        <v>205</v>
      </c>
      <c r="B154" s="75" t="s">
        <v>146</v>
      </c>
      <c r="C154" s="75" t="s">
        <v>85</v>
      </c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89"/>
      <c r="T154" s="75"/>
      <c r="U154" s="75"/>
      <c r="V154" s="78">
        <v>6757</v>
      </c>
      <c r="W154" s="78">
        <v>11261</v>
      </c>
      <c r="X154" s="75"/>
      <c r="Y154" s="75"/>
      <c r="Z154" s="75"/>
      <c r="AA154" s="75"/>
      <c r="AB154" s="75"/>
      <c r="AC154" s="75"/>
      <c r="AD154" s="75"/>
      <c r="AE154" s="75"/>
      <c r="AF154" s="75"/>
      <c r="AG154" s="75"/>
      <c r="AH154" s="75"/>
      <c r="AI154" s="75"/>
      <c r="AJ154" s="75"/>
      <c r="AK154" s="75"/>
      <c r="AL154" s="75"/>
      <c r="AM154" s="75"/>
      <c r="AN154" s="75"/>
      <c r="AO154" s="75"/>
      <c r="AP154" s="75"/>
      <c r="AQ154" s="75"/>
      <c r="AR154" s="75"/>
      <c r="AS154" s="75"/>
      <c r="AT154" s="75"/>
      <c r="AU154" s="75"/>
      <c r="AV154" s="75"/>
      <c r="AW154" s="75"/>
      <c r="AX154" s="75"/>
      <c r="AY154" s="75"/>
      <c r="AZ154" s="75"/>
      <c r="BA154" s="75"/>
      <c r="BB154" s="75"/>
      <c r="BC154" s="75"/>
      <c r="BD154" s="75"/>
      <c r="BE154" s="75"/>
      <c r="BF154" s="75"/>
      <c r="BG154" s="75"/>
      <c r="BH154" s="75"/>
      <c r="BI154" s="75"/>
      <c r="BJ154" s="75"/>
      <c r="BK154" s="75"/>
      <c r="BL154" s="75"/>
      <c r="BM154" s="75"/>
      <c r="BN154" s="75"/>
      <c r="BO154" s="75"/>
      <c r="BP154" s="75"/>
      <c r="BQ154" s="75"/>
      <c r="BR154" s="75"/>
      <c r="BS154" s="75"/>
      <c r="BT154" s="75"/>
      <c r="BU154" s="75"/>
      <c r="BV154" s="75"/>
      <c r="BW154" s="75"/>
      <c r="BX154" s="75"/>
      <c r="BY154" s="75"/>
      <c r="BZ154" s="75"/>
      <c r="CA154" s="75"/>
      <c r="CB154" s="75"/>
      <c r="CC154" s="75"/>
      <c r="CD154" s="75"/>
      <c r="CE154" s="75"/>
      <c r="CF154" s="75"/>
      <c r="CG154" s="75"/>
      <c r="CH154" s="75"/>
      <c r="CI154" s="75"/>
      <c r="CJ154" s="75"/>
      <c r="CK154" s="75"/>
      <c r="CL154" s="75"/>
      <c r="CM154" s="75"/>
      <c r="CN154" s="75"/>
      <c r="CO154" s="75"/>
      <c r="CP154" s="75"/>
      <c r="CQ154" s="75"/>
      <c r="CR154" s="75"/>
      <c r="CS154" s="75"/>
      <c r="CT154" s="75"/>
      <c r="CU154" s="75"/>
      <c r="CV154" s="75"/>
      <c r="CW154" s="75"/>
      <c r="CX154" s="75"/>
      <c r="CY154" s="75"/>
      <c r="CZ154" s="75"/>
      <c r="DA154" s="75"/>
      <c r="DB154" s="75"/>
      <c r="DC154" s="75"/>
      <c r="DD154" s="75"/>
    </row>
    <row r="155" spans="1:108">
      <c r="A155" s="75" t="s">
        <v>205</v>
      </c>
      <c r="B155" s="75" t="s">
        <v>146</v>
      </c>
      <c r="C155" s="75" t="s">
        <v>85</v>
      </c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89"/>
      <c r="T155" s="75"/>
      <c r="U155" s="75"/>
      <c r="V155" s="75">
        <v>912</v>
      </c>
      <c r="W155" s="78">
        <v>1519</v>
      </c>
      <c r="X155" s="75"/>
      <c r="Y155" s="75"/>
      <c r="Z155" s="75"/>
      <c r="AA155" s="75"/>
      <c r="AB155" s="75"/>
      <c r="AC155" s="75"/>
      <c r="AD155" s="75"/>
      <c r="AE155" s="75"/>
      <c r="AF155" s="75"/>
      <c r="AG155" s="75"/>
      <c r="AH155" s="75"/>
      <c r="AI155" s="75"/>
      <c r="AJ155" s="75"/>
      <c r="AK155" s="75"/>
      <c r="AL155" s="75"/>
      <c r="AM155" s="75"/>
      <c r="AN155" s="75"/>
      <c r="AO155" s="75"/>
      <c r="AP155" s="75"/>
      <c r="AQ155" s="75"/>
      <c r="AR155" s="75"/>
      <c r="AS155" s="75"/>
      <c r="AT155" s="75"/>
      <c r="AU155" s="75"/>
      <c r="AV155" s="75"/>
      <c r="AW155" s="75"/>
      <c r="AX155" s="75"/>
      <c r="AY155" s="75"/>
      <c r="AZ155" s="75"/>
      <c r="BA155" s="75"/>
      <c r="BB155" s="75"/>
      <c r="BC155" s="75"/>
      <c r="BD155" s="75"/>
      <c r="BE155" s="75"/>
      <c r="BF155" s="75"/>
      <c r="BG155" s="75"/>
      <c r="BH155" s="75"/>
      <c r="BI155" s="75"/>
      <c r="BJ155" s="75"/>
      <c r="BK155" s="75"/>
      <c r="BL155" s="75"/>
      <c r="BM155" s="75"/>
      <c r="BN155" s="75"/>
      <c r="BO155" s="75"/>
      <c r="BP155" s="75"/>
      <c r="BQ155" s="75"/>
      <c r="BR155" s="75"/>
      <c r="BS155" s="75"/>
      <c r="BT155" s="75"/>
      <c r="BU155" s="75"/>
      <c r="BV155" s="75"/>
      <c r="BW155" s="75"/>
      <c r="BX155" s="75"/>
      <c r="BY155" s="75"/>
      <c r="BZ155" s="75"/>
      <c r="CA155" s="75"/>
      <c r="CB155" s="75"/>
      <c r="CC155" s="75"/>
      <c r="CD155" s="75"/>
      <c r="CE155" s="75"/>
      <c r="CF155" s="75"/>
      <c r="CG155" s="75"/>
      <c r="CH155" s="75"/>
      <c r="CI155" s="75"/>
      <c r="CJ155" s="75"/>
      <c r="CK155" s="75"/>
      <c r="CL155" s="75"/>
      <c r="CM155" s="75"/>
      <c r="CN155" s="75"/>
      <c r="CO155" s="75"/>
      <c r="CP155" s="75"/>
      <c r="CQ155" s="75"/>
      <c r="CR155" s="75"/>
      <c r="CS155" s="75"/>
      <c r="CT155" s="75"/>
      <c r="CU155" s="75"/>
      <c r="CV155" s="75"/>
      <c r="CW155" s="75"/>
      <c r="CX155" s="75"/>
      <c r="CY155" s="75"/>
      <c r="CZ155" s="75"/>
      <c r="DA155" s="75"/>
      <c r="DB155" s="75"/>
      <c r="DC155" s="75"/>
      <c r="DD155" s="75"/>
    </row>
    <row r="156" spans="1:108">
      <c r="A156" s="75" t="s">
        <v>206</v>
      </c>
      <c r="B156" s="75" t="s">
        <v>150</v>
      </c>
      <c r="C156" s="75" t="s">
        <v>85</v>
      </c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89"/>
      <c r="T156" s="75"/>
      <c r="U156" s="75"/>
      <c r="V156" s="75"/>
      <c r="W156" s="75"/>
      <c r="X156" s="78">
        <v>3960</v>
      </c>
      <c r="Y156" s="75"/>
      <c r="Z156" s="75"/>
      <c r="AA156" s="75"/>
      <c r="AB156" s="75"/>
      <c r="AC156" s="75"/>
      <c r="AD156" s="75"/>
      <c r="AE156" s="75"/>
      <c r="AF156" s="75"/>
      <c r="AG156" s="75"/>
      <c r="AH156" s="75"/>
      <c r="AI156" s="75"/>
      <c r="AJ156" s="75"/>
      <c r="AK156" s="75"/>
      <c r="AL156" s="75"/>
      <c r="AM156" s="75"/>
      <c r="AN156" s="75"/>
      <c r="AO156" s="75"/>
      <c r="AP156" s="75"/>
      <c r="AQ156" s="75"/>
      <c r="AR156" s="75"/>
      <c r="AS156" s="75"/>
      <c r="AT156" s="75"/>
      <c r="AU156" s="75"/>
      <c r="AV156" s="75"/>
      <c r="AW156" s="75"/>
      <c r="AX156" s="75"/>
      <c r="AY156" s="75"/>
      <c r="AZ156" s="75"/>
      <c r="BA156" s="75"/>
      <c r="BB156" s="75"/>
      <c r="BC156" s="75"/>
      <c r="BD156" s="75"/>
      <c r="BE156" s="75"/>
      <c r="BF156" s="75"/>
      <c r="BG156" s="75"/>
      <c r="BH156" s="75"/>
      <c r="BI156" s="75"/>
      <c r="BJ156" s="75"/>
      <c r="BK156" s="75"/>
      <c r="BL156" s="75"/>
      <c r="BM156" s="75"/>
      <c r="BN156" s="75"/>
      <c r="BO156" s="75"/>
      <c r="BP156" s="75"/>
      <c r="BQ156" s="75"/>
      <c r="BR156" s="75"/>
      <c r="BS156" s="75"/>
      <c r="BT156" s="75"/>
      <c r="BU156" s="75"/>
      <c r="BV156" s="75"/>
      <c r="BW156" s="75"/>
      <c r="BX156" s="75"/>
      <c r="BY156" s="75"/>
      <c r="BZ156" s="75"/>
      <c r="CA156" s="75"/>
      <c r="CB156" s="75"/>
      <c r="CC156" s="75"/>
      <c r="CD156" s="75"/>
      <c r="CE156" s="75"/>
      <c r="CF156" s="75"/>
      <c r="CG156" s="75"/>
      <c r="CH156" s="75"/>
      <c r="CI156" s="75"/>
      <c r="CJ156" s="75"/>
      <c r="CK156" s="75"/>
      <c r="CL156" s="75"/>
      <c r="CM156" s="75"/>
      <c r="CN156" s="75"/>
      <c r="CO156" s="75"/>
      <c r="CP156" s="75"/>
      <c r="CQ156" s="75"/>
      <c r="CR156" s="75"/>
      <c r="CS156" s="75"/>
      <c r="CT156" s="75"/>
      <c r="CU156" s="75"/>
      <c r="CV156" s="75"/>
      <c r="CW156" s="75"/>
      <c r="CX156" s="75"/>
      <c r="CY156" s="75"/>
      <c r="CZ156" s="75"/>
      <c r="DA156" s="75"/>
      <c r="DB156" s="75"/>
      <c r="DC156" s="75"/>
      <c r="DD156" s="75"/>
    </row>
    <row r="157" spans="1:108">
      <c r="A157" s="75" t="s">
        <v>206</v>
      </c>
      <c r="B157" s="75" t="s">
        <v>150</v>
      </c>
      <c r="C157" s="75" t="s">
        <v>85</v>
      </c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89"/>
      <c r="T157" s="75"/>
      <c r="U157" s="75"/>
      <c r="V157" s="75"/>
      <c r="W157" s="75"/>
      <c r="X157" s="78">
        <v>28600</v>
      </c>
      <c r="Y157" s="75"/>
      <c r="Z157" s="75"/>
      <c r="AA157" s="75"/>
      <c r="AB157" s="75"/>
      <c r="AC157" s="75"/>
      <c r="AD157" s="75"/>
      <c r="AE157" s="75"/>
      <c r="AF157" s="75"/>
      <c r="AG157" s="75"/>
      <c r="AH157" s="75"/>
      <c r="AI157" s="75"/>
      <c r="AJ157" s="75"/>
      <c r="AK157" s="75"/>
      <c r="AL157" s="75"/>
      <c r="AM157" s="75"/>
      <c r="AN157" s="75"/>
      <c r="AO157" s="75"/>
      <c r="AP157" s="75"/>
      <c r="AQ157" s="75"/>
      <c r="AR157" s="75"/>
      <c r="AS157" s="75"/>
      <c r="AT157" s="75"/>
      <c r="AU157" s="75"/>
      <c r="AV157" s="75"/>
      <c r="AW157" s="75"/>
      <c r="AX157" s="75"/>
      <c r="AY157" s="75"/>
      <c r="AZ157" s="75"/>
      <c r="BA157" s="75"/>
      <c r="BB157" s="75"/>
      <c r="BC157" s="75"/>
      <c r="BD157" s="75"/>
      <c r="BE157" s="75"/>
      <c r="BF157" s="75"/>
      <c r="BG157" s="75"/>
      <c r="BH157" s="75"/>
      <c r="BI157" s="75"/>
      <c r="BJ157" s="75"/>
      <c r="BK157" s="75"/>
      <c r="BL157" s="75"/>
      <c r="BM157" s="75"/>
      <c r="BN157" s="75"/>
      <c r="BO157" s="75"/>
      <c r="BP157" s="75"/>
      <c r="BQ157" s="75"/>
      <c r="BR157" s="75"/>
      <c r="BS157" s="75"/>
      <c r="BT157" s="75"/>
      <c r="BU157" s="75"/>
      <c r="BV157" s="75"/>
      <c r="BW157" s="75"/>
      <c r="BX157" s="75"/>
      <c r="BY157" s="75"/>
      <c r="BZ157" s="75"/>
      <c r="CA157" s="75"/>
      <c r="CB157" s="75"/>
      <c r="CC157" s="75"/>
      <c r="CD157" s="75"/>
      <c r="CE157" s="75"/>
      <c r="CF157" s="75"/>
      <c r="CG157" s="75"/>
      <c r="CH157" s="75"/>
      <c r="CI157" s="75"/>
      <c r="CJ157" s="75"/>
      <c r="CK157" s="75"/>
      <c r="CL157" s="75"/>
      <c r="CM157" s="75"/>
      <c r="CN157" s="75"/>
      <c r="CO157" s="75"/>
      <c r="CP157" s="75"/>
      <c r="CQ157" s="75"/>
      <c r="CR157" s="75"/>
      <c r="CS157" s="75"/>
      <c r="CT157" s="75"/>
      <c r="CU157" s="75"/>
      <c r="CV157" s="75"/>
      <c r="CW157" s="75"/>
      <c r="CX157" s="75"/>
      <c r="CY157" s="75"/>
      <c r="CZ157" s="75"/>
      <c r="DA157" s="75"/>
      <c r="DB157" s="75"/>
      <c r="DC157" s="75"/>
      <c r="DD157" s="75"/>
    </row>
    <row r="158" spans="1:108">
      <c r="A158" s="75" t="s">
        <v>207</v>
      </c>
      <c r="B158" s="75" t="s">
        <v>152</v>
      </c>
      <c r="C158" s="75" t="s">
        <v>85</v>
      </c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89"/>
      <c r="T158" s="75"/>
      <c r="U158" s="75"/>
      <c r="V158" s="78">
        <v>6934</v>
      </c>
      <c r="W158" s="78">
        <v>20803</v>
      </c>
      <c r="X158" s="78">
        <v>6934</v>
      </c>
      <c r="Y158" s="75"/>
      <c r="Z158" s="75"/>
      <c r="AA158" s="75"/>
      <c r="AB158" s="75"/>
      <c r="AC158" s="75"/>
      <c r="AD158" s="75"/>
      <c r="AE158" s="75"/>
      <c r="AF158" s="75"/>
      <c r="AG158" s="75"/>
      <c r="AH158" s="75"/>
      <c r="AI158" s="75"/>
      <c r="AJ158" s="75"/>
      <c r="AK158" s="75"/>
      <c r="AL158" s="75"/>
      <c r="AM158" s="75"/>
      <c r="AN158" s="75"/>
      <c r="AO158" s="75"/>
      <c r="AP158" s="75"/>
      <c r="AQ158" s="75"/>
      <c r="AR158" s="75"/>
      <c r="AS158" s="75"/>
      <c r="AT158" s="75"/>
      <c r="AU158" s="75"/>
      <c r="AV158" s="75"/>
      <c r="AW158" s="75"/>
      <c r="AX158" s="75"/>
      <c r="AY158" s="75"/>
      <c r="AZ158" s="75"/>
      <c r="BA158" s="75"/>
      <c r="BB158" s="75"/>
      <c r="BC158" s="75"/>
      <c r="BD158" s="75"/>
      <c r="BE158" s="75"/>
      <c r="BF158" s="75"/>
      <c r="BG158" s="75"/>
      <c r="BH158" s="75"/>
      <c r="BI158" s="75"/>
      <c r="BJ158" s="75"/>
      <c r="BK158" s="75"/>
      <c r="BL158" s="75"/>
      <c r="BM158" s="75"/>
      <c r="BN158" s="75"/>
      <c r="BO158" s="75"/>
      <c r="BP158" s="75"/>
      <c r="BQ158" s="75"/>
      <c r="BR158" s="75"/>
      <c r="BS158" s="75"/>
      <c r="BT158" s="75"/>
      <c r="BU158" s="75"/>
      <c r="BV158" s="75"/>
      <c r="BW158" s="75"/>
      <c r="BX158" s="75"/>
      <c r="BY158" s="75"/>
      <c r="BZ158" s="75"/>
      <c r="CA158" s="75"/>
      <c r="CB158" s="75"/>
      <c r="CC158" s="75"/>
      <c r="CD158" s="75"/>
      <c r="CE158" s="75"/>
      <c r="CF158" s="75"/>
      <c r="CG158" s="75"/>
      <c r="CH158" s="75"/>
      <c r="CI158" s="75"/>
      <c r="CJ158" s="75"/>
      <c r="CK158" s="75"/>
      <c r="CL158" s="75"/>
      <c r="CM158" s="75"/>
      <c r="CN158" s="75"/>
      <c r="CO158" s="75"/>
      <c r="CP158" s="75"/>
      <c r="CQ158" s="75"/>
      <c r="CR158" s="75"/>
      <c r="CS158" s="75"/>
      <c r="CT158" s="75"/>
      <c r="CU158" s="75"/>
      <c r="CV158" s="75"/>
      <c r="CW158" s="75"/>
      <c r="CX158" s="75"/>
      <c r="CY158" s="75"/>
      <c r="CZ158" s="75"/>
      <c r="DA158" s="75"/>
      <c r="DB158" s="75"/>
      <c r="DC158" s="75"/>
      <c r="DD158" s="75"/>
    </row>
    <row r="159" spans="1:108">
      <c r="A159" s="75" t="s">
        <v>208</v>
      </c>
      <c r="B159" s="75" t="s">
        <v>148</v>
      </c>
      <c r="C159" s="75" t="s">
        <v>85</v>
      </c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89"/>
      <c r="T159" s="75"/>
      <c r="U159" s="75"/>
      <c r="V159" s="78">
        <v>14282</v>
      </c>
      <c r="W159" s="78">
        <v>28565</v>
      </c>
      <c r="X159" s="78">
        <v>4761</v>
      </c>
      <c r="Y159" s="75"/>
      <c r="Z159" s="75"/>
      <c r="AA159" s="75"/>
      <c r="AB159" s="75"/>
      <c r="AC159" s="75"/>
      <c r="AD159" s="75"/>
      <c r="AE159" s="75"/>
      <c r="AF159" s="75"/>
      <c r="AG159" s="75"/>
      <c r="AH159" s="75"/>
      <c r="AI159" s="75"/>
      <c r="AJ159" s="75"/>
      <c r="AK159" s="75"/>
      <c r="AL159" s="75"/>
      <c r="AM159" s="75"/>
      <c r="AN159" s="75"/>
      <c r="AO159" s="75"/>
      <c r="AP159" s="75"/>
      <c r="AQ159" s="75"/>
      <c r="AR159" s="75"/>
      <c r="AS159" s="75"/>
      <c r="AT159" s="75"/>
      <c r="AU159" s="75"/>
      <c r="AV159" s="75"/>
      <c r="AW159" s="75"/>
      <c r="AX159" s="75"/>
      <c r="AY159" s="75"/>
      <c r="AZ159" s="75"/>
      <c r="BA159" s="75"/>
      <c r="BB159" s="75"/>
      <c r="BC159" s="75"/>
      <c r="BD159" s="75"/>
      <c r="BE159" s="75"/>
      <c r="BF159" s="75"/>
      <c r="BG159" s="75"/>
      <c r="BH159" s="75"/>
      <c r="BI159" s="75"/>
      <c r="BJ159" s="75"/>
      <c r="BK159" s="75"/>
      <c r="BL159" s="75"/>
      <c r="BM159" s="75"/>
      <c r="BN159" s="75"/>
      <c r="BO159" s="75"/>
      <c r="BP159" s="75"/>
      <c r="BQ159" s="75"/>
      <c r="BR159" s="75"/>
      <c r="BS159" s="75"/>
      <c r="BT159" s="75"/>
      <c r="BU159" s="75"/>
      <c r="BV159" s="75"/>
      <c r="BW159" s="75"/>
      <c r="BX159" s="75"/>
      <c r="BY159" s="75"/>
      <c r="BZ159" s="75"/>
      <c r="CA159" s="75"/>
      <c r="CB159" s="75"/>
      <c r="CC159" s="75"/>
      <c r="CD159" s="75"/>
      <c r="CE159" s="75"/>
      <c r="CF159" s="75"/>
      <c r="CG159" s="75"/>
      <c r="CH159" s="75"/>
      <c r="CI159" s="75"/>
      <c r="CJ159" s="75"/>
      <c r="CK159" s="75"/>
      <c r="CL159" s="75"/>
      <c r="CM159" s="75"/>
      <c r="CN159" s="75"/>
      <c r="CO159" s="75"/>
      <c r="CP159" s="75"/>
      <c r="CQ159" s="75"/>
      <c r="CR159" s="75"/>
      <c r="CS159" s="75"/>
      <c r="CT159" s="75"/>
      <c r="CU159" s="75"/>
      <c r="CV159" s="75"/>
      <c r="CW159" s="75"/>
      <c r="CX159" s="75"/>
      <c r="CY159" s="75"/>
      <c r="CZ159" s="75"/>
      <c r="DA159" s="75"/>
      <c r="DB159" s="75"/>
      <c r="DC159" s="75"/>
      <c r="DD159" s="75"/>
    </row>
    <row r="160" spans="1:108">
      <c r="A160" s="75" t="s">
        <v>208</v>
      </c>
      <c r="B160" s="75" t="s">
        <v>148</v>
      </c>
      <c r="C160" s="75" t="s">
        <v>85</v>
      </c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89"/>
      <c r="T160" s="75"/>
      <c r="U160" s="75"/>
      <c r="V160" s="78">
        <v>1584</v>
      </c>
      <c r="W160" s="78">
        <v>3168</v>
      </c>
      <c r="X160" s="75">
        <v>528</v>
      </c>
      <c r="Y160" s="75"/>
      <c r="Z160" s="75"/>
      <c r="AA160" s="75"/>
      <c r="AB160" s="75"/>
      <c r="AC160" s="75"/>
      <c r="AD160" s="75"/>
      <c r="AE160" s="75"/>
      <c r="AF160" s="75"/>
      <c r="AG160" s="75"/>
      <c r="AH160" s="75"/>
      <c r="AI160" s="75"/>
      <c r="AJ160" s="75"/>
      <c r="AK160" s="75"/>
      <c r="AL160" s="75"/>
      <c r="AM160" s="75"/>
      <c r="AN160" s="75"/>
      <c r="AO160" s="75"/>
      <c r="AP160" s="75"/>
      <c r="AQ160" s="75"/>
      <c r="AR160" s="75"/>
      <c r="AS160" s="75"/>
      <c r="AT160" s="75"/>
      <c r="AU160" s="75"/>
      <c r="AV160" s="75"/>
      <c r="AW160" s="75"/>
      <c r="AX160" s="75"/>
      <c r="AY160" s="75"/>
      <c r="AZ160" s="75"/>
      <c r="BA160" s="75"/>
      <c r="BB160" s="75"/>
      <c r="BC160" s="75"/>
      <c r="BD160" s="75"/>
      <c r="BE160" s="75"/>
      <c r="BF160" s="75"/>
      <c r="BG160" s="75"/>
      <c r="BH160" s="75"/>
      <c r="BI160" s="75"/>
      <c r="BJ160" s="75"/>
      <c r="BK160" s="75"/>
      <c r="BL160" s="75"/>
      <c r="BM160" s="75"/>
      <c r="BN160" s="75"/>
      <c r="BO160" s="75"/>
      <c r="BP160" s="75"/>
      <c r="BQ160" s="75"/>
      <c r="BR160" s="75"/>
      <c r="BS160" s="75"/>
      <c r="BT160" s="75"/>
      <c r="BU160" s="75"/>
      <c r="BV160" s="75"/>
      <c r="BW160" s="75"/>
      <c r="BX160" s="75"/>
      <c r="BY160" s="75"/>
      <c r="BZ160" s="75"/>
      <c r="CA160" s="75"/>
      <c r="CB160" s="75"/>
      <c r="CC160" s="75"/>
      <c r="CD160" s="75"/>
      <c r="CE160" s="75"/>
      <c r="CF160" s="75"/>
      <c r="CG160" s="75"/>
      <c r="CH160" s="75"/>
      <c r="CI160" s="75"/>
      <c r="CJ160" s="75"/>
      <c r="CK160" s="75"/>
      <c r="CL160" s="75"/>
      <c r="CM160" s="75"/>
      <c r="CN160" s="75"/>
      <c r="CO160" s="75"/>
      <c r="CP160" s="75"/>
      <c r="CQ160" s="75"/>
      <c r="CR160" s="75"/>
      <c r="CS160" s="75"/>
      <c r="CT160" s="75"/>
      <c r="CU160" s="75"/>
      <c r="CV160" s="75"/>
      <c r="CW160" s="75"/>
      <c r="CX160" s="75"/>
      <c r="CY160" s="75"/>
      <c r="CZ160" s="75"/>
      <c r="DA160" s="75"/>
      <c r="DB160" s="75"/>
      <c r="DC160" s="75"/>
      <c r="DD160" s="75"/>
    </row>
    <row r="161" spans="1:108">
      <c r="A161" s="75" t="s">
        <v>209</v>
      </c>
      <c r="B161" s="75" t="s">
        <v>210</v>
      </c>
      <c r="C161" s="75" t="s">
        <v>85</v>
      </c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89"/>
      <c r="T161" s="75"/>
      <c r="U161" s="75"/>
      <c r="V161" s="75"/>
      <c r="W161" s="75"/>
      <c r="X161" s="75">
        <v>952</v>
      </c>
      <c r="Y161" s="78">
        <v>4760</v>
      </c>
      <c r="Z161" s="75"/>
      <c r="AA161" s="75"/>
      <c r="AB161" s="75"/>
      <c r="AC161" s="75"/>
      <c r="AD161" s="75"/>
      <c r="AE161" s="75"/>
      <c r="AF161" s="75"/>
      <c r="AG161" s="75"/>
      <c r="AH161" s="75"/>
      <c r="AI161" s="75"/>
      <c r="AJ161" s="75"/>
      <c r="AK161" s="75"/>
      <c r="AL161" s="75"/>
      <c r="AM161" s="75"/>
      <c r="AN161" s="75"/>
      <c r="AO161" s="75"/>
      <c r="AP161" s="75"/>
      <c r="AQ161" s="75"/>
      <c r="AR161" s="75"/>
      <c r="AS161" s="75"/>
      <c r="AT161" s="75"/>
      <c r="AU161" s="75"/>
      <c r="AV161" s="75"/>
      <c r="AW161" s="75"/>
      <c r="AX161" s="75"/>
      <c r="AY161" s="75"/>
      <c r="AZ161" s="75"/>
      <c r="BA161" s="75"/>
      <c r="BB161" s="75"/>
      <c r="BC161" s="75"/>
      <c r="BD161" s="75"/>
      <c r="BE161" s="75"/>
      <c r="BF161" s="75"/>
      <c r="BG161" s="75"/>
      <c r="BH161" s="75"/>
      <c r="BI161" s="75"/>
      <c r="BJ161" s="75"/>
      <c r="BK161" s="75"/>
      <c r="BL161" s="75"/>
      <c r="BM161" s="75"/>
      <c r="BN161" s="75"/>
      <c r="BO161" s="75"/>
      <c r="BP161" s="75"/>
      <c r="BQ161" s="75"/>
      <c r="BR161" s="75"/>
      <c r="BS161" s="75"/>
      <c r="BT161" s="75"/>
      <c r="BU161" s="75"/>
      <c r="BV161" s="75"/>
      <c r="BW161" s="75"/>
      <c r="BX161" s="75"/>
      <c r="BY161" s="75"/>
      <c r="BZ161" s="75"/>
      <c r="CA161" s="75"/>
      <c r="CB161" s="75"/>
      <c r="CC161" s="75"/>
      <c r="CD161" s="75"/>
      <c r="CE161" s="75"/>
      <c r="CF161" s="75"/>
      <c r="CG161" s="75"/>
      <c r="CH161" s="75"/>
      <c r="CI161" s="75"/>
      <c r="CJ161" s="75"/>
      <c r="CK161" s="75"/>
      <c r="CL161" s="75"/>
      <c r="CM161" s="75"/>
      <c r="CN161" s="75"/>
      <c r="CO161" s="75"/>
      <c r="CP161" s="75"/>
      <c r="CQ161" s="75"/>
      <c r="CR161" s="75"/>
      <c r="CS161" s="75"/>
      <c r="CT161" s="75"/>
      <c r="CU161" s="75"/>
      <c r="CV161" s="75"/>
      <c r="CW161" s="75"/>
      <c r="CX161" s="75"/>
      <c r="CY161" s="75"/>
      <c r="CZ161" s="75"/>
      <c r="DA161" s="75"/>
      <c r="DB161" s="75"/>
      <c r="DC161" s="75"/>
      <c r="DD161" s="75"/>
    </row>
    <row r="162" spans="1:108">
      <c r="A162" s="75" t="s">
        <v>209</v>
      </c>
      <c r="B162" s="75" t="s">
        <v>210</v>
      </c>
      <c r="C162" s="75" t="s">
        <v>85</v>
      </c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89"/>
      <c r="T162" s="75"/>
      <c r="U162" s="75"/>
      <c r="V162" s="75"/>
      <c r="W162" s="75"/>
      <c r="X162" s="78">
        <v>1269</v>
      </c>
      <c r="Y162" s="78">
        <v>6347</v>
      </c>
      <c r="Z162" s="75"/>
      <c r="AA162" s="75"/>
      <c r="AB162" s="75"/>
      <c r="AC162" s="75"/>
      <c r="AD162" s="75"/>
      <c r="AE162" s="75"/>
      <c r="AF162" s="75"/>
      <c r="AG162" s="75"/>
      <c r="AH162" s="75"/>
      <c r="AI162" s="75"/>
      <c r="AJ162" s="75"/>
      <c r="AK162" s="75"/>
      <c r="AL162" s="75"/>
      <c r="AM162" s="75"/>
      <c r="AN162" s="75"/>
      <c r="AO162" s="75"/>
      <c r="AP162" s="75"/>
      <c r="AQ162" s="75"/>
      <c r="AR162" s="75"/>
      <c r="AS162" s="75"/>
      <c r="AT162" s="75"/>
      <c r="AU162" s="75"/>
      <c r="AV162" s="75"/>
      <c r="AW162" s="75"/>
      <c r="AX162" s="75"/>
      <c r="AY162" s="75"/>
      <c r="AZ162" s="75"/>
      <c r="BA162" s="75"/>
      <c r="BB162" s="75"/>
      <c r="BC162" s="75"/>
      <c r="BD162" s="75"/>
      <c r="BE162" s="75"/>
      <c r="BF162" s="75"/>
      <c r="BG162" s="75"/>
      <c r="BH162" s="75"/>
      <c r="BI162" s="75"/>
      <c r="BJ162" s="75"/>
      <c r="BK162" s="75"/>
      <c r="BL162" s="75"/>
      <c r="BM162" s="75"/>
      <c r="BN162" s="75"/>
      <c r="BO162" s="75"/>
      <c r="BP162" s="75"/>
      <c r="BQ162" s="75"/>
      <c r="BR162" s="75"/>
      <c r="BS162" s="75"/>
      <c r="BT162" s="75"/>
      <c r="BU162" s="75"/>
      <c r="BV162" s="75"/>
      <c r="BW162" s="75"/>
      <c r="BX162" s="75"/>
      <c r="BY162" s="75"/>
      <c r="BZ162" s="75"/>
      <c r="CA162" s="75"/>
      <c r="CB162" s="75"/>
      <c r="CC162" s="75"/>
      <c r="CD162" s="75"/>
      <c r="CE162" s="75"/>
      <c r="CF162" s="75"/>
      <c r="CG162" s="75"/>
      <c r="CH162" s="75"/>
      <c r="CI162" s="75"/>
      <c r="CJ162" s="75"/>
      <c r="CK162" s="75"/>
      <c r="CL162" s="75"/>
      <c r="CM162" s="75"/>
      <c r="CN162" s="75"/>
      <c r="CO162" s="75"/>
      <c r="CP162" s="75"/>
      <c r="CQ162" s="75"/>
      <c r="CR162" s="75"/>
      <c r="CS162" s="75"/>
      <c r="CT162" s="75"/>
      <c r="CU162" s="75"/>
      <c r="CV162" s="75"/>
      <c r="CW162" s="75"/>
      <c r="CX162" s="75"/>
      <c r="CY162" s="75"/>
      <c r="CZ162" s="75"/>
      <c r="DA162" s="75"/>
      <c r="DB162" s="75"/>
      <c r="DC162" s="75"/>
      <c r="DD162" s="75"/>
    </row>
    <row r="163" spans="1:108">
      <c r="A163" s="75" t="s">
        <v>209</v>
      </c>
      <c r="B163" s="75" t="s">
        <v>210</v>
      </c>
      <c r="C163" s="75" t="s">
        <v>85</v>
      </c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89"/>
      <c r="T163" s="75"/>
      <c r="U163" s="75"/>
      <c r="V163" s="75"/>
      <c r="W163" s="75"/>
      <c r="X163" s="75">
        <v>952</v>
      </c>
      <c r="Y163" s="78">
        <v>4760</v>
      </c>
      <c r="Z163" s="75"/>
      <c r="AA163" s="75"/>
      <c r="AB163" s="75"/>
      <c r="AC163" s="75"/>
      <c r="AD163" s="75"/>
      <c r="AE163" s="75"/>
      <c r="AF163" s="75"/>
      <c r="AG163" s="75"/>
      <c r="AH163" s="75"/>
      <c r="AI163" s="75"/>
      <c r="AJ163" s="75"/>
      <c r="AK163" s="75"/>
      <c r="AL163" s="75"/>
      <c r="AM163" s="75"/>
      <c r="AN163" s="75"/>
      <c r="AO163" s="75"/>
      <c r="AP163" s="75"/>
      <c r="AQ163" s="75"/>
      <c r="AR163" s="75"/>
      <c r="AS163" s="75"/>
      <c r="AT163" s="75"/>
      <c r="AU163" s="75"/>
      <c r="AV163" s="75"/>
      <c r="AW163" s="75"/>
      <c r="AX163" s="75"/>
      <c r="AY163" s="75"/>
      <c r="AZ163" s="75"/>
      <c r="BA163" s="75"/>
      <c r="BB163" s="75"/>
      <c r="BC163" s="75"/>
      <c r="BD163" s="75"/>
      <c r="BE163" s="75"/>
      <c r="BF163" s="75"/>
      <c r="BG163" s="75"/>
      <c r="BH163" s="75"/>
      <c r="BI163" s="75"/>
      <c r="BJ163" s="75"/>
      <c r="BK163" s="75"/>
      <c r="BL163" s="75"/>
      <c r="BM163" s="75"/>
      <c r="BN163" s="75"/>
      <c r="BO163" s="75"/>
      <c r="BP163" s="75"/>
      <c r="BQ163" s="75"/>
      <c r="BR163" s="75"/>
      <c r="BS163" s="75"/>
      <c r="BT163" s="75"/>
      <c r="BU163" s="75"/>
      <c r="BV163" s="75"/>
      <c r="BW163" s="75"/>
      <c r="BX163" s="75"/>
      <c r="BY163" s="75"/>
      <c r="BZ163" s="75"/>
      <c r="CA163" s="75"/>
      <c r="CB163" s="75"/>
      <c r="CC163" s="75"/>
      <c r="CD163" s="75"/>
      <c r="CE163" s="75"/>
      <c r="CF163" s="75"/>
      <c r="CG163" s="75"/>
      <c r="CH163" s="75"/>
      <c r="CI163" s="75"/>
      <c r="CJ163" s="75"/>
      <c r="CK163" s="75"/>
      <c r="CL163" s="75"/>
      <c r="CM163" s="75"/>
      <c r="CN163" s="75"/>
      <c r="CO163" s="75"/>
      <c r="CP163" s="75"/>
      <c r="CQ163" s="75"/>
      <c r="CR163" s="75"/>
      <c r="CS163" s="75"/>
      <c r="CT163" s="75"/>
      <c r="CU163" s="75"/>
      <c r="CV163" s="75"/>
      <c r="CW163" s="75"/>
      <c r="CX163" s="75"/>
      <c r="CY163" s="75"/>
      <c r="CZ163" s="75"/>
      <c r="DA163" s="75"/>
      <c r="DB163" s="75"/>
      <c r="DC163" s="75"/>
      <c r="DD163" s="75"/>
    </row>
    <row r="164" spans="1:108">
      <c r="A164" s="75" t="s">
        <v>209</v>
      </c>
      <c r="B164" s="75" t="s">
        <v>210</v>
      </c>
      <c r="C164" s="75" t="s">
        <v>85</v>
      </c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89"/>
      <c r="T164" s="75"/>
      <c r="U164" s="75"/>
      <c r="V164" s="75"/>
      <c r="W164" s="75"/>
      <c r="X164" s="78">
        <v>1587</v>
      </c>
      <c r="Y164" s="78">
        <v>7933</v>
      </c>
      <c r="Z164" s="75"/>
      <c r="AA164" s="75"/>
      <c r="AB164" s="75"/>
      <c r="AC164" s="75"/>
      <c r="AD164" s="75"/>
      <c r="AE164" s="75"/>
      <c r="AF164" s="75"/>
      <c r="AG164" s="75"/>
      <c r="AH164" s="75"/>
      <c r="AI164" s="75"/>
      <c r="AJ164" s="75"/>
      <c r="AK164" s="75"/>
      <c r="AL164" s="75"/>
      <c r="AM164" s="75"/>
      <c r="AN164" s="75"/>
      <c r="AO164" s="75"/>
      <c r="AP164" s="75"/>
      <c r="AQ164" s="75"/>
      <c r="AR164" s="75"/>
      <c r="AS164" s="75"/>
      <c r="AT164" s="75"/>
      <c r="AU164" s="75"/>
      <c r="AV164" s="75"/>
      <c r="AW164" s="75"/>
      <c r="AX164" s="75"/>
      <c r="AY164" s="75"/>
      <c r="AZ164" s="75"/>
      <c r="BA164" s="75"/>
      <c r="BB164" s="75"/>
      <c r="BC164" s="75"/>
      <c r="BD164" s="75"/>
      <c r="BE164" s="75"/>
      <c r="BF164" s="75"/>
      <c r="BG164" s="75"/>
      <c r="BH164" s="75"/>
      <c r="BI164" s="75"/>
      <c r="BJ164" s="75"/>
      <c r="BK164" s="75"/>
      <c r="BL164" s="75"/>
      <c r="BM164" s="75"/>
      <c r="BN164" s="75"/>
      <c r="BO164" s="75"/>
      <c r="BP164" s="75"/>
      <c r="BQ164" s="75"/>
      <c r="BR164" s="75"/>
      <c r="BS164" s="75"/>
      <c r="BT164" s="75"/>
      <c r="BU164" s="75"/>
      <c r="BV164" s="75"/>
      <c r="BW164" s="75"/>
      <c r="BX164" s="75"/>
      <c r="BY164" s="75"/>
      <c r="BZ164" s="75"/>
      <c r="CA164" s="75"/>
      <c r="CB164" s="75"/>
      <c r="CC164" s="75"/>
      <c r="CD164" s="75"/>
      <c r="CE164" s="75"/>
      <c r="CF164" s="75"/>
      <c r="CG164" s="75"/>
      <c r="CH164" s="75"/>
      <c r="CI164" s="75"/>
      <c r="CJ164" s="75"/>
      <c r="CK164" s="75"/>
      <c r="CL164" s="75"/>
      <c r="CM164" s="75"/>
      <c r="CN164" s="75"/>
      <c r="CO164" s="75"/>
      <c r="CP164" s="75"/>
      <c r="CQ164" s="75"/>
      <c r="CR164" s="75"/>
      <c r="CS164" s="75"/>
      <c r="CT164" s="75"/>
      <c r="CU164" s="75"/>
      <c r="CV164" s="75"/>
      <c r="CW164" s="75"/>
      <c r="CX164" s="75"/>
      <c r="CY164" s="75"/>
      <c r="CZ164" s="75"/>
      <c r="DA164" s="75"/>
      <c r="DB164" s="75"/>
      <c r="DC164" s="75"/>
      <c r="DD164" s="75"/>
    </row>
    <row r="165" spans="1:108">
      <c r="A165" s="75" t="s">
        <v>209</v>
      </c>
      <c r="B165" s="75" t="s">
        <v>210</v>
      </c>
      <c r="C165" s="75" t="s">
        <v>85</v>
      </c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89"/>
      <c r="T165" s="75"/>
      <c r="U165" s="75"/>
      <c r="V165" s="75"/>
      <c r="W165" s="75"/>
      <c r="X165" s="75">
        <v>397</v>
      </c>
      <c r="Y165" s="78">
        <v>1983</v>
      </c>
      <c r="Z165" s="75"/>
      <c r="AA165" s="75"/>
      <c r="AB165" s="75"/>
      <c r="AC165" s="75"/>
      <c r="AD165" s="75"/>
      <c r="AE165" s="75"/>
      <c r="AF165" s="75"/>
      <c r="AG165" s="75"/>
      <c r="AH165" s="75"/>
      <c r="AI165" s="75"/>
      <c r="AJ165" s="75"/>
      <c r="AK165" s="75"/>
      <c r="AL165" s="75"/>
      <c r="AM165" s="75"/>
      <c r="AN165" s="75"/>
      <c r="AO165" s="75"/>
      <c r="AP165" s="75"/>
      <c r="AQ165" s="75"/>
      <c r="AR165" s="75"/>
      <c r="AS165" s="75"/>
      <c r="AT165" s="75"/>
      <c r="AU165" s="75"/>
      <c r="AV165" s="75"/>
      <c r="AW165" s="75"/>
      <c r="AX165" s="75"/>
      <c r="AY165" s="75"/>
      <c r="AZ165" s="75"/>
      <c r="BA165" s="75"/>
      <c r="BB165" s="75"/>
      <c r="BC165" s="75"/>
      <c r="BD165" s="75"/>
      <c r="BE165" s="75"/>
      <c r="BF165" s="75"/>
      <c r="BG165" s="75"/>
      <c r="BH165" s="75"/>
      <c r="BI165" s="75"/>
      <c r="BJ165" s="75"/>
      <c r="BK165" s="75"/>
      <c r="BL165" s="75"/>
      <c r="BM165" s="75"/>
      <c r="BN165" s="75"/>
      <c r="BO165" s="75"/>
      <c r="BP165" s="75"/>
      <c r="BQ165" s="75"/>
      <c r="BR165" s="75"/>
      <c r="BS165" s="75"/>
      <c r="BT165" s="75"/>
      <c r="BU165" s="75"/>
      <c r="BV165" s="75"/>
      <c r="BW165" s="75"/>
      <c r="BX165" s="75"/>
      <c r="BY165" s="75"/>
      <c r="BZ165" s="75"/>
      <c r="CA165" s="75"/>
      <c r="CB165" s="75"/>
      <c r="CC165" s="75"/>
      <c r="CD165" s="75"/>
      <c r="CE165" s="75"/>
      <c r="CF165" s="75"/>
      <c r="CG165" s="75"/>
      <c r="CH165" s="75"/>
      <c r="CI165" s="75"/>
      <c r="CJ165" s="75"/>
      <c r="CK165" s="75"/>
      <c r="CL165" s="75"/>
      <c r="CM165" s="75"/>
      <c r="CN165" s="75"/>
      <c r="CO165" s="75"/>
      <c r="CP165" s="75"/>
      <c r="CQ165" s="75"/>
      <c r="CR165" s="75"/>
      <c r="CS165" s="75"/>
      <c r="CT165" s="75"/>
      <c r="CU165" s="75"/>
      <c r="CV165" s="75"/>
      <c r="CW165" s="75"/>
      <c r="CX165" s="75"/>
      <c r="CY165" s="75"/>
      <c r="CZ165" s="75"/>
      <c r="DA165" s="75"/>
      <c r="DB165" s="75"/>
      <c r="DC165" s="75"/>
      <c r="DD165" s="75"/>
    </row>
    <row r="166" spans="1:108">
      <c r="A166" s="75" t="s">
        <v>209</v>
      </c>
      <c r="B166" s="75" t="s">
        <v>210</v>
      </c>
      <c r="C166" s="75" t="s">
        <v>85</v>
      </c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89"/>
      <c r="T166" s="75"/>
      <c r="U166" s="75"/>
      <c r="V166" s="75"/>
      <c r="W166" s="75"/>
      <c r="X166" s="75">
        <v>238</v>
      </c>
      <c r="Y166" s="78">
        <v>1190</v>
      </c>
      <c r="Z166" s="75"/>
      <c r="AA166" s="75"/>
      <c r="AB166" s="75"/>
      <c r="AC166" s="75"/>
      <c r="AD166" s="75"/>
      <c r="AE166" s="75"/>
      <c r="AF166" s="75"/>
      <c r="AG166" s="75"/>
      <c r="AH166" s="75"/>
      <c r="AI166" s="75"/>
      <c r="AJ166" s="75"/>
      <c r="AK166" s="75"/>
      <c r="AL166" s="75"/>
      <c r="AM166" s="75"/>
      <c r="AN166" s="75"/>
      <c r="AO166" s="75"/>
      <c r="AP166" s="75"/>
      <c r="AQ166" s="75"/>
      <c r="AR166" s="75"/>
      <c r="AS166" s="75"/>
      <c r="AT166" s="75"/>
      <c r="AU166" s="75"/>
      <c r="AV166" s="75"/>
      <c r="AW166" s="75"/>
      <c r="AX166" s="75"/>
      <c r="AY166" s="75"/>
      <c r="AZ166" s="75"/>
      <c r="BA166" s="75"/>
      <c r="BB166" s="75"/>
      <c r="BC166" s="75"/>
      <c r="BD166" s="75"/>
      <c r="BE166" s="75"/>
      <c r="BF166" s="75"/>
      <c r="BG166" s="75"/>
      <c r="BH166" s="75"/>
      <c r="BI166" s="75"/>
      <c r="BJ166" s="75"/>
      <c r="BK166" s="75"/>
      <c r="BL166" s="75"/>
      <c r="BM166" s="75"/>
      <c r="BN166" s="75"/>
      <c r="BO166" s="75"/>
      <c r="BP166" s="75"/>
      <c r="BQ166" s="75"/>
      <c r="BR166" s="75"/>
      <c r="BS166" s="75"/>
      <c r="BT166" s="75"/>
      <c r="BU166" s="75"/>
      <c r="BV166" s="75"/>
      <c r="BW166" s="75"/>
      <c r="BX166" s="75"/>
      <c r="BY166" s="75"/>
      <c r="BZ166" s="75"/>
      <c r="CA166" s="75"/>
      <c r="CB166" s="75"/>
      <c r="CC166" s="75"/>
      <c r="CD166" s="75"/>
      <c r="CE166" s="75"/>
      <c r="CF166" s="75"/>
      <c r="CG166" s="75"/>
      <c r="CH166" s="75"/>
      <c r="CI166" s="75"/>
      <c r="CJ166" s="75"/>
      <c r="CK166" s="75"/>
      <c r="CL166" s="75"/>
      <c r="CM166" s="75"/>
      <c r="CN166" s="75"/>
      <c r="CO166" s="75"/>
      <c r="CP166" s="75"/>
      <c r="CQ166" s="75"/>
      <c r="CR166" s="75"/>
      <c r="CS166" s="75"/>
      <c r="CT166" s="75"/>
      <c r="CU166" s="75"/>
      <c r="CV166" s="75"/>
      <c r="CW166" s="75"/>
      <c r="CX166" s="75"/>
      <c r="CY166" s="75"/>
      <c r="CZ166" s="75"/>
      <c r="DA166" s="75"/>
      <c r="DB166" s="75"/>
      <c r="DC166" s="75"/>
      <c r="DD166" s="75"/>
    </row>
    <row r="167" spans="1:108">
      <c r="A167" s="75" t="s">
        <v>209</v>
      </c>
      <c r="B167" s="75" t="s">
        <v>210</v>
      </c>
      <c r="C167" s="75" t="s">
        <v>85</v>
      </c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89"/>
      <c r="T167" s="75"/>
      <c r="U167" s="75"/>
      <c r="V167" s="75"/>
      <c r="W167" s="75"/>
      <c r="X167" s="75">
        <v>317</v>
      </c>
      <c r="Y167" s="78">
        <v>1586</v>
      </c>
      <c r="Z167" s="75"/>
      <c r="AA167" s="75"/>
      <c r="AB167" s="75"/>
      <c r="AC167" s="75"/>
      <c r="AD167" s="75"/>
      <c r="AE167" s="75"/>
      <c r="AF167" s="75"/>
      <c r="AG167" s="75"/>
      <c r="AH167" s="75"/>
      <c r="AI167" s="75"/>
      <c r="AJ167" s="75"/>
      <c r="AK167" s="75"/>
      <c r="AL167" s="75"/>
      <c r="AM167" s="75"/>
      <c r="AN167" s="75"/>
      <c r="AO167" s="75"/>
      <c r="AP167" s="75"/>
      <c r="AQ167" s="75"/>
      <c r="AR167" s="75"/>
      <c r="AS167" s="75"/>
      <c r="AT167" s="75"/>
      <c r="AU167" s="75"/>
      <c r="AV167" s="75"/>
      <c r="AW167" s="75"/>
      <c r="AX167" s="75"/>
      <c r="AY167" s="75"/>
      <c r="AZ167" s="75"/>
      <c r="BA167" s="75"/>
      <c r="BB167" s="75"/>
      <c r="BC167" s="75"/>
      <c r="BD167" s="75"/>
      <c r="BE167" s="75"/>
      <c r="BF167" s="75"/>
      <c r="BG167" s="75"/>
      <c r="BH167" s="75"/>
      <c r="BI167" s="75"/>
      <c r="BJ167" s="75"/>
      <c r="BK167" s="75"/>
      <c r="BL167" s="75"/>
      <c r="BM167" s="75"/>
      <c r="BN167" s="75"/>
      <c r="BO167" s="75"/>
      <c r="BP167" s="75"/>
      <c r="BQ167" s="75"/>
      <c r="BR167" s="75"/>
      <c r="BS167" s="75"/>
      <c r="BT167" s="75"/>
      <c r="BU167" s="75"/>
      <c r="BV167" s="75"/>
      <c r="BW167" s="75"/>
      <c r="BX167" s="75"/>
      <c r="BY167" s="75"/>
      <c r="BZ167" s="75"/>
      <c r="CA167" s="75"/>
      <c r="CB167" s="75"/>
      <c r="CC167" s="75"/>
      <c r="CD167" s="75"/>
      <c r="CE167" s="75"/>
      <c r="CF167" s="75"/>
      <c r="CG167" s="75"/>
      <c r="CH167" s="75"/>
      <c r="CI167" s="75"/>
      <c r="CJ167" s="75"/>
      <c r="CK167" s="75"/>
      <c r="CL167" s="75"/>
      <c r="CM167" s="75"/>
      <c r="CN167" s="75"/>
      <c r="CO167" s="75"/>
      <c r="CP167" s="75"/>
      <c r="CQ167" s="75"/>
      <c r="CR167" s="75"/>
      <c r="CS167" s="75"/>
      <c r="CT167" s="75"/>
      <c r="CU167" s="75"/>
      <c r="CV167" s="75"/>
      <c r="CW167" s="75"/>
      <c r="CX167" s="75"/>
      <c r="CY167" s="75"/>
      <c r="CZ167" s="75"/>
      <c r="DA167" s="75"/>
      <c r="DB167" s="75"/>
      <c r="DC167" s="75"/>
      <c r="DD167" s="75"/>
    </row>
    <row r="168" spans="1:108">
      <c r="A168" s="75" t="s">
        <v>209</v>
      </c>
      <c r="B168" s="75" t="s">
        <v>210</v>
      </c>
      <c r="C168" s="75" t="s">
        <v>85</v>
      </c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89"/>
      <c r="T168" s="75"/>
      <c r="U168" s="75"/>
      <c r="V168" s="75"/>
      <c r="W168" s="75"/>
      <c r="X168" s="75">
        <v>238</v>
      </c>
      <c r="Y168" s="78">
        <v>1190</v>
      </c>
      <c r="Z168" s="75"/>
      <c r="AA168" s="75"/>
      <c r="AB168" s="75"/>
      <c r="AC168" s="75"/>
      <c r="AD168" s="75"/>
      <c r="AE168" s="75"/>
      <c r="AF168" s="75"/>
      <c r="AG168" s="75"/>
      <c r="AH168" s="75"/>
      <c r="AI168" s="75"/>
      <c r="AJ168" s="75"/>
      <c r="AK168" s="75"/>
      <c r="AL168" s="75"/>
      <c r="AM168" s="75"/>
      <c r="AN168" s="75"/>
      <c r="AO168" s="75"/>
      <c r="AP168" s="75"/>
      <c r="AQ168" s="75"/>
      <c r="AR168" s="75"/>
      <c r="AS168" s="75"/>
      <c r="AT168" s="75"/>
      <c r="AU168" s="75"/>
      <c r="AV168" s="75"/>
      <c r="AW168" s="75"/>
      <c r="AX168" s="75"/>
      <c r="AY168" s="75"/>
      <c r="AZ168" s="75"/>
      <c r="BA168" s="75"/>
      <c r="BB168" s="75"/>
      <c r="BC168" s="75"/>
      <c r="BD168" s="75"/>
      <c r="BE168" s="75"/>
      <c r="BF168" s="75"/>
      <c r="BG168" s="75"/>
      <c r="BH168" s="75"/>
      <c r="BI168" s="75"/>
      <c r="BJ168" s="75"/>
      <c r="BK168" s="75"/>
      <c r="BL168" s="75"/>
      <c r="BM168" s="75"/>
      <c r="BN168" s="75"/>
      <c r="BO168" s="75"/>
      <c r="BP168" s="75"/>
      <c r="BQ168" s="75"/>
      <c r="BR168" s="75"/>
      <c r="BS168" s="75"/>
      <c r="BT168" s="75"/>
      <c r="BU168" s="75"/>
      <c r="BV168" s="75"/>
      <c r="BW168" s="75"/>
      <c r="BX168" s="75"/>
      <c r="BY168" s="75"/>
      <c r="BZ168" s="75"/>
      <c r="CA168" s="75"/>
      <c r="CB168" s="75"/>
      <c r="CC168" s="75"/>
      <c r="CD168" s="75"/>
      <c r="CE168" s="75"/>
      <c r="CF168" s="75"/>
      <c r="CG168" s="75"/>
      <c r="CH168" s="75"/>
      <c r="CI168" s="75"/>
      <c r="CJ168" s="75"/>
      <c r="CK168" s="75"/>
      <c r="CL168" s="75"/>
      <c r="CM168" s="75"/>
      <c r="CN168" s="75"/>
      <c r="CO168" s="75"/>
      <c r="CP168" s="75"/>
      <c r="CQ168" s="75"/>
      <c r="CR168" s="75"/>
      <c r="CS168" s="75"/>
      <c r="CT168" s="75"/>
      <c r="CU168" s="75"/>
      <c r="CV168" s="75"/>
      <c r="CW168" s="75"/>
      <c r="CX168" s="75"/>
      <c r="CY168" s="75"/>
      <c r="CZ168" s="75"/>
      <c r="DA168" s="75"/>
      <c r="DB168" s="75"/>
      <c r="DC168" s="75"/>
      <c r="DD168" s="75"/>
    </row>
    <row r="169" spans="1:108">
      <c r="A169" s="75" t="s">
        <v>211</v>
      </c>
      <c r="B169" s="75" t="s">
        <v>212</v>
      </c>
      <c r="C169" s="75" t="s">
        <v>85</v>
      </c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89"/>
      <c r="T169" s="75"/>
      <c r="U169" s="75"/>
      <c r="V169" s="75"/>
      <c r="W169" s="75"/>
      <c r="X169" s="75"/>
      <c r="Y169" s="78">
        <v>15252</v>
      </c>
      <c r="Z169" s="75"/>
      <c r="AA169" s="75"/>
      <c r="AB169" s="75"/>
      <c r="AC169" s="75"/>
      <c r="AD169" s="75"/>
      <c r="AE169" s="75"/>
      <c r="AF169" s="75"/>
      <c r="AG169" s="75"/>
      <c r="AH169" s="75"/>
      <c r="AI169" s="75"/>
      <c r="AJ169" s="75"/>
      <c r="AK169" s="75"/>
      <c r="AL169" s="75"/>
      <c r="AM169" s="75"/>
      <c r="AN169" s="75"/>
      <c r="AO169" s="75"/>
      <c r="AP169" s="75"/>
      <c r="AQ169" s="75"/>
      <c r="AR169" s="75"/>
      <c r="AS169" s="75"/>
      <c r="AT169" s="75"/>
      <c r="AU169" s="75"/>
      <c r="AV169" s="75"/>
      <c r="AW169" s="75"/>
      <c r="AX169" s="75"/>
      <c r="AY169" s="75"/>
      <c r="AZ169" s="75"/>
      <c r="BA169" s="75"/>
      <c r="BB169" s="75"/>
      <c r="BC169" s="75"/>
      <c r="BD169" s="75"/>
      <c r="BE169" s="75"/>
      <c r="BF169" s="75"/>
      <c r="BG169" s="75"/>
      <c r="BH169" s="75"/>
      <c r="BI169" s="75"/>
      <c r="BJ169" s="75"/>
      <c r="BK169" s="75"/>
      <c r="BL169" s="75"/>
      <c r="BM169" s="75"/>
      <c r="BN169" s="75"/>
      <c r="BO169" s="75"/>
      <c r="BP169" s="75"/>
      <c r="BQ169" s="75"/>
      <c r="BR169" s="75"/>
      <c r="BS169" s="75"/>
      <c r="BT169" s="75"/>
      <c r="BU169" s="75"/>
      <c r="BV169" s="75"/>
      <c r="BW169" s="75"/>
      <c r="BX169" s="75"/>
      <c r="BY169" s="75"/>
      <c r="BZ169" s="75"/>
      <c r="CA169" s="75"/>
      <c r="CB169" s="75"/>
      <c r="CC169" s="75"/>
      <c r="CD169" s="75"/>
      <c r="CE169" s="75"/>
      <c r="CF169" s="75"/>
      <c r="CG169" s="75"/>
      <c r="CH169" s="75"/>
      <c r="CI169" s="75"/>
      <c r="CJ169" s="75"/>
      <c r="CK169" s="75"/>
      <c r="CL169" s="75"/>
      <c r="CM169" s="75"/>
      <c r="CN169" s="75"/>
      <c r="CO169" s="75"/>
      <c r="CP169" s="75"/>
      <c r="CQ169" s="75"/>
      <c r="CR169" s="75"/>
      <c r="CS169" s="75"/>
      <c r="CT169" s="75"/>
      <c r="CU169" s="75"/>
      <c r="CV169" s="75"/>
      <c r="CW169" s="75"/>
      <c r="CX169" s="75"/>
      <c r="CY169" s="75"/>
      <c r="CZ169" s="75"/>
      <c r="DA169" s="75"/>
      <c r="DB169" s="75"/>
      <c r="DC169" s="75"/>
      <c r="DD169" s="75"/>
    </row>
    <row r="170" spans="1:108">
      <c r="A170" s="75" t="s">
        <v>211</v>
      </c>
      <c r="B170" s="75" t="s">
        <v>212</v>
      </c>
      <c r="C170" s="75" t="s">
        <v>85</v>
      </c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89"/>
      <c r="T170" s="75"/>
      <c r="U170" s="75"/>
      <c r="V170" s="75"/>
      <c r="W170" s="75"/>
      <c r="X170" s="75"/>
      <c r="Y170" s="78">
        <v>15252</v>
      </c>
      <c r="Z170" s="75"/>
      <c r="AA170" s="75"/>
      <c r="AB170" s="75"/>
      <c r="AC170" s="75"/>
      <c r="AD170" s="75"/>
      <c r="AE170" s="75"/>
      <c r="AF170" s="75"/>
      <c r="AG170" s="75"/>
      <c r="AH170" s="75"/>
      <c r="AI170" s="75"/>
      <c r="AJ170" s="75"/>
      <c r="AK170" s="75"/>
      <c r="AL170" s="75"/>
      <c r="AM170" s="75"/>
      <c r="AN170" s="75"/>
      <c r="AO170" s="75"/>
      <c r="AP170" s="75"/>
      <c r="AQ170" s="75"/>
      <c r="AR170" s="75"/>
      <c r="AS170" s="75"/>
      <c r="AT170" s="75"/>
      <c r="AU170" s="75"/>
      <c r="AV170" s="75"/>
      <c r="AW170" s="75"/>
      <c r="AX170" s="75"/>
      <c r="AY170" s="75"/>
      <c r="AZ170" s="75"/>
      <c r="BA170" s="75"/>
      <c r="BB170" s="75"/>
      <c r="BC170" s="75"/>
      <c r="BD170" s="75"/>
      <c r="BE170" s="75"/>
      <c r="BF170" s="75"/>
      <c r="BG170" s="75"/>
      <c r="BH170" s="75"/>
      <c r="BI170" s="75"/>
      <c r="BJ170" s="75"/>
      <c r="BK170" s="75"/>
      <c r="BL170" s="75"/>
      <c r="BM170" s="75"/>
      <c r="BN170" s="75"/>
      <c r="BO170" s="75"/>
      <c r="BP170" s="75"/>
      <c r="BQ170" s="75"/>
      <c r="BR170" s="75"/>
      <c r="BS170" s="75"/>
      <c r="BT170" s="75"/>
      <c r="BU170" s="75"/>
      <c r="BV170" s="75"/>
      <c r="BW170" s="75"/>
      <c r="BX170" s="75"/>
      <c r="BY170" s="75"/>
      <c r="BZ170" s="75"/>
      <c r="CA170" s="75"/>
      <c r="CB170" s="75"/>
      <c r="CC170" s="75"/>
      <c r="CD170" s="75"/>
      <c r="CE170" s="75"/>
      <c r="CF170" s="75"/>
      <c r="CG170" s="75"/>
      <c r="CH170" s="75"/>
      <c r="CI170" s="75"/>
      <c r="CJ170" s="75"/>
      <c r="CK170" s="75"/>
      <c r="CL170" s="75"/>
      <c r="CM170" s="75"/>
      <c r="CN170" s="75"/>
      <c r="CO170" s="75"/>
      <c r="CP170" s="75"/>
      <c r="CQ170" s="75"/>
      <c r="CR170" s="75"/>
      <c r="CS170" s="75"/>
      <c r="CT170" s="75"/>
      <c r="CU170" s="75"/>
      <c r="CV170" s="75"/>
      <c r="CW170" s="75"/>
      <c r="CX170" s="75"/>
      <c r="CY170" s="75"/>
      <c r="CZ170" s="75"/>
      <c r="DA170" s="75"/>
      <c r="DB170" s="75"/>
      <c r="DC170" s="75"/>
      <c r="DD170" s="75"/>
    </row>
    <row r="171" spans="1:108">
      <c r="A171" s="75" t="s">
        <v>211</v>
      </c>
      <c r="B171" s="75" t="s">
        <v>212</v>
      </c>
      <c r="C171" s="75" t="s">
        <v>85</v>
      </c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89"/>
      <c r="T171" s="75"/>
      <c r="U171" s="75"/>
      <c r="V171" s="75"/>
      <c r="W171" s="75"/>
      <c r="X171" s="75"/>
      <c r="Y171" s="78">
        <v>15252</v>
      </c>
      <c r="Z171" s="75"/>
      <c r="AA171" s="75"/>
      <c r="AB171" s="75"/>
      <c r="AC171" s="75"/>
      <c r="AD171" s="75"/>
      <c r="AE171" s="75"/>
      <c r="AF171" s="75"/>
      <c r="AG171" s="75"/>
      <c r="AH171" s="75"/>
      <c r="AI171" s="75"/>
      <c r="AJ171" s="75"/>
      <c r="AK171" s="75"/>
      <c r="AL171" s="75"/>
      <c r="AM171" s="75"/>
      <c r="AN171" s="75"/>
      <c r="AO171" s="75"/>
      <c r="AP171" s="75"/>
      <c r="AQ171" s="75"/>
      <c r="AR171" s="75"/>
      <c r="AS171" s="75"/>
      <c r="AT171" s="75"/>
      <c r="AU171" s="75"/>
      <c r="AV171" s="75"/>
      <c r="AW171" s="75"/>
      <c r="AX171" s="75"/>
      <c r="AY171" s="75"/>
      <c r="AZ171" s="75"/>
      <c r="BA171" s="75"/>
      <c r="BB171" s="75"/>
      <c r="BC171" s="75"/>
      <c r="BD171" s="75"/>
      <c r="BE171" s="75"/>
      <c r="BF171" s="75"/>
      <c r="BG171" s="75"/>
      <c r="BH171" s="75"/>
      <c r="BI171" s="75"/>
      <c r="BJ171" s="75"/>
      <c r="BK171" s="75"/>
      <c r="BL171" s="75"/>
      <c r="BM171" s="75"/>
      <c r="BN171" s="75"/>
      <c r="BO171" s="75"/>
      <c r="BP171" s="75"/>
      <c r="BQ171" s="75"/>
      <c r="BR171" s="75"/>
      <c r="BS171" s="75"/>
      <c r="BT171" s="75"/>
      <c r="BU171" s="75"/>
      <c r="BV171" s="75"/>
      <c r="BW171" s="75"/>
      <c r="BX171" s="75"/>
      <c r="BY171" s="75"/>
      <c r="BZ171" s="75"/>
      <c r="CA171" s="75"/>
      <c r="CB171" s="75"/>
      <c r="CC171" s="75"/>
      <c r="CD171" s="75"/>
      <c r="CE171" s="75"/>
      <c r="CF171" s="75"/>
      <c r="CG171" s="75"/>
      <c r="CH171" s="75"/>
      <c r="CI171" s="75"/>
      <c r="CJ171" s="75"/>
      <c r="CK171" s="75"/>
      <c r="CL171" s="75"/>
      <c r="CM171" s="75"/>
      <c r="CN171" s="75"/>
      <c r="CO171" s="75"/>
      <c r="CP171" s="75"/>
      <c r="CQ171" s="75"/>
      <c r="CR171" s="75"/>
      <c r="CS171" s="75"/>
      <c r="CT171" s="75"/>
      <c r="CU171" s="75"/>
      <c r="CV171" s="75"/>
      <c r="CW171" s="75"/>
      <c r="CX171" s="75"/>
      <c r="CY171" s="75"/>
      <c r="CZ171" s="75"/>
      <c r="DA171" s="75"/>
      <c r="DB171" s="75"/>
      <c r="DC171" s="75"/>
      <c r="DD171" s="75"/>
    </row>
    <row r="172" spans="1:108">
      <c r="A172" s="75" t="s">
        <v>211</v>
      </c>
      <c r="B172" s="75" t="s">
        <v>212</v>
      </c>
      <c r="C172" s="75" t="s">
        <v>85</v>
      </c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89"/>
      <c r="T172" s="75"/>
      <c r="U172" s="75"/>
      <c r="V172" s="75"/>
      <c r="W172" s="75"/>
      <c r="X172" s="75"/>
      <c r="Y172" s="78">
        <v>15252</v>
      </c>
      <c r="Z172" s="75"/>
      <c r="AA172" s="75"/>
      <c r="AB172" s="75"/>
      <c r="AC172" s="75"/>
      <c r="AD172" s="75"/>
      <c r="AE172" s="75"/>
      <c r="AF172" s="75"/>
      <c r="AG172" s="75"/>
      <c r="AH172" s="75"/>
      <c r="AI172" s="75"/>
      <c r="AJ172" s="75"/>
      <c r="AK172" s="75"/>
      <c r="AL172" s="75"/>
      <c r="AM172" s="75"/>
      <c r="AN172" s="75"/>
      <c r="AO172" s="75"/>
      <c r="AP172" s="75"/>
      <c r="AQ172" s="75"/>
      <c r="AR172" s="75"/>
      <c r="AS172" s="75"/>
      <c r="AT172" s="75"/>
      <c r="AU172" s="75"/>
      <c r="AV172" s="75"/>
      <c r="AW172" s="75"/>
      <c r="AX172" s="75"/>
      <c r="AY172" s="75"/>
      <c r="AZ172" s="75"/>
      <c r="BA172" s="75"/>
      <c r="BB172" s="75"/>
      <c r="BC172" s="75"/>
      <c r="BD172" s="75"/>
      <c r="BE172" s="75"/>
      <c r="BF172" s="75"/>
      <c r="BG172" s="75"/>
      <c r="BH172" s="75"/>
      <c r="BI172" s="75"/>
      <c r="BJ172" s="75"/>
      <c r="BK172" s="75"/>
      <c r="BL172" s="75"/>
      <c r="BM172" s="75"/>
      <c r="BN172" s="75"/>
      <c r="BO172" s="75"/>
      <c r="BP172" s="75"/>
      <c r="BQ172" s="75"/>
      <c r="BR172" s="75"/>
      <c r="BS172" s="75"/>
      <c r="BT172" s="75"/>
      <c r="BU172" s="75"/>
      <c r="BV172" s="75"/>
      <c r="BW172" s="75"/>
      <c r="BX172" s="75"/>
      <c r="BY172" s="75"/>
      <c r="BZ172" s="75"/>
      <c r="CA172" s="75"/>
      <c r="CB172" s="75"/>
      <c r="CC172" s="75"/>
      <c r="CD172" s="75"/>
      <c r="CE172" s="75"/>
      <c r="CF172" s="75"/>
      <c r="CG172" s="75"/>
      <c r="CH172" s="75"/>
      <c r="CI172" s="75"/>
      <c r="CJ172" s="75"/>
      <c r="CK172" s="75"/>
      <c r="CL172" s="75"/>
      <c r="CM172" s="75"/>
      <c r="CN172" s="75"/>
      <c r="CO172" s="75"/>
      <c r="CP172" s="75"/>
      <c r="CQ172" s="75"/>
      <c r="CR172" s="75"/>
      <c r="CS172" s="75"/>
      <c r="CT172" s="75"/>
      <c r="CU172" s="75"/>
      <c r="CV172" s="75"/>
      <c r="CW172" s="75"/>
      <c r="CX172" s="75"/>
      <c r="CY172" s="75"/>
      <c r="CZ172" s="75"/>
      <c r="DA172" s="75"/>
      <c r="DB172" s="75"/>
      <c r="DC172" s="75"/>
      <c r="DD172" s="7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H7"/>
  <sheetViews>
    <sheetView workbookViewId="0">
      <selection activeCell="H4" sqref="H4:DH5"/>
    </sheetView>
  </sheetViews>
  <sheetFormatPr defaultRowHeight="15"/>
  <cols>
    <col min="4" max="4" width="9.28515625" bestFit="1" customWidth="1"/>
    <col min="6" max="6" width="11.7109375" bestFit="1" customWidth="1"/>
    <col min="8" max="11" width="9.28515625" bestFit="1" customWidth="1"/>
    <col min="12" max="41" width="10" bestFit="1" customWidth="1"/>
    <col min="42" max="83" width="10.85546875" bestFit="1" customWidth="1"/>
    <col min="84" max="112" width="11.7109375" bestFit="1" customWidth="1"/>
  </cols>
  <sheetData>
    <row r="3" spans="1:112">
      <c r="A3" s="81" t="s">
        <v>39</v>
      </c>
      <c r="B3" s="81" t="s">
        <v>32</v>
      </c>
      <c r="C3" s="81" t="s">
        <v>33</v>
      </c>
      <c r="D3" s="81" t="s">
        <v>34</v>
      </c>
      <c r="E3" s="81" t="s">
        <v>75</v>
      </c>
      <c r="F3" s="81" t="s">
        <v>243</v>
      </c>
      <c r="G3" s="81" t="s">
        <v>241</v>
      </c>
      <c r="H3" s="104">
        <v>41924</v>
      </c>
      <c r="I3" s="104">
        <v>41931</v>
      </c>
      <c r="J3" s="104">
        <v>41938</v>
      </c>
      <c r="K3" s="104">
        <v>41945</v>
      </c>
      <c r="L3" s="104">
        <v>41952</v>
      </c>
      <c r="M3" s="104">
        <v>41959</v>
      </c>
      <c r="N3" s="104">
        <v>41966</v>
      </c>
      <c r="O3" s="104">
        <v>41973</v>
      </c>
      <c r="P3" s="104">
        <v>41980</v>
      </c>
      <c r="Q3" s="104">
        <v>41987</v>
      </c>
      <c r="R3" s="104">
        <v>41994</v>
      </c>
      <c r="S3" s="104">
        <v>42001</v>
      </c>
      <c r="T3" s="104">
        <v>42008</v>
      </c>
      <c r="U3" s="104">
        <v>42015</v>
      </c>
      <c r="V3" s="104">
        <v>42022</v>
      </c>
      <c r="W3" s="104">
        <v>42029</v>
      </c>
      <c r="X3" s="104">
        <v>42036</v>
      </c>
      <c r="Y3" s="104">
        <v>42043</v>
      </c>
      <c r="Z3" s="104">
        <v>42050</v>
      </c>
      <c r="AA3" s="104">
        <v>42057</v>
      </c>
      <c r="AB3" s="104">
        <v>42064</v>
      </c>
      <c r="AC3" s="104">
        <v>42071</v>
      </c>
      <c r="AD3" s="104">
        <v>42078</v>
      </c>
      <c r="AE3" s="104">
        <v>42085</v>
      </c>
      <c r="AF3" s="104">
        <v>42092</v>
      </c>
      <c r="AG3" s="104">
        <v>42099</v>
      </c>
      <c r="AH3" s="104">
        <v>42106</v>
      </c>
      <c r="AI3" s="104">
        <v>42113</v>
      </c>
      <c r="AJ3" s="104">
        <v>42120</v>
      </c>
      <c r="AK3" s="104">
        <v>42127</v>
      </c>
      <c r="AL3" s="104">
        <v>42134</v>
      </c>
      <c r="AM3" s="104">
        <v>42141</v>
      </c>
      <c r="AN3" s="104">
        <v>42148</v>
      </c>
      <c r="AO3" s="104">
        <v>42155</v>
      </c>
      <c r="AP3" s="104">
        <v>42162</v>
      </c>
      <c r="AQ3" s="104">
        <v>42169</v>
      </c>
      <c r="AR3" s="104">
        <v>42176</v>
      </c>
      <c r="AS3" s="104">
        <v>42183</v>
      </c>
      <c r="AT3" s="104">
        <v>42190</v>
      </c>
      <c r="AU3" s="104">
        <v>42197</v>
      </c>
      <c r="AV3" s="104">
        <v>42204</v>
      </c>
      <c r="AW3" s="104">
        <v>42211</v>
      </c>
      <c r="AX3" s="104">
        <v>42218</v>
      </c>
      <c r="AY3" s="104">
        <v>42225</v>
      </c>
      <c r="AZ3" s="104">
        <v>42232</v>
      </c>
      <c r="BA3" s="104">
        <v>42239</v>
      </c>
      <c r="BB3" s="104">
        <v>42246</v>
      </c>
      <c r="BC3" s="104">
        <v>42253</v>
      </c>
      <c r="BD3" s="104">
        <v>42260</v>
      </c>
      <c r="BE3" s="104">
        <v>42267</v>
      </c>
      <c r="BF3" s="104">
        <v>42274</v>
      </c>
      <c r="BG3" s="104">
        <v>42281</v>
      </c>
      <c r="BH3" s="104">
        <v>42288</v>
      </c>
      <c r="BI3" s="104">
        <v>42295</v>
      </c>
      <c r="BJ3" s="104">
        <v>42302</v>
      </c>
      <c r="BK3" s="104">
        <v>42309</v>
      </c>
      <c r="BL3" s="104">
        <v>42316</v>
      </c>
      <c r="BM3" s="104">
        <v>42323</v>
      </c>
      <c r="BN3" s="104">
        <v>42330</v>
      </c>
      <c r="BO3" s="104">
        <v>42337</v>
      </c>
      <c r="BP3" s="104">
        <v>42344</v>
      </c>
      <c r="BQ3" s="104">
        <v>42351</v>
      </c>
      <c r="BR3" s="104">
        <v>42358</v>
      </c>
      <c r="BS3" s="104">
        <v>42365</v>
      </c>
      <c r="BT3" s="104">
        <v>42372</v>
      </c>
      <c r="BU3" s="104">
        <v>42379</v>
      </c>
      <c r="BV3" s="104">
        <v>42386</v>
      </c>
      <c r="BW3" s="104">
        <v>42393</v>
      </c>
      <c r="BX3" s="104">
        <v>42400</v>
      </c>
      <c r="BY3" s="104">
        <v>42407</v>
      </c>
      <c r="BZ3" s="104">
        <v>42414</v>
      </c>
      <c r="CA3" s="104">
        <v>42421</v>
      </c>
      <c r="CB3" s="104">
        <v>42428</v>
      </c>
      <c r="CC3" s="104">
        <v>42435</v>
      </c>
      <c r="CD3" s="104">
        <v>42442</v>
      </c>
      <c r="CE3" s="104">
        <v>42449</v>
      </c>
      <c r="CF3" s="104">
        <v>42456</v>
      </c>
      <c r="CG3" s="104">
        <v>42463</v>
      </c>
      <c r="CH3" s="104">
        <v>42470</v>
      </c>
      <c r="CI3" s="104">
        <v>42477</v>
      </c>
      <c r="CJ3" s="104">
        <v>42484</v>
      </c>
      <c r="CK3" s="104">
        <v>42491</v>
      </c>
      <c r="CL3" s="104">
        <v>42498</v>
      </c>
      <c r="CM3" s="104">
        <v>42505</v>
      </c>
      <c r="CN3" s="104">
        <v>42512</v>
      </c>
      <c r="CO3" s="104">
        <v>42519</v>
      </c>
      <c r="CP3" s="104">
        <v>42526</v>
      </c>
      <c r="CQ3" s="104">
        <v>42533</v>
      </c>
      <c r="CR3" s="104">
        <v>42540</v>
      </c>
      <c r="CS3" s="104">
        <v>42547</v>
      </c>
      <c r="CT3" s="104">
        <v>42554</v>
      </c>
      <c r="CU3" s="104">
        <v>42561</v>
      </c>
      <c r="CV3" s="104">
        <v>42568</v>
      </c>
      <c r="CW3" s="104">
        <v>42575</v>
      </c>
      <c r="CX3" s="104">
        <v>42582</v>
      </c>
      <c r="CY3" s="104">
        <v>42589</v>
      </c>
      <c r="CZ3" s="104">
        <v>42596</v>
      </c>
      <c r="DA3" s="104">
        <v>42603</v>
      </c>
      <c r="DB3" s="104">
        <v>42610</v>
      </c>
      <c r="DC3" s="104">
        <v>42617</v>
      </c>
      <c r="DD3" s="104">
        <v>42624</v>
      </c>
      <c r="DE3" s="104">
        <v>42631</v>
      </c>
      <c r="DF3" s="104">
        <v>42638</v>
      </c>
      <c r="DG3" s="104">
        <v>42645</v>
      </c>
      <c r="DH3" s="104">
        <v>42652</v>
      </c>
    </row>
    <row r="4" spans="1:112">
      <c r="A4" s="81" t="s">
        <v>252</v>
      </c>
      <c r="B4" s="81"/>
      <c r="C4" s="81" t="s">
        <v>242</v>
      </c>
      <c r="D4" s="104">
        <v>42656</v>
      </c>
      <c r="E4" s="81"/>
      <c r="F4" s="86">
        <v>142221534</v>
      </c>
      <c r="G4" s="81" t="s">
        <v>243</v>
      </c>
      <c r="H4" s="86">
        <v>45808.22</v>
      </c>
      <c r="I4" s="86">
        <v>98625.919999999998</v>
      </c>
      <c r="J4" s="86">
        <v>144779.76999999999</v>
      </c>
      <c r="K4" s="86">
        <v>144779.76999999999</v>
      </c>
      <c r="L4" s="86">
        <v>1001922.63</v>
      </c>
      <c r="M4" s="86">
        <v>1307856.69</v>
      </c>
      <c r="N4" s="86">
        <v>440709.53</v>
      </c>
      <c r="O4" s="86">
        <v>101389.98</v>
      </c>
      <c r="P4" s="86">
        <v>101946.02</v>
      </c>
      <c r="Q4" s="86">
        <v>99242.47</v>
      </c>
      <c r="R4" s="86">
        <v>107688.73</v>
      </c>
      <c r="S4" s="86">
        <v>143518.65</v>
      </c>
      <c r="T4" s="86">
        <v>165527.85</v>
      </c>
      <c r="U4" s="86">
        <v>272470.38</v>
      </c>
      <c r="V4" s="86">
        <v>407521.31</v>
      </c>
      <c r="W4" s="86">
        <v>251602.5</v>
      </c>
      <c r="X4" s="86">
        <v>274046.92</v>
      </c>
      <c r="Y4" s="86">
        <v>296237.96000000002</v>
      </c>
      <c r="Z4" s="86">
        <v>355499.08</v>
      </c>
      <c r="AA4" s="86">
        <v>307344.49</v>
      </c>
      <c r="AB4" s="86">
        <v>276062.07</v>
      </c>
      <c r="AC4" s="86">
        <v>316609.34999999998</v>
      </c>
      <c r="AD4" s="86">
        <v>159536.78</v>
      </c>
      <c r="AE4" s="86">
        <v>158277.81</v>
      </c>
      <c r="AF4" s="86">
        <v>106492.28</v>
      </c>
      <c r="AG4" s="86">
        <v>249209.66</v>
      </c>
      <c r="AH4" s="86">
        <v>164513.89000000001</v>
      </c>
      <c r="AI4" s="86">
        <v>182737.79</v>
      </c>
      <c r="AJ4" s="86">
        <v>304947.43</v>
      </c>
      <c r="AK4" s="86">
        <v>358920.41</v>
      </c>
      <c r="AL4" s="86">
        <v>283773.59000000003</v>
      </c>
      <c r="AM4" s="86">
        <v>389589.68</v>
      </c>
      <c r="AN4" s="86">
        <v>309899.98</v>
      </c>
      <c r="AO4" s="86">
        <v>563205.32999999996</v>
      </c>
      <c r="AP4" s="86">
        <v>416111.76</v>
      </c>
      <c r="AQ4" s="86">
        <v>460683.7</v>
      </c>
      <c r="AR4" s="86">
        <v>547797.48</v>
      </c>
      <c r="AS4" s="86">
        <v>316488.5</v>
      </c>
      <c r="AT4" s="86">
        <v>320862.15999999997</v>
      </c>
      <c r="AU4" s="86">
        <v>224390.05</v>
      </c>
      <c r="AV4" s="86">
        <v>229881.53</v>
      </c>
      <c r="AW4" s="86">
        <v>421547.15</v>
      </c>
      <c r="AX4" s="86">
        <v>517935.91</v>
      </c>
      <c r="AY4" s="86">
        <v>524304.23</v>
      </c>
      <c r="AZ4" s="86">
        <v>497614.74</v>
      </c>
      <c r="BA4" s="86">
        <v>546478.62</v>
      </c>
      <c r="BB4" s="86">
        <v>607243.46</v>
      </c>
      <c r="BC4" s="86">
        <v>689472.15</v>
      </c>
      <c r="BD4" s="86">
        <v>445202.55</v>
      </c>
      <c r="BE4" s="86">
        <v>551576.66</v>
      </c>
      <c r="BF4" s="86">
        <v>564277.1</v>
      </c>
      <c r="BG4" s="86">
        <v>762616.9</v>
      </c>
      <c r="BH4" s="86">
        <v>1165244.23</v>
      </c>
      <c r="BI4" s="86">
        <v>1600819.98</v>
      </c>
      <c r="BJ4" s="86">
        <v>1565129.03</v>
      </c>
      <c r="BK4" s="86">
        <v>1430043.46</v>
      </c>
      <c r="BL4" s="86">
        <v>1620274.54</v>
      </c>
      <c r="BM4" s="86">
        <v>1847791.74</v>
      </c>
      <c r="BN4" s="86">
        <v>1542471.1</v>
      </c>
      <c r="BO4" s="86">
        <v>1548548.09</v>
      </c>
      <c r="BP4" s="86">
        <v>1977559.5</v>
      </c>
      <c r="BQ4" s="86">
        <v>2200552.31</v>
      </c>
      <c r="BR4" s="86">
        <v>2317423.0099999998</v>
      </c>
      <c r="BS4" s="86">
        <v>2454830.61</v>
      </c>
      <c r="BT4" s="86">
        <v>2959593.44</v>
      </c>
      <c r="BU4" s="86">
        <v>4866809.74</v>
      </c>
      <c r="BV4" s="86">
        <v>4505032.17</v>
      </c>
      <c r="BW4" s="86">
        <v>3952426.94</v>
      </c>
      <c r="BX4" s="86">
        <v>5448956.0300000003</v>
      </c>
      <c r="BY4" s="86">
        <v>5385659.6299999999</v>
      </c>
      <c r="BZ4" s="86">
        <v>5009673.59</v>
      </c>
      <c r="CA4" s="86">
        <v>4605550.1500000004</v>
      </c>
      <c r="CB4" s="86">
        <v>4239264.2699999996</v>
      </c>
      <c r="CC4" s="86">
        <v>5541464.2000000002</v>
      </c>
      <c r="CD4" s="86">
        <v>6008507.79</v>
      </c>
      <c r="CE4" s="86">
        <v>4840463.59</v>
      </c>
      <c r="CF4" s="86">
        <v>4140554.69</v>
      </c>
      <c r="CG4" s="86">
        <v>4103139.54</v>
      </c>
      <c r="CH4" s="86">
        <v>4245019.3499999996</v>
      </c>
      <c r="CI4" s="86">
        <v>4561888.88</v>
      </c>
      <c r="CJ4" s="86">
        <v>4232052.82</v>
      </c>
      <c r="CK4" s="86">
        <v>3456283</v>
      </c>
      <c r="CL4" s="86">
        <v>2295461.4900000002</v>
      </c>
      <c r="CM4" s="86">
        <v>1759259.75</v>
      </c>
      <c r="CN4" s="86">
        <v>2881573.43</v>
      </c>
      <c r="CO4" s="86">
        <v>3167398.98</v>
      </c>
      <c r="CP4" s="86">
        <v>2370329.9900000002</v>
      </c>
      <c r="CQ4" s="86">
        <v>2014820.07</v>
      </c>
      <c r="CR4" s="86">
        <v>1659590.48</v>
      </c>
      <c r="CS4" s="86">
        <v>1004151.43</v>
      </c>
      <c r="CT4" s="86">
        <v>372766.07</v>
      </c>
      <c r="CU4" s="86">
        <v>361801.54</v>
      </c>
      <c r="CV4" s="86">
        <v>486247.83</v>
      </c>
      <c r="CW4" s="86">
        <v>423931.08</v>
      </c>
      <c r="CX4" s="86">
        <v>276012.94</v>
      </c>
      <c r="CY4" s="86">
        <v>256274.35</v>
      </c>
      <c r="CZ4" s="86">
        <v>204251.43</v>
      </c>
      <c r="DA4" s="86">
        <v>155544.4</v>
      </c>
      <c r="DB4" s="86">
        <v>113565.7</v>
      </c>
      <c r="DC4" s="86">
        <v>102582.52</v>
      </c>
      <c r="DD4" s="86">
        <v>97260.52</v>
      </c>
      <c r="DE4" s="86">
        <v>90213.98</v>
      </c>
      <c r="DF4" s="86">
        <v>81264.38</v>
      </c>
      <c r="DG4" s="86">
        <v>80164.38</v>
      </c>
      <c r="DH4" s="86">
        <v>57260.27</v>
      </c>
    </row>
    <row r="5" spans="1:112">
      <c r="A5" s="81" t="s">
        <v>252</v>
      </c>
      <c r="B5" s="81"/>
      <c r="C5" s="81" t="s">
        <v>242</v>
      </c>
      <c r="D5" s="104">
        <v>42656</v>
      </c>
      <c r="E5" s="81"/>
      <c r="F5" s="86">
        <v>142221534</v>
      </c>
      <c r="G5" s="81" t="s">
        <v>253</v>
      </c>
      <c r="H5" s="86">
        <v>45808.22</v>
      </c>
      <c r="I5" s="86">
        <v>144434.14000000001</v>
      </c>
      <c r="J5" s="86">
        <v>289213.90999999997</v>
      </c>
      <c r="K5" s="86">
        <v>433993.68</v>
      </c>
      <c r="L5" s="86">
        <v>1435916.3</v>
      </c>
      <c r="M5" s="86">
        <v>2743772.99</v>
      </c>
      <c r="N5" s="86">
        <v>3184482.52</v>
      </c>
      <c r="O5" s="86">
        <v>3285872.5</v>
      </c>
      <c r="P5" s="86">
        <v>3387818.52</v>
      </c>
      <c r="Q5" s="86">
        <v>3487060.99</v>
      </c>
      <c r="R5" s="86">
        <v>3594749.72</v>
      </c>
      <c r="S5" s="86">
        <v>3738268.37</v>
      </c>
      <c r="T5" s="86">
        <v>3903796.22</v>
      </c>
      <c r="U5" s="86">
        <v>4176266.61</v>
      </c>
      <c r="V5" s="86">
        <v>4583787.91</v>
      </c>
      <c r="W5" s="86">
        <v>4835390.41</v>
      </c>
      <c r="X5" s="86">
        <v>5109437.33</v>
      </c>
      <c r="Y5" s="86">
        <v>5405675.29</v>
      </c>
      <c r="Z5" s="86">
        <v>5761174.3700000001</v>
      </c>
      <c r="AA5" s="86">
        <v>6068518.8600000003</v>
      </c>
      <c r="AB5" s="86">
        <v>6344580.9199999999</v>
      </c>
      <c r="AC5" s="86">
        <v>6661190.2699999996</v>
      </c>
      <c r="AD5" s="86">
        <v>6820727.0599999996</v>
      </c>
      <c r="AE5" s="86">
        <v>6979004.8700000001</v>
      </c>
      <c r="AF5" s="86">
        <v>7085497.1500000004</v>
      </c>
      <c r="AG5" s="86">
        <v>7334706.8099999996</v>
      </c>
      <c r="AH5" s="86">
        <v>7499220.7000000002</v>
      </c>
      <c r="AI5" s="86">
        <v>7681958.4900000002</v>
      </c>
      <c r="AJ5" s="86">
        <v>7986905.9199999999</v>
      </c>
      <c r="AK5" s="86">
        <v>8345826.3300000001</v>
      </c>
      <c r="AL5" s="86">
        <v>8629599.9199999999</v>
      </c>
      <c r="AM5" s="86">
        <v>9019189.5999999996</v>
      </c>
      <c r="AN5" s="86">
        <v>9329089.5800000001</v>
      </c>
      <c r="AO5" s="86">
        <v>9892294.9100000001</v>
      </c>
      <c r="AP5" s="86">
        <v>10308406.67</v>
      </c>
      <c r="AQ5" s="86">
        <v>10769090.369999999</v>
      </c>
      <c r="AR5" s="86">
        <v>11316887.85</v>
      </c>
      <c r="AS5" s="86">
        <v>11633376.34</v>
      </c>
      <c r="AT5" s="86">
        <v>11954238.5</v>
      </c>
      <c r="AU5" s="86">
        <v>12178628.560000001</v>
      </c>
      <c r="AV5" s="86">
        <v>12408510.09</v>
      </c>
      <c r="AW5" s="86">
        <v>12830057.23</v>
      </c>
      <c r="AX5" s="86">
        <v>13347993.140000001</v>
      </c>
      <c r="AY5" s="86">
        <v>13872297.380000001</v>
      </c>
      <c r="AZ5" s="86">
        <v>14369912.119999999</v>
      </c>
      <c r="BA5" s="86">
        <v>14916390.74</v>
      </c>
      <c r="BB5" s="86">
        <v>15523634.199999999</v>
      </c>
      <c r="BC5" s="86">
        <v>16213106.35</v>
      </c>
      <c r="BD5" s="86">
        <v>16658308.9</v>
      </c>
      <c r="BE5" s="86">
        <v>17209885.559999999</v>
      </c>
      <c r="BF5" s="86">
        <v>17774162.66</v>
      </c>
      <c r="BG5" s="86">
        <v>18536779.559999999</v>
      </c>
      <c r="BH5" s="86">
        <v>19702023.789999999</v>
      </c>
      <c r="BI5" s="86">
        <v>21302843.77</v>
      </c>
      <c r="BJ5" s="86">
        <v>22867972.800000001</v>
      </c>
      <c r="BK5" s="86">
        <v>24298016.260000002</v>
      </c>
      <c r="BL5" s="86">
        <v>25918290.800000001</v>
      </c>
      <c r="BM5" s="86">
        <v>27766082.539999999</v>
      </c>
      <c r="BN5" s="86">
        <v>29308553.640000001</v>
      </c>
      <c r="BO5" s="86">
        <v>30857101.719999999</v>
      </c>
      <c r="BP5" s="86">
        <v>32834661.219999999</v>
      </c>
      <c r="BQ5" s="86">
        <v>35035213.539999999</v>
      </c>
      <c r="BR5" s="86">
        <v>37352636.549999997</v>
      </c>
      <c r="BS5" s="86">
        <v>39807467.159999996</v>
      </c>
      <c r="BT5" s="86">
        <v>42767060.600000001</v>
      </c>
      <c r="BU5" s="86">
        <v>47633870.340000004</v>
      </c>
      <c r="BV5" s="86">
        <v>52138902.520000003</v>
      </c>
      <c r="BW5" s="86">
        <v>56091329.450000003</v>
      </c>
      <c r="BX5" s="86">
        <v>61540285.479999997</v>
      </c>
      <c r="BY5" s="86">
        <v>66925945.109999999</v>
      </c>
      <c r="BZ5" s="86">
        <v>71935618.709999993</v>
      </c>
      <c r="CA5" s="86">
        <v>76541168.859999999</v>
      </c>
      <c r="CB5" s="86">
        <v>80780433.120000005</v>
      </c>
      <c r="CC5" s="86">
        <v>86321897.319999993</v>
      </c>
      <c r="CD5" s="86">
        <v>92330405.109999999</v>
      </c>
      <c r="CE5" s="86">
        <v>97170868.700000003</v>
      </c>
      <c r="CF5" s="86">
        <v>101311423.39</v>
      </c>
      <c r="CG5" s="86">
        <v>105414562.93000001</v>
      </c>
      <c r="CH5" s="86">
        <v>109659582.28</v>
      </c>
      <c r="CI5" s="86">
        <v>114221471.16</v>
      </c>
      <c r="CJ5" s="86">
        <v>118453523.98</v>
      </c>
      <c r="CK5" s="86">
        <v>121909806.98999999</v>
      </c>
      <c r="CL5" s="86">
        <v>124205268.48</v>
      </c>
      <c r="CM5" s="86">
        <v>125964528.23</v>
      </c>
      <c r="CN5" s="86">
        <v>128846101.66</v>
      </c>
      <c r="CO5" s="86">
        <v>132013500.64</v>
      </c>
      <c r="CP5" s="86">
        <v>134383830.63</v>
      </c>
      <c r="CQ5" s="86">
        <v>136398650.69999999</v>
      </c>
      <c r="CR5" s="86">
        <v>138058241.16999999</v>
      </c>
      <c r="CS5" s="86">
        <v>139062392.61000001</v>
      </c>
      <c r="CT5" s="86">
        <v>139435158.66999999</v>
      </c>
      <c r="CU5" s="86">
        <v>139796960.22</v>
      </c>
      <c r="CV5" s="86">
        <v>140283208.05000001</v>
      </c>
      <c r="CW5" s="86">
        <v>140707139.13</v>
      </c>
      <c r="CX5" s="86">
        <v>140983152.06999999</v>
      </c>
      <c r="CY5" s="86">
        <v>141239426.41999999</v>
      </c>
      <c r="CZ5" s="86">
        <v>141443677.84999999</v>
      </c>
      <c r="DA5" s="86">
        <v>141599222.25</v>
      </c>
      <c r="DB5" s="86">
        <v>141712787.94999999</v>
      </c>
      <c r="DC5" s="86">
        <v>141815370.46000001</v>
      </c>
      <c r="DD5" s="86">
        <v>141912630.97999999</v>
      </c>
      <c r="DE5" s="86">
        <v>142002844.96000001</v>
      </c>
      <c r="DF5" s="86">
        <v>142084109.34999999</v>
      </c>
      <c r="DG5" s="86">
        <v>142164273.72999999</v>
      </c>
      <c r="DH5" s="86">
        <v>142221534</v>
      </c>
    </row>
    <row r="6" spans="1:112">
      <c r="A6" s="81" t="s">
        <v>254</v>
      </c>
      <c r="B6" s="81"/>
      <c r="C6" s="81" t="s">
        <v>255</v>
      </c>
      <c r="D6" s="104">
        <v>42437</v>
      </c>
      <c r="E6" s="81"/>
      <c r="F6" s="81">
        <v>0</v>
      </c>
      <c r="G6" s="81" t="s">
        <v>243</v>
      </c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1"/>
      <c r="BF6" s="81"/>
      <c r="BG6" s="81"/>
      <c r="BH6" s="81"/>
      <c r="BI6" s="81"/>
      <c r="BJ6" s="81"/>
      <c r="BK6" s="81"/>
      <c r="BL6" s="81"/>
      <c r="BM6" s="81"/>
      <c r="BN6" s="81"/>
      <c r="BO6" s="81"/>
      <c r="BP6" s="81"/>
      <c r="BQ6" s="81"/>
      <c r="BR6" s="81"/>
      <c r="BS6" s="81"/>
      <c r="BT6" s="81"/>
      <c r="BU6" s="81"/>
      <c r="BV6" s="81"/>
      <c r="BW6" s="81"/>
      <c r="BX6" s="81"/>
      <c r="BY6" s="81"/>
      <c r="BZ6" s="81"/>
      <c r="CA6" s="81"/>
      <c r="CB6" s="81"/>
      <c r="CC6" s="81"/>
      <c r="CD6" s="81"/>
      <c r="CE6" s="81"/>
      <c r="CF6" s="81"/>
      <c r="CG6" s="81"/>
      <c r="CH6" s="81"/>
      <c r="CI6" s="81"/>
      <c r="CJ6" s="81"/>
      <c r="CK6" s="81"/>
      <c r="CL6" s="81"/>
      <c r="CM6" s="81"/>
      <c r="CN6" s="81"/>
      <c r="CO6" s="81"/>
      <c r="CP6" s="81"/>
      <c r="CQ6" s="81"/>
      <c r="CR6" s="81"/>
      <c r="CS6" s="81"/>
      <c r="CT6" s="81"/>
      <c r="CU6" s="81"/>
      <c r="CV6" s="81"/>
      <c r="CW6" s="81"/>
      <c r="CX6" s="81"/>
      <c r="CY6" s="81"/>
      <c r="CZ6" s="81"/>
      <c r="DA6" s="81"/>
      <c r="DB6" s="81"/>
      <c r="DC6" s="81"/>
      <c r="DD6" s="81"/>
      <c r="DE6" s="81"/>
      <c r="DF6" s="81"/>
      <c r="DG6" s="81"/>
      <c r="DH6" s="81"/>
    </row>
    <row r="7" spans="1:112">
      <c r="A7" s="81" t="s">
        <v>254</v>
      </c>
      <c r="B7" s="81"/>
      <c r="C7" s="81" t="s">
        <v>255</v>
      </c>
      <c r="D7" s="104">
        <v>42437</v>
      </c>
      <c r="E7" s="81"/>
      <c r="F7" s="81">
        <v>0</v>
      </c>
      <c r="G7" s="81" t="s">
        <v>253</v>
      </c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1"/>
      <c r="BF7" s="81"/>
      <c r="BG7" s="81"/>
      <c r="BH7" s="81"/>
      <c r="BI7" s="81"/>
      <c r="BJ7" s="81"/>
      <c r="BK7" s="81"/>
      <c r="BL7" s="81"/>
      <c r="BM7" s="81"/>
      <c r="BN7" s="81"/>
      <c r="BO7" s="81"/>
      <c r="BP7" s="81"/>
      <c r="BQ7" s="81"/>
      <c r="BR7" s="81"/>
      <c r="BS7" s="81"/>
      <c r="BT7" s="81"/>
      <c r="BU7" s="81"/>
      <c r="BV7" s="81"/>
      <c r="BW7" s="81"/>
      <c r="BX7" s="81"/>
      <c r="BY7" s="81"/>
      <c r="BZ7" s="81"/>
      <c r="CA7" s="81"/>
      <c r="CB7" s="81"/>
      <c r="CC7" s="81"/>
      <c r="CD7" s="81"/>
      <c r="CE7" s="81"/>
      <c r="CF7" s="81"/>
      <c r="CG7" s="81"/>
      <c r="CH7" s="81"/>
      <c r="CI7" s="81"/>
      <c r="CJ7" s="81"/>
      <c r="CK7" s="81"/>
      <c r="CL7" s="81"/>
      <c r="CM7" s="81"/>
      <c r="CN7" s="81"/>
      <c r="CO7" s="81"/>
      <c r="CP7" s="81"/>
      <c r="CQ7" s="81"/>
      <c r="CR7" s="81"/>
      <c r="CS7" s="81"/>
      <c r="CT7" s="81"/>
      <c r="CU7" s="81"/>
      <c r="CV7" s="81"/>
      <c r="CW7" s="81"/>
      <c r="CX7" s="81"/>
      <c r="CY7" s="81"/>
      <c r="CZ7" s="81"/>
      <c r="DA7" s="81"/>
      <c r="DB7" s="81"/>
      <c r="DC7" s="81"/>
      <c r="DD7" s="81"/>
      <c r="DE7" s="81"/>
      <c r="DF7" s="81"/>
      <c r="DG7" s="81"/>
      <c r="DH7" s="8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7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Dashboard</vt:lpstr>
      <vt:lpstr>Cashflow</vt:lpstr>
      <vt:lpstr>Baseline</vt:lpstr>
      <vt:lpstr>Daily Manpower - Mitigation R4</vt:lpstr>
      <vt:lpstr>Initial</vt:lpstr>
      <vt:lpstr>Sheet3</vt:lpstr>
      <vt:lpstr>Sheet1</vt:lpstr>
      <vt:lpstr>S-curve (Mitigation)</vt:lpstr>
      <vt:lpstr>Dashboard!Print_Area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rds_jambookkan</dc:creator>
  <cp:lastModifiedBy>Administrator</cp:lastModifiedBy>
  <cp:lastPrinted>2015-12-03T15:25:37Z</cp:lastPrinted>
  <dcterms:created xsi:type="dcterms:W3CDTF">2011-10-03T08:20:02Z</dcterms:created>
  <dcterms:modified xsi:type="dcterms:W3CDTF">2018-11-13T16:01:47Z</dcterms:modified>
</cp:coreProperties>
</file>